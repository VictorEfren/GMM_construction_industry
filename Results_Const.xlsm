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pmvegv\OneDrive - University of Leeds\Research\COVID\Article\Manuscript\0 Construction\Solutions\"/>
    </mc:Choice>
  </mc:AlternateContent>
  <bookViews>
    <workbookView xWindow="0" yWindow="0" windowWidth="19140" windowHeight="6000" firstSheet="13" activeTab="23"/>
  </bookViews>
  <sheets>
    <sheet name="Summary" sheetId="24" r:id="rId1"/>
    <sheet name="PandemicGrowth" sheetId="23" r:id="rId2"/>
    <sheet name="RecoveryRate" sheetId="22" r:id="rId3"/>
    <sheet name="ShortInterestRate" sheetId="21" r:id="rId4"/>
    <sheet name="LongInterestRate" sheetId="20" r:id="rId5"/>
    <sheet name="EmploymentRate" sheetId="19" r:id="rId6"/>
    <sheet name="HealthExpenditure" sheetId="18" r:id="rId7"/>
    <sheet name="ProductionPrices" sheetId="17" r:id="rId8"/>
    <sheet name="Inflation" sheetId="16" r:id="rId9"/>
    <sheet name="FDI" sheetId="15" r:id="rId10"/>
    <sheet name="Exports" sheetId="14" r:id="rId11"/>
    <sheet name="LifeExpectancy" sheetId="13" r:id="rId12"/>
    <sheet name="GovernmentSpending" sheetId="12" r:id="rId13"/>
    <sheet name="PrivateSpending" sheetId="11" r:id="rId14"/>
    <sheet name="Imports" sheetId="10" r:id="rId15"/>
    <sheet name="GDP" sheetId="9" r:id="rId16"/>
    <sheet name="Boxplots" sheetId="25" r:id="rId17"/>
    <sheet name="Bayes" sheetId="7" r:id="rId18"/>
    <sheet name="hist" sheetId="6" r:id="rId19"/>
    <sheet name="by variable" sheetId="5" r:id="rId20"/>
    <sheet name="Solutions_J (3)" sheetId="4" r:id="rId21"/>
    <sheet name="Solutions_J (2)" sheetId="3" r:id="rId22"/>
    <sheet name="Solutions_J" sheetId="2" r:id="rId23"/>
    <sheet name="Hansen" sheetId="1" r:id="rId24"/>
  </sheets>
  <calcPr calcId="162913"/>
  <pivotCaches>
    <pivotCache cacheId="0" r:id="rId25"/>
  </pivotCaches>
</workbook>
</file>

<file path=xl/calcChain.xml><?xml version="1.0" encoding="utf-8"?>
<calcChain xmlns="http://schemas.openxmlformats.org/spreadsheetml/2006/main">
  <c r="T2" i="20" l="1"/>
  <c r="AH5" i="23" l="1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U5" i="9"/>
  <c r="T5" i="9"/>
  <c r="M7" i="6"/>
  <c r="AH4" i="23"/>
  <c r="AG4" i="23"/>
  <c r="AF4" i="23"/>
  <c r="AE4" i="23"/>
  <c r="AD4" i="23"/>
  <c r="AC4" i="23"/>
  <c r="AB4" i="23"/>
  <c r="AA4" i="23"/>
  <c r="Z4" i="23"/>
  <c r="Y4" i="23"/>
  <c r="X4" i="23"/>
  <c r="W4" i="23"/>
  <c r="V4" i="23"/>
  <c r="U4" i="23"/>
  <c r="T4" i="23"/>
  <c r="AH3" i="23"/>
  <c r="AG3" i="23"/>
  <c r="AF3" i="23"/>
  <c r="AE3" i="23"/>
  <c r="AD3" i="23"/>
  <c r="AC3" i="23"/>
  <c r="AB3" i="23"/>
  <c r="AA3" i="23"/>
  <c r="Z3" i="23"/>
  <c r="Y3" i="23"/>
  <c r="X3" i="23"/>
  <c r="W3" i="23"/>
  <c r="V3" i="23"/>
  <c r="U3" i="23"/>
  <c r="T3" i="23"/>
  <c r="AH2" i="23"/>
  <c r="AG2" i="23"/>
  <c r="AF2" i="23"/>
  <c r="AE2" i="23"/>
  <c r="AD2" i="23"/>
  <c r="AC2" i="23"/>
  <c r="AB2" i="23"/>
  <c r="AA2" i="23"/>
  <c r="Z2" i="23"/>
  <c r="Y2" i="23"/>
  <c r="X2" i="23"/>
  <c r="W2" i="23"/>
  <c r="V2" i="23"/>
  <c r="U2" i="23"/>
  <c r="T2" i="23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AH2" i="22"/>
  <c r="AG2" i="22"/>
  <c r="AF2" i="22"/>
  <c r="AE2" i="22"/>
  <c r="AD2" i="22"/>
  <c r="AC2" i="22"/>
  <c r="AB2" i="22"/>
  <c r="AA2" i="22"/>
  <c r="Z2" i="22"/>
  <c r="Y2" i="22"/>
  <c r="X2" i="22"/>
  <c r="W2" i="22"/>
  <c r="V2" i="22"/>
  <c r="U2" i="22"/>
  <c r="T2" i="22"/>
  <c r="AH4" i="21"/>
  <c r="AG4" i="21"/>
  <c r="AF4" i="21"/>
  <c r="AE4" i="21"/>
  <c r="AD4" i="21"/>
  <c r="AC4" i="21"/>
  <c r="AB4" i="21"/>
  <c r="AA4" i="21"/>
  <c r="Z4" i="21"/>
  <c r="Y4" i="21"/>
  <c r="X4" i="21"/>
  <c r="W4" i="21"/>
  <c r="V4" i="21"/>
  <c r="U4" i="21"/>
  <c r="T4" i="21"/>
  <c r="AH3" i="21"/>
  <c r="AG3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AH2" i="21"/>
  <c r="AG2" i="21"/>
  <c r="AF2" i="21"/>
  <c r="AE2" i="21"/>
  <c r="AD2" i="21"/>
  <c r="AC2" i="21"/>
  <c r="AB2" i="21"/>
  <c r="AA2" i="21"/>
  <c r="Z2" i="21"/>
  <c r="Y2" i="21"/>
  <c r="X2" i="21"/>
  <c r="W2" i="21"/>
  <c r="V2" i="21"/>
  <c r="U2" i="21"/>
  <c r="T2" i="21"/>
  <c r="AH4" i="20"/>
  <c r="AG4" i="20"/>
  <c r="AF4" i="20"/>
  <c r="AE4" i="20"/>
  <c r="AD4" i="20"/>
  <c r="AC4" i="20"/>
  <c r="AB4" i="20"/>
  <c r="AA4" i="20"/>
  <c r="Z4" i="20"/>
  <c r="Y4" i="20"/>
  <c r="X4" i="20"/>
  <c r="W4" i="20"/>
  <c r="V4" i="20"/>
  <c r="U4" i="20"/>
  <c r="T4" i="20"/>
  <c r="AH3" i="20"/>
  <c r="AG3" i="20"/>
  <c r="AF3" i="20"/>
  <c r="AE3" i="20"/>
  <c r="AD3" i="20"/>
  <c r="AC3" i="20"/>
  <c r="AB3" i="20"/>
  <c r="AA3" i="20"/>
  <c r="Z3" i="20"/>
  <c r="Y3" i="20"/>
  <c r="X3" i="20"/>
  <c r="W3" i="20"/>
  <c r="V3" i="20"/>
  <c r="U3" i="20"/>
  <c r="T3" i="20"/>
  <c r="AH2" i="20"/>
  <c r="AG2" i="20"/>
  <c r="AF2" i="20"/>
  <c r="AE2" i="20"/>
  <c r="AD2" i="20"/>
  <c r="AC2" i="20"/>
  <c r="AB2" i="20"/>
  <c r="AA2" i="20"/>
  <c r="Z2" i="20"/>
  <c r="Y2" i="20"/>
  <c r="X2" i="20"/>
  <c r="W2" i="20"/>
  <c r="V2" i="20"/>
  <c r="U2" i="20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AH4" i="17"/>
  <c r="AG4" i="17"/>
  <c r="AF4" i="17"/>
  <c r="AE4" i="17"/>
  <c r="AD4" i="17"/>
  <c r="AC4" i="17"/>
  <c r="AB4" i="17"/>
  <c r="AA4" i="17"/>
  <c r="Z4" i="17"/>
  <c r="Y4" i="17"/>
  <c r="X4" i="17"/>
  <c r="W4" i="17"/>
  <c r="V4" i="17"/>
  <c r="U4" i="17"/>
  <c r="T4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AH2" i="17"/>
  <c r="AG2" i="17"/>
  <c r="AF2" i="17"/>
  <c r="AE2" i="17"/>
  <c r="AD2" i="17"/>
  <c r="AC2" i="17"/>
  <c r="AB2" i="17"/>
  <c r="AA2" i="17"/>
  <c r="Z2" i="17"/>
  <c r="Y2" i="17"/>
  <c r="X2" i="17"/>
  <c r="W2" i="17"/>
  <c r="V2" i="17"/>
  <c r="U2" i="17"/>
  <c r="T2" i="17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AH4" i="13"/>
  <c r="AG4" i="13"/>
  <c r="AF4" i="13"/>
  <c r="AE4" i="13"/>
  <c r="AD4" i="13"/>
  <c r="AC4" i="13"/>
  <c r="AB4" i="13"/>
  <c r="AA4" i="13"/>
  <c r="Z4" i="13"/>
  <c r="Y4" i="13"/>
  <c r="X4" i="13"/>
  <c r="W4" i="13"/>
  <c r="V4" i="13"/>
  <c r="U4" i="13"/>
  <c r="T4" i="13"/>
  <c r="AH3" i="13"/>
  <c r="AG3" i="13"/>
  <c r="AF3" i="13"/>
  <c r="AE3" i="13"/>
  <c r="AD3" i="13"/>
  <c r="AC3" i="13"/>
  <c r="AB3" i="13"/>
  <c r="AA3" i="13"/>
  <c r="Z3" i="13"/>
  <c r="Y3" i="13"/>
  <c r="X3" i="13"/>
  <c r="W3" i="13"/>
  <c r="V3" i="13"/>
  <c r="U3" i="13"/>
  <c r="T3" i="13"/>
  <c r="AH2" i="13"/>
  <c r="AG2" i="13"/>
  <c r="AF2" i="13"/>
  <c r="AE2" i="13"/>
  <c r="AD2" i="13"/>
  <c r="AC2" i="13"/>
  <c r="AB2" i="13"/>
  <c r="AA2" i="13"/>
  <c r="Z2" i="13"/>
  <c r="Y2" i="13"/>
  <c r="X2" i="13"/>
  <c r="W2" i="13"/>
  <c r="V2" i="13"/>
  <c r="U2" i="13"/>
  <c r="T2" i="13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AH2" i="11"/>
  <c r="AG2" i="11"/>
  <c r="AF2" i="11"/>
  <c r="AE2" i="11"/>
  <c r="AD2" i="11"/>
  <c r="AC2" i="11"/>
  <c r="AB2" i="11"/>
  <c r="AA2" i="11"/>
  <c r="Z2" i="11"/>
  <c r="Y2" i="11"/>
  <c r="X2" i="11"/>
  <c r="W2" i="11"/>
  <c r="V2" i="11"/>
  <c r="U2" i="11"/>
  <c r="T2" i="11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T4" i="9"/>
  <c r="T3" i="9"/>
  <c r="T2" i="9"/>
  <c r="AA91" i="4" l="1"/>
  <c r="AA76" i="4"/>
  <c r="AA67" i="4"/>
  <c r="AA38" i="4"/>
  <c r="AA31" i="4"/>
  <c r="K1" i="7" l="1"/>
  <c r="L1" i="7"/>
  <c r="M1" i="7"/>
  <c r="N1" i="7"/>
  <c r="O1" i="7"/>
  <c r="P1" i="7"/>
  <c r="Q1" i="7"/>
  <c r="R1" i="7"/>
  <c r="K3" i="7"/>
  <c r="L3" i="7"/>
  <c r="M3" i="7"/>
  <c r="N3" i="7"/>
  <c r="O3" i="7"/>
  <c r="P3" i="7"/>
  <c r="Q3" i="7"/>
  <c r="R3" i="7"/>
  <c r="K5" i="7"/>
  <c r="L5" i="7"/>
  <c r="M5" i="7"/>
  <c r="N5" i="7"/>
  <c r="O5" i="7"/>
  <c r="P5" i="7"/>
  <c r="Q5" i="7"/>
  <c r="R5" i="7"/>
  <c r="K7" i="7"/>
  <c r="L7" i="7"/>
  <c r="M7" i="7"/>
  <c r="N7" i="7"/>
  <c r="O7" i="7"/>
  <c r="P7" i="7"/>
  <c r="Q7" i="7"/>
  <c r="R7" i="7"/>
  <c r="K9" i="7"/>
  <c r="L9" i="7"/>
  <c r="M9" i="7"/>
  <c r="N9" i="7"/>
  <c r="O9" i="7"/>
  <c r="P9" i="7"/>
  <c r="Q9" i="7"/>
  <c r="R9" i="7"/>
  <c r="K11" i="7"/>
  <c r="L11" i="7"/>
  <c r="M11" i="7"/>
  <c r="N11" i="7"/>
  <c r="O11" i="7"/>
  <c r="P11" i="7"/>
  <c r="Q11" i="7"/>
  <c r="R11" i="7"/>
  <c r="K13" i="7"/>
  <c r="L13" i="7"/>
  <c r="M13" i="7"/>
  <c r="N13" i="7"/>
  <c r="O13" i="7"/>
  <c r="P13" i="7"/>
  <c r="Q13" i="7"/>
  <c r="R13" i="7"/>
  <c r="K15" i="7"/>
  <c r="L15" i="7"/>
  <c r="M15" i="7"/>
  <c r="N15" i="7"/>
  <c r="O15" i="7"/>
  <c r="P15" i="7"/>
  <c r="Q15" i="7"/>
  <c r="R15" i="7"/>
  <c r="K17" i="7"/>
  <c r="L17" i="7"/>
  <c r="M17" i="7"/>
  <c r="N17" i="7"/>
  <c r="O17" i="7"/>
  <c r="P17" i="7"/>
  <c r="Q17" i="7"/>
  <c r="R17" i="7"/>
  <c r="K19" i="7"/>
  <c r="L19" i="7"/>
  <c r="M19" i="7"/>
  <c r="N19" i="7"/>
  <c r="O19" i="7"/>
  <c r="P19" i="7"/>
  <c r="Q19" i="7"/>
  <c r="R19" i="7"/>
  <c r="K21" i="7"/>
  <c r="L21" i="7"/>
  <c r="M21" i="7"/>
  <c r="N21" i="7"/>
  <c r="O21" i="7"/>
  <c r="P21" i="7"/>
  <c r="Q21" i="7"/>
  <c r="R21" i="7"/>
  <c r="K23" i="7"/>
  <c r="L23" i="7"/>
  <c r="M23" i="7"/>
  <c r="N23" i="7"/>
  <c r="O23" i="7"/>
  <c r="P23" i="7"/>
  <c r="Q23" i="7"/>
  <c r="R23" i="7"/>
  <c r="K25" i="7"/>
  <c r="L25" i="7"/>
  <c r="M25" i="7"/>
  <c r="N25" i="7"/>
  <c r="O25" i="7"/>
  <c r="P25" i="7"/>
  <c r="Q25" i="7"/>
  <c r="R25" i="7"/>
  <c r="K27" i="7"/>
  <c r="L27" i="7"/>
  <c r="M27" i="7"/>
  <c r="N27" i="7"/>
  <c r="O27" i="7"/>
  <c r="P27" i="7"/>
  <c r="Q27" i="7"/>
  <c r="R27" i="7"/>
  <c r="K29" i="7"/>
  <c r="L29" i="7"/>
  <c r="M29" i="7"/>
  <c r="N29" i="7"/>
  <c r="O29" i="7"/>
  <c r="P29" i="7"/>
  <c r="Q29" i="7"/>
  <c r="R29" i="7"/>
  <c r="K31" i="7"/>
  <c r="L31" i="7"/>
  <c r="M31" i="7"/>
  <c r="N31" i="7"/>
  <c r="O31" i="7"/>
  <c r="P31" i="7"/>
  <c r="Q31" i="7"/>
  <c r="R31" i="7"/>
  <c r="K33" i="7"/>
  <c r="L33" i="7"/>
  <c r="M33" i="7"/>
  <c r="N33" i="7"/>
  <c r="O33" i="7"/>
  <c r="P33" i="7"/>
  <c r="Q33" i="7"/>
  <c r="R33" i="7"/>
  <c r="K35" i="7"/>
  <c r="L35" i="7"/>
  <c r="M35" i="7"/>
  <c r="N35" i="7"/>
  <c r="O35" i="7"/>
  <c r="P35" i="7"/>
  <c r="Q35" i="7"/>
  <c r="R35" i="7"/>
  <c r="K37" i="7"/>
  <c r="L37" i="7"/>
  <c r="M37" i="7"/>
  <c r="N37" i="7"/>
  <c r="O37" i="7"/>
  <c r="P37" i="7"/>
  <c r="Q37" i="7"/>
  <c r="R37" i="7"/>
  <c r="K39" i="7"/>
  <c r="L39" i="7"/>
  <c r="M39" i="7"/>
  <c r="N39" i="7"/>
  <c r="O39" i="7"/>
  <c r="P39" i="7"/>
  <c r="Q39" i="7"/>
  <c r="R39" i="7"/>
  <c r="K41" i="7"/>
  <c r="L41" i="7"/>
  <c r="M41" i="7"/>
  <c r="N41" i="7"/>
  <c r="O41" i="7"/>
  <c r="P41" i="7"/>
  <c r="Q41" i="7"/>
  <c r="R41" i="7"/>
  <c r="K43" i="7"/>
  <c r="L43" i="7"/>
  <c r="M43" i="7"/>
  <c r="N43" i="7"/>
  <c r="O43" i="7"/>
  <c r="P43" i="7"/>
  <c r="Q43" i="7"/>
  <c r="R43" i="7"/>
  <c r="K45" i="7"/>
  <c r="L45" i="7"/>
  <c r="M45" i="7"/>
  <c r="N45" i="7"/>
  <c r="O45" i="7"/>
  <c r="P45" i="7"/>
  <c r="Q45" i="7"/>
  <c r="R45" i="7"/>
  <c r="K47" i="7"/>
  <c r="L47" i="7"/>
  <c r="M47" i="7"/>
  <c r="N47" i="7"/>
  <c r="O47" i="7"/>
  <c r="P47" i="7"/>
  <c r="Q47" i="7"/>
  <c r="R47" i="7"/>
  <c r="K49" i="7"/>
  <c r="L49" i="7"/>
  <c r="M49" i="7"/>
  <c r="N49" i="7"/>
  <c r="O49" i="7"/>
  <c r="P49" i="7"/>
  <c r="Q49" i="7"/>
  <c r="R49" i="7"/>
  <c r="K51" i="7"/>
  <c r="L51" i="7"/>
  <c r="M51" i="7"/>
  <c r="N51" i="7"/>
  <c r="O51" i="7"/>
  <c r="P51" i="7"/>
  <c r="Q51" i="7"/>
  <c r="R51" i="7"/>
  <c r="K53" i="7"/>
  <c r="L53" i="7"/>
  <c r="M53" i="7"/>
  <c r="N53" i="7"/>
  <c r="O53" i="7"/>
  <c r="P53" i="7"/>
  <c r="Q53" i="7"/>
  <c r="R53" i="7"/>
  <c r="K55" i="7"/>
  <c r="L55" i="7"/>
  <c r="M55" i="7"/>
  <c r="N55" i="7"/>
  <c r="O55" i="7"/>
  <c r="P55" i="7"/>
  <c r="Q55" i="7"/>
  <c r="R55" i="7"/>
  <c r="K57" i="7"/>
  <c r="L57" i="7"/>
  <c r="M57" i="7"/>
  <c r="N57" i="7"/>
  <c r="O57" i="7"/>
  <c r="P57" i="7"/>
  <c r="Q57" i="7"/>
  <c r="R57" i="7"/>
  <c r="K59" i="7"/>
  <c r="L59" i="7"/>
  <c r="M59" i="7"/>
  <c r="N59" i="7"/>
  <c r="O59" i="7"/>
  <c r="P59" i="7"/>
  <c r="Q59" i="7"/>
  <c r="R59" i="7"/>
  <c r="K61" i="7"/>
  <c r="L61" i="7"/>
  <c r="M61" i="7"/>
  <c r="N61" i="7"/>
  <c r="O61" i="7"/>
  <c r="P61" i="7"/>
  <c r="Q61" i="7"/>
  <c r="R61" i="7"/>
  <c r="K63" i="7"/>
  <c r="L63" i="7"/>
  <c r="M63" i="7"/>
  <c r="N63" i="7"/>
  <c r="O63" i="7"/>
  <c r="P63" i="7"/>
  <c r="Q63" i="7"/>
  <c r="R63" i="7"/>
  <c r="K65" i="7"/>
  <c r="L65" i="7"/>
  <c r="M65" i="7"/>
  <c r="N65" i="7"/>
  <c r="O65" i="7"/>
  <c r="P65" i="7"/>
  <c r="Q65" i="7"/>
  <c r="R65" i="7"/>
  <c r="K67" i="7"/>
  <c r="L67" i="7"/>
  <c r="M67" i="7"/>
  <c r="N67" i="7"/>
  <c r="O67" i="7"/>
  <c r="P67" i="7"/>
  <c r="Q67" i="7"/>
  <c r="R67" i="7"/>
  <c r="K69" i="7"/>
  <c r="L69" i="7"/>
  <c r="M69" i="7"/>
  <c r="N69" i="7"/>
  <c r="O69" i="7"/>
  <c r="P69" i="7"/>
  <c r="Q69" i="7"/>
  <c r="R69" i="7"/>
  <c r="K71" i="7"/>
  <c r="L71" i="7"/>
  <c r="M71" i="7"/>
  <c r="N71" i="7"/>
  <c r="O71" i="7"/>
  <c r="P71" i="7"/>
  <c r="Q71" i="7"/>
  <c r="R71" i="7"/>
  <c r="K73" i="7"/>
  <c r="L73" i="7"/>
  <c r="M73" i="7"/>
  <c r="N73" i="7"/>
  <c r="O73" i="7"/>
  <c r="P73" i="7"/>
  <c r="Q73" i="7"/>
  <c r="R73" i="7"/>
  <c r="K75" i="7"/>
  <c r="L75" i="7"/>
  <c r="M75" i="7"/>
  <c r="N75" i="7"/>
  <c r="O75" i="7"/>
  <c r="P75" i="7"/>
  <c r="Q75" i="7"/>
  <c r="R75" i="7"/>
  <c r="K77" i="7"/>
  <c r="L77" i="7"/>
  <c r="M77" i="7"/>
  <c r="N77" i="7"/>
  <c r="O77" i="7"/>
  <c r="P77" i="7"/>
  <c r="Q77" i="7"/>
  <c r="R77" i="7"/>
  <c r="K79" i="7"/>
  <c r="L79" i="7"/>
  <c r="M79" i="7"/>
  <c r="N79" i="7"/>
  <c r="O79" i="7"/>
  <c r="P79" i="7"/>
  <c r="Q79" i="7"/>
  <c r="R79" i="7"/>
  <c r="K81" i="7"/>
  <c r="L81" i="7"/>
  <c r="M81" i="7"/>
  <c r="N81" i="7"/>
  <c r="O81" i="7"/>
  <c r="P81" i="7"/>
  <c r="Q81" i="7"/>
  <c r="R81" i="7"/>
  <c r="K83" i="7"/>
  <c r="L83" i="7"/>
  <c r="M83" i="7"/>
  <c r="N83" i="7"/>
  <c r="O83" i="7"/>
  <c r="P83" i="7"/>
  <c r="Q83" i="7"/>
  <c r="R83" i="7"/>
  <c r="K85" i="7"/>
  <c r="L85" i="7"/>
  <c r="M85" i="7"/>
  <c r="N85" i="7"/>
  <c r="O85" i="7"/>
  <c r="P85" i="7"/>
  <c r="Q85" i="7"/>
  <c r="R85" i="7"/>
  <c r="K87" i="7"/>
  <c r="L87" i="7"/>
  <c r="M87" i="7"/>
  <c r="N87" i="7"/>
  <c r="O87" i="7"/>
  <c r="P87" i="7"/>
  <c r="Q87" i="7"/>
  <c r="R87" i="7"/>
  <c r="K89" i="7"/>
  <c r="L89" i="7"/>
  <c r="M89" i="7"/>
  <c r="N89" i="7"/>
  <c r="O89" i="7"/>
  <c r="P89" i="7"/>
  <c r="Q89" i="7"/>
  <c r="R89" i="7"/>
  <c r="K91" i="7"/>
  <c r="L91" i="7"/>
  <c r="M91" i="7"/>
  <c r="N91" i="7"/>
  <c r="O91" i="7"/>
  <c r="P91" i="7"/>
  <c r="Q91" i="7"/>
  <c r="R91" i="7"/>
  <c r="K93" i="7"/>
  <c r="L93" i="7"/>
  <c r="M93" i="7"/>
  <c r="N93" i="7"/>
  <c r="O93" i="7"/>
  <c r="P93" i="7"/>
  <c r="Q93" i="7"/>
  <c r="R93" i="7"/>
  <c r="K95" i="7"/>
  <c r="L95" i="7"/>
  <c r="M95" i="7"/>
  <c r="N95" i="7"/>
  <c r="O95" i="7"/>
  <c r="P95" i="7"/>
  <c r="Q95" i="7"/>
  <c r="R95" i="7"/>
  <c r="K97" i="7"/>
  <c r="L97" i="7"/>
  <c r="M97" i="7"/>
  <c r="N97" i="7"/>
  <c r="O97" i="7"/>
  <c r="P97" i="7"/>
  <c r="Q97" i="7"/>
  <c r="R97" i="7"/>
  <c r="K99" i="7"/>
  <c r="L99" i="7"/>
  <c r="M99" i="7"/>
  <c r="N99" i="7"/>
  <c r="O99" i="7"/>
  <c r="P99" i="7"/>
  <c r="Q99" i="7"/>
  <c r="R99" i="7"/>
  <c r="K101" i="7"/>
  <c r="L101" i="7"/>
  <c r="M101" i="7"/>
  <c r="N101" i="7"/>
  <c r="O101" i="7"/>
  <c r="P101" i="7"/>
  <c r="Q101" i="7"/>
  <c r="R101" i="7"/>
  <c r="K103" i="7"/>
  <c r="L103" i="7"/>
  <c r="M103" i="7"/>
  <c r="N103" i="7"/>
  <c r="O103" i="7"/>
  <c r="P103" i="7"/>
  <c r="Q103" i="7"/>
  <c r="R103" i="7"/>
  <c r="K105" i="7"/>
  <c r="L105" i="7"/>
  <c r="M105" i="7"/>
  <c r="N105" i="7"/>
  <c r="O105" i="7"/>
  <c r="P105" i="7"/>
  <c r="Q105" i="7"/>
  <c r="R105" i="7"/>
  <c r="K107" i="7"/>
  <c r="L107" i="7"/>
  <c r="M107" i="7"/>
  <c r="N107" i="7"/>
  <c r="O107" i="7"/>
  <c r="P107" i="7"/>
  <c r="Q107" i="7"/>
  <c r="R107" i="7"/>
  <c r="K109" i="7"/>
  <c r="L109" i="7"/>
  <c r="M109" i="7"/>
  <c r="N109" i="7"/>
  <c r="O109" i="7"/>
  <c r="P109" i="7"/>
  <c r="Q109" i="7"/>
  <c r="R109" i="7"/>
  <c r="K111" i="7"/>
  <c r="L111" i="7"/>
  <c r="M111" i="7"/>
  <c r="N111" i="7"/>
  <c r="O111" i="7"/>
  <c r="P111" i="7"/>
  <c r="Q111" i="7"/>
  <c r="R111" i="7"/>
  <c r="K113" i="7"/>
  <c r="L113" i="7"/>
  <c r="M113" i="7"/>
  <c r="N113" i="7"/>
  <c r="O113" i="7"/>
  <c r="P113" i="7"/>
  <c r="Q113" i="7"/>
  <c r="R113" i="7"/>
  <c r="K115" i="7"/>
  <c r="L115" i="7"/>
  <c r="M115" i="7"/>
  <c r="N115" i="7"/>
  <c r="O115" i="7"/>
  <c r="P115" i="7"/>
  <c r="Q115" i="7"/>
  <c r="R115" i="7"/>
  <c r="K117" i="7"/>
  <c r="L117" i="7"/>
  <c r="M117" i="7"/>
  <c r="N117" i="7"/>
  <c r="O117" i="7"/>
  <c r="P117" i="7"/>
  <c r="Q117" i="7"/>
  <c r="R117" i="7"/>
  <c r="K119" i="7"/>
  <c r="L119" i="7"/>
  <c r="M119" i="7"/>
  <c r="N119" i="7"/>
  <c r="O119" i="7"/>
  <c r="P119" i="7"/>
  <c r="Q119" i="7"/>
  <c r="R119" i="7"/>
  <c r="K121" i="7"/>
  <c r="L121" i="7"/>
  <c r="M121" i="7"/>
  <c r="N121" i="7"/>
  <c r="O121" i="7"/>
  <c r="P121" i="7"/>
  <c r="Q121" i="7"/>
  <c r="R121" i="7"/>
  <c r="K123" i="7"/>
  <c r="L123" i="7"/>
  <c r="M123" i="7"/>
  <c r="N123" i="7"/>
  <c r="O123" i="7"/>
  <c r="P123" i="7"/>
  <c r="Q123" i="7"/>
  <c r="R123" i="7"/>
  <c r="K125" i="7"/>
  <c r="L125" i="7"/>
  <c r="M125" i="7"/>
  <c r="N125" i="7"/>
  <c r="O125" i="7"/>
  <c r="P125" i="7"/>
  <c r="Q125" i="7"/>
  <c r="R125" i="7"/>
  <c r="K127" i="7"/>
  <c r="L127" i="7"/>
  <c r="M127" i="7"/>
  <c r="N127" i="7"/>
  <c r="O127" i="7"/>
  <c r="P127" i="7"/>
  <c r="Q127" i="7"/>
  <c r="R127" i="7"/>
  <c r="K129" i="7"/>
  <c r="L129" i="7"/>
  <c r="M129" i="7"/>
  <c r="N129" i="7"/>
  <c r="O129" i="7"/>
  <c r="P129" i="7"/>
  <c r="Q129" i="7"/>
  <c r="R129" i="7"/>
  <c r="K131" i="7"/>
  <c r="L131" i="7"/>
  <c r="M131" i="7"/>
  <c r="N131" i="7"/>
  <c r="O131" i="7"/>
  <c r="P131" i="7"/>
  <c r="Q131" i="7"/>
  <c r="R131" i="7"/>
  <c r="K133" i="7"/>
  <c r="L133" i="7"/>
  <c r="M133" i="7"/>
  <c r="N133" i="7"/>
  <c r="O133" i="7"/>
  <c r="P133" i="7"/>
  <c r="Q133" i="7"/>
  <c r="R133" i="7"/>
  <c r="K135" i="7"/>
  <c r="L135" i="7"/>
  <c r="M135" i="7"/>
  <c r="N135" i="7"/>
  <c r="O135" i="7"/>
  <c r="P135" i="7"/>
  <c r="Q135" i="7"/>
  <c r="R135" i="7"/>
  <c r="K137" i="7"/>
  <c r="L137" i="7"/>
  <c r="M137" i="7"/>
  <c r="N137" i="7"/>
  <c r="O137" i="7"/>
  <c r="P137" i="7"/>
  <c r="Q137" i="7"/>
  <c r="R137" i="7"/>
  <c r="K139" i="7"/>
  <c r="L139" i="7"/>
  <c r="M139" i="7"/>
  <c r="N139" i="7"/>
  <c r="O139" i="7"/>
  <c r="P139" i="7"/>
  <c r="Q139" i="7"/>
  <c r="R139" i="7"/>
  <c r="K141" i="7"/>
  <c r="L141" i="7"/>
  <c r="M141" i="7"/>
  <c r="N141" i="7"/>
  <c r="O141" i="7"/>
  <c r="P141" i="7"/>
  <c r="Q141" i="7"/>
  <c r="R141" i="7"/>
  <c r="K143" i="7"/>
  <c r="L143" i="7"/>
  <c r="M143" i="7"/>
  <c r="N143" i="7"/>
  <c r="O143" i="7"/>
  <c r="P143" i="7"/>
  <c r="Q143" i="7"/>
  <c r="R143" i="7"/>
  <c r="K145" i="7"/>
  <c r="L145" i="7"/>
  <c r="M145" i="7"/>
  <c r="N145" i="7"/>
  <c r="O145" i="7"/>
  <c r="P145" i="7"/>
  <c r="Q145" i="7"/>
  <c r="R145" i="7"/>
  <c r="K147" i="7"/>
  <c r="L147" i="7"/>
  <c r="M147" i="7"/>
  <c r="N147" i="7"/>
  <c r="O147" i="7"/>
  <c r="P147" i="7"/>
  <c r="Q147" i="7"/>
  <c r="R147" i="7"/>
  <c r="K149" i="7"/>
  <c r="L149" i="7"/>
  <c r="M149" i="7"/>
  <c r="N149" i="7"/>
  <c r="O149" i="7"/>
  <c r="P149" i="7"/>
  <c r="Q149" i="7"/>
  <c r="R149" i="7"/>
  <c r="K151" i="7"/>
  <c r="L151" i="7"/>
  <c r="M151" i="7"/>
  <c r="N151" i="7"/>
  <c r="O151" i="7"/>
  <c r="P151" i="7"/>
  <c r="Q151" i="7"/>
  <c r="R151" i="7"/>
  <c r="K153" i="7"/>
  <c r="L153" i="7"/>
  <c r="M153" i="7"/>
  <c r="N153" i="7"/>
  <c r="O153" i="7"/>
  <c r="P153" i="7"/>
  <c r="Q153" i="7"/>
  <c r="R153" i="7"/>
  <c r="K155" i="7"/>
  <c r="L155" i="7"/>
  <c r="M155" i="7"/>
  <c r="N155" i="7"/>
  <c r="O155" i="7"/>
  <c r="P155" i="7"/>
  <c r="Q155" i="7"/>
  <c r="R155" i="7"/>
  <c r="K157" i="7"/>
  <c r="L157" i="7"/>
  <c r="M157" i="7"/>
  <c r="N157" i="7"/>
  <c r="O157" i="7"/>
  <c r="P157" i="7"/>
  <c r="Q157" i="7"/>
  <c r="R157" i="7"/>
  <c r="K159" i="7"/>
  <c r="L159" i="7"/>
  <c r="M159" i="7"/>
  <c r="N159" i="7"/>
  <c r="O159" i="7"/>
  <c r="P159" i="7"/>
  <c r="Q159" i="7"/>
  <c r="R159" i="7"/>
  <c r="K161" i="7"/>
  <c r="L161" i="7"/>
  <c r="M161" i="7"/>
  <c r="N161" i="7"/>
  <c r="O161" i="7"/>
  <c r="P161" i="7"/>
  <c r="Q161" i="7"/>
  <c r="R161" i="7"/>
  <c r="K163" i="7"/>
  <c r="L163" i="7"/>
  <c r="M163" i="7"/>
  <c r="N163" i="7"/>
  <c r="O163" i="7"/>
  <c r="P163" i="7"/>
  <c r="Q163" i="7"/>
  <c r="R163" i="7"/>
  <c r="K165" i="7"/>
  <c r="L165" i="7"/>
  <c r="M165" i="7"/>
  <c r="N165" i="7"/>
  <c r="O165" i="7"/>
  <c r="P165" i="7"/>
  <c r="Q165" i="7"/>
  <c r="R165" i="7"/>
  <c r="K167" i="7"/>
  <c r="L167" i="7"/>
  <c r="M167" i="7"/>
  <c r="N167" i="7"/>
  <c r="O167" i="7"/>
  <c r="P167" i="7"/>
  <c r="Q167" i="7"/>
  <c r="R167" i="7"/>
  <c r="K169" i="7"/>
  <c r="L169" i="7"/>
  <c r="M169" i="7"/>
  <c r="N169" i="7"/>
  <c r="O169" i="7"/>
  <c r="P169" i="7"/>
  <c r="Q169" i="7"/>
  <c r="R169" i="7"/>
  <c r="K171" i="7"/>
  <c r="L171" i="7"/>
  <c r="M171" i="7"/>
  <c r="N171" i="7"/>
  <c r="O171" i="7"/>
  <c r="P171" i="7"/>
  <c r="Q171" i="7"/>
  <c r="R171" i="7"/>
  <c r="K173" i="7"/>
  <c r="L173" i="7"/>
  <c r="M173" i="7"/>
  <c r="N173" i="7"/>
  <c r="O173" i="7"/>
  <c r="P173" i="7"/>
  <c r="Q173" i="7"/>
  <c r="R173" i="7"/>
  <c r="K175" i="7"/>
  <c r="L175" i="7"/>
  <c r="M175" i="7"/>
  <c r="N175" i="7"/>
  <c r="O175" i="7"/>
  <c r="P175" i="7"/>
  <c r="Q175" i="7"/>
  <c r="R175" i="7"/>
  <c r="K177" i="7"/>
  <c r="L177" i="7"/>
  <c r="M177" i="7"/>
  <c r="N177" i="7"/>
  <c r="O177" i="7"/>
  <c r="P177" i="7"/>
  <c r="Q177" i="7"/>
  <c r="R177" i="7"/>
  <c r="K179" i="7"/>
  <c r="L179" i="7"/>
  <c r="M179" i="7"/>
  <c r="N179" i="7"/>
  <c r="O179" i="7"/>
  <c r="P179" i="7"/>
  <c r="Q179" i="7"/>
  <c r="R179" i="7"/>
  <c r="K181" i="7"/>
  <c r="L181" i="7"/>
  <c r="M181" i="7"/>
  <c r="N181" i="7"/>
  <c r="O181" i="7"/>
  <c r="P181" i="7"/>
  <c r="Q181" i="7"/>
  <c r="R181" i="7"/>
  <c r="K183" i="7"/>
  <c r="L183" i="7"/>
  <c r="M183" i="7"/>
  <c r="N183" i="7"/>
  <c r="O183" i="7"/>
  <c r="P183" i="7"/>
  <c r="Q183" i="7"/>
  <c r="R183" i="7"/>
  <c r="K185" i="7"/>
  <c r="L185" i="7"/>
  <c r="M185" i="7"/>
  <c r="N185" i="7"/>
  <c r="O185" i="7"/>
  <c r="P185" i="7"/>
  <c r="Q185" i="7"/>
  <c r="R185" i="7"/>
  <c r="K187" i="7"/>
  <c r="L187" i="7"/>
  <c r="M187" i="7"/>
  <c r="N187" i="7"/>
  <c r="O187" i="7"/>
  <c r="P187" i="7"/>
  <c r="Q187" i="7"/>
  <c r="R187" i="7"/>
  <c r="K189" i="7"/>
  <c r="L189" i="7"/>
  <c r="M189" i="7"/>
  <c r="N189" i="7"/>
  <c r="O189" i="7"/>
  <c r="P189" i="7"/>
  <c r="Q189" i="7"/>
  <c r="R189" i="7"/>
  <c r="K191" i="7"/>
  <c r="L191" i="7"/>
  <c r="M191" i="7"/>
  <c r="N191" i="7"/>
  <c r="O191" i="7"/>
  <c r="P191" i="7"/>
  <c r="Q191" i="7"/>
  <c r="R191" i="7"/>
  <c r="K193" i="7"/>
  <c r="L193" i="7"/>
  <c r="M193" i="7"/>
  <c r="N193" i="7"/>
  <c r="O193" i="7"/>
  <c r="P193" i="7"/>
  <c r="Q193" i="7"/>
  <c r="R193" i="7"/>
  <c r="K195" i="7"/>
  <c r="L195" i="7"/>
  <c r="M195" i="7"/>
  <c r="N195" i="7"/>
  <c r="O195" i="7"/>
  <c r="P195" i="7"/>
  <c r="Q195" i="7"/>
  <c r="R195" i="7"/>
  <c r="K197" i="7"/>
  <c r="L197" i="7"/>
  <c r="M197" i="7"/>
  <c r="N197" i="7"/>
  <c r="O197" i="7"/>
  <c r="P197" i="7"/>
  <c r="Q197" i="7"/>
  <c r="R197" i="7"/>
  <c r="K199" i="7"/>
  <c r="L199" i="7"/>
  <c r="M199" i="7"/>
  <c r="N199" i="7"/>
  <c r="O199" i="7"/>
  <c r="P199" i="7"/>
  <c r="Q199" i="7"/>
  <c r="R199" i="7"/>
  <c r="K201" i="7"/>
  <c r="L201" i="7"/>
  <c r="M201" i="7"/>
  <c r="N201" i="7"/>
  <c r="O201" i="7"/>
  <c r="P201" i="7"/>
  <c r="Q201" i="7"/>
  <c r="R201" i="7"/>
  <c r="K203" i="7"/>
  <c r="L203" i="7"/>
  <c r="M203" i="7"/>
  <c r="N203" i="7"/>
  <c r="O203" i="7"/>
  <c r="P203" i="7"/>
  <c r="Q203" i="7"/>
  <c r="R203" i="7"/>
  <c r="K205" i="7"/>
  <c r="L205" i="7"/>
  <c r="M205" i="7"/>
  <c r="N205" i="7"/>
  <c r="O205" i="7"/>
  <c r="P205" i="7"/>
  <c r="Q205" i="7"/>
  <c r="R205" i="7"/>
  <c r="K207" i="7"/>
  <c r="L207" i="7"/>
  <c r="M207" i="7"/>
  <c r="N207" i="7"/>
  <c r="O207" i="7"/>
  <c r="P207" i="7"/>
  <c r="Q207" i="7"/>
  <c r="R207" i="7"/>
  <c r="K209" i="7"/>
  <c r="L209" i="7"/>
  <c r="M209" i="7"/>
  <c r="N209" i="7"/>
  <c r="O209" i="7"/>
  <c r="P209" i="7"/>
  <c r="Q209" i="7"/>
  <c r="R209" i="7"/>
  <c r="K211" i="7"/>
  <c r="L211" i="7"/>
  <c r="M211" i="7"/>
  <c r="N211" i="7"/>
  <c r="O211" i="7"/>
  <c r="P211" i="7"/>
  <c r="Q211" i="7"/>
  <c r="R211" i="7"/>
  <c r="K213" i="7"/>
  <c r="L213" i="7"/>
  <c r="M213" i="7"/>
  <c r="N213" i="7"/>
  <c r="O213" i="7"/>
  <c r="P213" i="7"/>
  <c r="Q213" i="7"/>
  <c r="R213" i="7"/>
  <c r="K215" i="7"/>
  <c r="L215" i="7"/>
  <c r="M215" i="7"/>
  <c r="N215" i="7"/>
  <c r="O215" i="7"/>
  <c r="P215" i="7"/>
  <c r="Q215" i="7"/>
  <c r="R215" i="7"/>
  <c r="K217" i="7"/>
  <c r="L217" i="7"/>
  <c r="M217" i="7"/>
  <c r="N217" i="7"/>
  <c r="O217" i="7"/>
  <c r="P217" i="7"/>
  <c r="Q217" i="7"/>
  <c r="R217" i="7"/>
  <c r="K219" i="7"/>
  <c r="L219" i="7"/>
  <c r="M219" i="7"/>
  <c r="N219" i="7"/>
  <c r="O219" i="7"/>
  <c r="P219" i="7"/>
  <c r="Q219" i="7"/>
  <c r="R219" i="7"/>
  <c r="K221" i="7"/>
  <c r="L221" i="7"/>
  <c r="M221" i="7"/>
  <c r="N221" i="7"/>
  <c r="O221" i="7"/>
  <c r="P221" i="7"/>
  <c r="Q221" i="7"/>
  <c r="R221" i="7"/>
  <c r="K223" i="7"/>
  <c r="L223" i="7"/>
  <c r="M223" i="7"/>
  <c r="N223" i="7"/>
  <c r="O223" i="7"/>
  <c r="P223" i="7"/>
  <c r="Q223" i="7"/>
  <c r="R223" i="7"/>
  <c r="K225" i="7"/>
  <c r="L225" i="7"/>
  <c r="M225" i="7"/>
  <c r="N225" i="7"/>
  <c r="O225" i="7"/>
  <c r="P225" i="7"/>
  <c r="Q225" i="7"/>
  <c r="R225" i="7"/>
  <c r="K227" i="7"/>
  <c r="L227" i="7"/>
  <c r="M227" i="7"/>
  <c r="N227" i="7"/>
  <c r="O227" i="7"/>
  <c r="P227" i="7"/>
  <c r="Q227" i="7"/>
  <c r="R227" i="7"/>
  <c r="K229" i="7"/>
  <c r="L229" i="7"/>
  <c r="M229" i="7"/>
  <c r="N229" i="7"/>
  <c r="O229" i="7"/>
  <c r="P229" i="7"/>
  <c r="Q229" i="7"/>
  <c r="R229" i="7"/>
  <c r="K231" i="7"/>
  <c r="L231" i="7"/>
  <c r="M231" i="7"/>
  <c r="N231" i="7"/>
  <c r="O231" i="7"/>
  <c r="P231" i="7"/>
  <c r="Q231" i="7"/>
  <c r="R231" i="7"/>
  <c r="K233" i="7"/>
  <c r="L233" i="7"/>
  <c r="M233" i="7"/>
  <c r="N233" i="7"/>
  <c r="O233" i="7"/>
  <c r="P233" i="7"/>
  <c r="Q233" i="7"/>
  <c r="R233" i="7"/>
  <c r="K235" i="7"/>
  <c r="L235" i="7"/>
  <c r="M235" i="7"/>
  <c r="N235" i="7"/>
  <c r="O235" i="7"/>
  <c r="P235" i="7"/>
  <c r="Q235" i="7"/>
  <c r="R235" i="7"/>
  <c r="K237" i="7"/>
  <c r="L237" i="7"/>
  <c r="M237" i="7"/>
  <c r="N237" i="7"/>
  <c r="O237" i="7"/>
  <c r="P237" i="7"/>
  <c r="Q237" i="7"/>
  <c r="R237" i="7"/>
  <c r="K239" i="7"/>
  <c r="L239" i="7"/>
  <c r="M239" i="7"/>
  <c r="N239" i="7"/>
  <c r="O239" i="7"/>
  <c r="P239" i="7"/>
  <c r="Q239" i="7"/>
  <c r="R239" i="7"/>
  <c r="K241" i="7"/>
  <c r="L241" i="7"/>
  <c r="M241" i="7"/>
  <c r="N241" i="7"/>
  <c r="O241" i="7"/>
  <c r="P241" i="7"/>
  <c r="Q241" i="7"/>
  <c r="R241" i="7"/>
  <c r="K243" i="7"/>
  <c r="L243" i="7"/>
  <c r="M243" i="7"/>
  <c r="N243" i="7"/>
  <c r="O243" i="7"/>
  <c r="P243" i="7"/>
  <c r="Q243" i="7"/>
  <c r="R243" i="7"/>
  <c r="K245" i="7"/>
  <c r="L245" i="7"/>
  <c r="M245" i="7"/>
  <c r="N245" i="7"/>
  <c r="O245" i="7"/>
  <c r="P245" i="7"/>
  <c r="Q245" i="7"/>
  <c r="R245" i="7"/>
  <c r="K247" i="7"/>
  <c r="L247" i="7"/>
  <c r="M247" i="7"/>
  <c r="N247" i="7"/>
  <c r="O247" i="7"/>
  <c r="P247" i="7"/>
  <c r="Q247" i="7"/>
  <c r="R247" i="7"/>
  <c r="K249" i="7"/>
  <c r="L249" i="7"/>
  <c r="M249" i="7"/>
  <c r="N249" i="7"/>
  <c r="O249" i="7"/>
  <c r="P249" i="7"/>
  <c r="Q249" i="7"/>
  <c r="R249" i="7"/>
  <c r="K251" i="7"/>
  <c r="L251" i="7"/>
  <c r="M251" i="7"/>
  <c r="N251" i="7"/>
  <c r="O251" i="7"/>
  <c r="P251" i="7"/>
  <c r="Q251" i="7"/>
  <c r="R251" i="7"/>
  <c r="K253" i="7"/>
  <c r="L253" i="7"/>
  <c r="M253" i="7"/>
  <c r="N253" i="7"/>
  <c r="O253" i="7"/>
  <c r="P253" i="7"/>
  <c r="Q253" i="7"/>
  <c r="R253" i="7"/>
  <c r="K255" i="7"/>
  <c r="L255" i="7"/>
  <c r="M255" i="7"/>
  <c r="N255" i="7"/>
  <c r="O255" i="7"/>
  <c r="P255" i="7"/>
  <c r="Q255" i="7"/>
  <c r="R255" i="7"/>
  <c r="H6" i="5" l="1"/>
  <c r="V6" i="6" s="1"/>
  <c r="I15" i="5"/>
  <c r="Y7" i="6" s="1"/>
  <c r="H15" i="5"/>
  <c r="I14" i="5"/>
  <c r="Z7" i="6" s="1"/>
  <c r="H14" i="5"/>
  <c r="I13" i="5"/>
  <c r="U7" i="6" s="1"/>
  <c r="H13" i="5"/>
  <c r="U6" i="6" s="1"/>
  <c r="I12" i="5"/>
  <c r="O7" i="6" s="1"/>
  <c r="H12" i="5"/>
  <c r="I11" i="5"/>
  <c r="AA7" i="6" s="1"/>
  <c r="H11" i="5"/>
  <c r="I10" i="5"/>
  <c r="X7" i="6" s="1"/>
  <c r="H10" i="5"/>
  <c r="I9" i="5"/>
  <c r="Q7" i="6" s="1"/>
  <c r="H9" i="5"/>
  <c r="Q6" i="6" s="1"/>
  <c r="I8" i="5"/>
  <c r="T7" i="6" s="1"/>
  <c r="H8" i="5"/>
  <c r="I7" i="5"/>
  <c r="N7" i="6" s="1"/>
  <c r="H7" i="5"/>
  <c r="I6" i="5"/>
  <c r="V7" i="6" s="1"/>
  <c r="I5" i="5"/>
  <c r="P7" i="6" s="1"/>
  <c r="H5" i="5"/>
  <c r="P6" i="6" s="1"/>
  <c r="I4" i="5"/>
  <c r="H4" i="5"/>
  <c r="M6" i="6" s="1"/>
  <c r="I3" i="5"/>
  <c r="S7" i="6" s="1"/>
  <c r="H3" i="5"/>
  <c r="S6" i="6" s="1"/>
  <c r="I2" i="5"/>
  <c r="R7" i="6" s="1"/>
  <c r="H2" i="5"/>
  <c r="R6" i="6" s="1"/>
  <c r="I1" i="5"/>
  <c r="W7" i="6" s="1"/>
  <c r="AA6" i="6"/>
  <c r="Z6" i="6"/>
  <c r="Y6" i="6"/>
  <c r="X6" i="6"/>
  <c r="T6" i="6"/>
  <c r="O6" i="6"/>
  <c r="N6" i="6"/>
  <c r="G15" i="5"/>
  <c r="Y5" i="6" s="1"/>
  <c r="G14" i="5"/>
  <c r="Z5" i="6" s="1"/>
  <c r="G13" i="5"/>
  <c r="U5" i="6" s="1"/>
  <c r="G12" i="5"/>
  <c r="O5" i="6" s="1"/>
  <c r="G11" i="5"/>
  <c r="AA5" i="6" s="1"/>
  <c r="G10" i="5"/>
  <c r="X5" i="6" s="1"/>
  <c r="G9" i="5"/>
  <c r="Q5" i="6" s="1"/>
  <c r="G8" i="5"/>
  <c r="T5" i="6" s="1"/>
  <c r="G7" i="5"/>
  <c r="N5" i="6" s="1"/>
  <c r="G6" i="5"/>
  <c r="V5" i="6" s="1"/>
  <c r="G5" i="5"/>
  <c r="P5" i="6" s="1"/>
  <c r="G4" i="5"/>
  <c r="M5" i="6" s="1"/>
  <c r="G3" i="5"/>
  <c r="S5" i="6" s="1"/>
  <c r="G2" i="5"/>
  <c r="R5" i="6" s="1"/>
  <c r="H1" i="5"/>
  <c r="W6" i="6" s="1"/>
  <c r="G1" i="5"/>
  <c r="W5" i="6" s="1"/>
  <c r="AA23" i="4" l="1"/>
  <c r="AA42" i="4"/>
  <c r="AA90" i="4"/>
  <c r="AA104" i="4"/>
  <c r="AA41" i="4"/>
  <c r="AA17" i="4"/>
  <c r="AA10" i="4"/>
  <c r="AA4" i="4"/>
  <c r="AA66" i="4"/>
  <c r="AA40" i="4"/>
  <c r="AA121" i="4"/>
  <c r="AA26" i="4"/>
  <c r="AA58" i="4"/>
  <c r="AA36" i="4"/>
  <c r="AA7" i="4"/>
  <c r="AA124" i="4"/>
  <c r="AA69" i="4"/>
  <c r="AA16" i="4"/>
  <c r="AA18" i="4"/>
  <c r="AA82" i="4"/>
  <c r="AA39" i="4"/>
  <c r="AA5" i="4"/>
  <c r="AA117" i="4"/>
  <c r="AA35" i="4"/>
  <c r="AA14" i="4"/>
  <c r="AA95" i="4"/>
  <c r="AA25" i="4"/>
  <c r="AA28" i="4"/>
  <c r="AA119" i="4"/>
  <c r="AA53" i="4"/>
  <c r="AA11" i="4"/>
  <c r="AA81" i="4"/>
  <c r="AA8" i="4"/>
  <c r="AA74" i="4"/>
  <c r="AA6" i="4"/>
  <c r="AA78" i="4"/>
  <c r="AA51" i="4"/>
  <c r="AA37" i="4"/>
  <c r="AA29" i="4"/>
  <c r="AA96" i="4"/>
  <c r="AA45" i="4"/>
  <c r="AA114" i="4"/>
  <c r="AA60" i="4"/>
  <c r="AA87" i="4"/>
  <c r="AA27" i="4"/>
  <c r="AA30" i="4"/>
  <c r="AA34" i="4"/>
  <c r="AA47" i="4"/>
  <c r="AA93" i="4"/>
  <c r="AA64" i="4"/>
  <c r="AA71" i="4"/>
  <c r="AA73" i="4"/>
  <c r="AA102" i="4"/>
  <c r="AA59" i="4"/>
  <c r="AA15" i="4"/>
  <c r="AA48" i="4"/>
  <c r="AA106" i="4"/>
  <c r="AA32" i="4"/>
  <c r="AA65" i="4"/>
  <c r="AA94" i="4"/>
  <c r="AA24" i="4"/>
  <c r="AA21" i="4"/>
  <c r="AA84" i="4"/>
  <c r="AA80" i="4"/>
  <c r="AA101" i="4"/>
  <c r="AA49" i="4"/>
  <c r="AA98" i="4"/>
  <c r="AA57" i="4"/>
  <c r="AA52" i="4"/>
  <c r="AA70" i="4"/>
  <c r="AA75" i="4"/>
  <c r="AA118" i="4"/>
  <c r="AA111" i="4"/>
  <c r="AA63" i="4"/>
  <c r="AA77" i="4"/>
  <c r="AA85" i="4"/>
  <c r="AA12" i="4"/>
  <c r="AA22" i="4"/>
  <c r="AA46" i="4"/>
  <c r="AA33" i="4"/>
  <c r="AA9" i="4"/>
  <c r="AA109" i="4"/>
  <c r="AA3" i="4"/>
  <c r="AA108" i="4"/>
  <c r="AA105" i="4"/>
  <c r="AA72" i="4"/>
  <c r="AA113" i="4"/>
  <c r="AA43" i="4"/>
  <c r="AA110" i="4"/>
  <c r="AA68" i="4"/>
  <c r="AA2" i="4"/>
  <c r="AA13" i="4"/>
  <c r="AA50" i="4"/>
  <c r="AA89" i="4"/>
  <c r="AA92" i="4"/>
  <c r="AA107" i="4"/>
  <c r="AA126" i="4"/>
  <c r="AA100" i="4"/>
  <c r="AA79" i="4"/>
  <c r="AA20" i="4"/>
  <c r="AA125" i="4"/>
  <c r="AA103" i="4"/>
  <c r="AA128" i="4"/>
  <c r="AA44" i="4"/>
  <c r="AA19" i="4"/>
  <c r="AA55" i="4"/>
  <c r="AA54" i="4"/>
  <c r="AA61" i="4"/>
  <c r="AA122" i="4"/>
  <c r="AA116" i="4"/>
  <c r="AA86" i="4"/>
  <c r="AA112" i="4"/>
  <c r="AA97" i="4"/>
  <c r="AA88" i="4"/>
  <c r="AA99" i="4"/>
  <c r="AA123" i="4"/>
  <c r="AA83" i="4"/>
  <c r="AA56" i="4"/>
  <c r="AA127" i="4"/>
  <c r="AA62" i="4"/>
  <c r="AA129" i="4"/>
  <c r="AA120" i="4"/>
  <c r="AA115" i="4"/>
  <c r="AA40" i="3" l="1"/>
  <c r="AA13" i="3"/>
  <c r="AA15" i="3"/>
  <c r="AA5" i="3"/>
  <c r="AA36" i="3"/>
  <c r="AA3" i="3"/>
  <c r="AA2" i="3"/>
  <c r="AA25" i="3"/>
  <c r="AA23" i="3"/>
  <c r="AA11" i="3"/>
  <c r="AA21" i="3"/>
  <c r="AA4" i="3"/>
  <c r="AA32" i="3"/>
  <c r="AA51" i="3"/>
  <c r="AA31" i="3"/>
  <c r="AA8" i="3"/>
  <c r="AA7" i="3"/>
  <c r="AA6" i="3"/>
  <c r="AA9" i="3"/>
  <c r="AA58" i="3"/>
  <c r="AA55" i="3"/>
  <c r="AA70" i="3"/>
  <c r="AA14" i="3"/>
  <c r="AA47" i="3"/>
  <c r="AA80" i="3"/>
  <c r="AA10" i="3"/>
  <c r="AA35" i="3"/>
  <c r="AA52" i="3"/>
  <c r="AA87" i="3"/>
  <c r="AA27" i="3"/>
  <c r="AA17" i="3"/>
  <c r="AA26" i="3"/>
  <c r="AA19" i="3"/>
  <c r="AA12" i="3"/>
  <c r="AA28" i="3"/>
  <c r="AA63" i="3"/>
  <c r="AA76" i="3"/>
  <c r="AA77" i="3"/>
  <c r="AA93" i="3"/>
  <c r="AA30" i="3"/>
  <c r="AA16" i="3"/>
  <c r="AA24" i="3"/>
  <c r="AA59" i="3"/>
  <c r="AA62" i="3"/>
  <c r="AA22" i="3"/>
  <c r="AA29" i="3"/>
  <c r="AA39" i="3"/>
  <c r="AA18" i="3"/>
  <c r="AA60" i="3"/>
  <c r="AA100" i="3"/>
  <c r="AA83" i="3"/>
  <c r="AA38" i="3"/>
  <c r="AA20" i="3"/>
  <c r="AA110" i="3"/>
  <c r="AA82" i="3"/>
  <c r="AA48" i="3"/>
  <c r="AA65" i="3"/>
  <c r="AA126" i="3"/>
  <c r="AA118" i="3"/>
  <c r="AA125" i="3"/>
  <c r="AA64" i="3"/>
  <c r="AA44" i="3"/>
  <c r="AA33" i="3"/>
  <c r="AA88" i="3"/>
  <c r="AA54" i="3"/>
  <c r="AA74" i="3"/>
  <c r="AA53" i="3"/>
  <c r="AA92" i="3"/>
  <c r="AA56" i="3"/>
  <c r="AA37" i="3"/>
  <c r="AA57" i="3"/>
  <c r="AA94" i="3"/>
  <c r="AA84" i="3"/>
  <c r="AA120" i="3"/>
  <c r="AA46" i="3"/>
  <c r="AA49" i="3"/>
  <c r="AA43" i="3"/>
  <c r="AA45" i="3"/>
  <c r="AA103" i="3"/>
  <c r="AA111" i="3"/>
  <c r="AA123" i="3"/>
  <c r="AA73" i="3"/>
  <c r="AA85" i="3"/>
  <c r="AA122" i="3"/>
  <c r="AA124" i="3"/>
  <c r="AA127" i="3"/>
  <c r="AA106" i="3"/>
  <c r="AA67" i="3"/>
  <c r="AA66" i="3"/>
  <c r="AA68" i="3"/>
  <c r="AA112" i="3"/>
  <c r="AA42" i="3"/>
  <c r="AA72" i="3"/>
  <c r="AA98" i="3"/>
  <c r="AA86" i="3"/>
  <c r="AA71" i="3"/>
  <c r="AA115" i="3"/>
  <c r="AA75" i="3"/>
  <c r="AA97" i="3"/>
  <c r="AA104" i="3"/>
  <c r="AA50" i="3"/>
  <c r="AA108" i="3"/>
  <c r="AA129" i="3"/>
  <c r="AA107" i="3"/>
  <c r="AA61" i="3"/>
  <c r="AA109" i="3"/>
  <c r="AA102" i="3"/>
  <c r="AA117" i="3"/>
  <c r="AA91" i="3"/>
  <c r="AA114" i="3"/>
  <c r="AA69" i="3"/>
  <c r="AA105" i="3"/>
  <c r="AA113" i="3"/>
  <c r="AA78" i="3"/>
  <c r="AA119" i="3"/>
  <c r="AA95" i="3"/>
  <c r="AA79" i="3"/>
  <c r="AA99" i="3"/>
  <c r="AA41" i="3"/>
  <c r="AA128" i="3"/>
  <c r="AA90" i="3"/>
  <c r="AA101" i="3"/>
  <c r="AA81" i="3"/>
  <c r="AA121" i="3"/>
  <c r="AA96" i="3"/>
  <c r="AA116" i="3"/>
  <c r="AA89" i="3"/>
  <c r="AA34" i="3"/>
</calcChain>
</file>

<file path=xl/sharedStrings.xml><?xml version="1.0" encoding="utf-8"?>
<sst xmlns="http://schemas.openxmlformats.org/spreadsheetml/2006/main" count="5228" uniqueCount="574">
  <si>
    <t>L.LifeExpectancy</t>
  </si>
  <si>
    <t>L.FDI</t>
  </si>
  <si>
    <t>L.GovernmentSpending</t>
  </si>
  <si>
    <t>L.PrivateSpending</t>
  </si>
  <si>
    <t>L.Inflation</t>
  </si>
  <si>
    <t>L.ProductionPrices</t>
  </si>
  <si>
    <t>L.PandemicGrowth</t>
  </si>
  <si>
    <t>L.RecoveryRate</t>
  </si>
  <si>
    <t>L.GovernmentSpending L.LifeExpectancy</t>
  </si>
  <si>
    <t>L.PrivateSpending L.FDI</t>
  </si>
  <si>
    <t>L.Inflation L.FDI</t>
  </si>
  <si>
    <t>L.Inflation L.GovernmentSpending</t>
  </si>
  <si>
    <t>L.ProductionPrices L.FDI</t>
  </si>
  <si>
    <t>L.ProductionPrices L.GovernmentSpending</t>
  </si>
  <si>
    <t>L.ProductionPrices L.PrivateSpending</t>
  </si>
  <si>
    <t>L.ShortInterestRate L.LifeExpectancy</t>
  </si>
  <si>
    <t>L.ShortInterestRate L.PrivateSpending</t>
  </si>
  <si>
    <t>L.ShortInterestRate L.Inflation</t>
  </si>
  <si>
    <t>L.ShortInterestRate L.ProductionPrices</t>
  </si>
  <si>
    <t>L.LongInterestRate L.LifeExpectancy</t>
  </si>
  <si>
    <t>L.LongInterestRate L.PrivateSpending</t>
  </si>
  <si>
    <t>L.LongInterestRate L.Inflation</t>
  </si>
  <si>
    <t>L.LongInterestRate L.ProductionPrices</t>
  </si>
  <si>
    <t>L.LongInterestRate L.ShortInterestRate</t>
  </si>
  <si>
    <t>L.EmploymentRate L.LifeExpectancy</t>
  </si>
  <si>
    <t>L.PandemicGrowth L.LifeExpectancy</t>
  </si>
  <si>
    <t>L.PandemicGrowth L.FDI</t>
  </si>
  <si>
    <t>L.PandemicGrowth L.GovernmentSpending</t>
  </si>
  <si>
    <t>L.PandemicGrowth L.PrivateSpending</t>
  </si>
  <si>
    <t>L.PandemicGrowth L.ProductionPrices</t>
  </si>
  <si>
    <t>L.RecoveryRate L.FDI</t>
  </si>
  <si>
    <t>L.RecoveryRate L.GovernmentSpending</t>
  </si>
  <si>
    <t>L.RecoveryRate L.ProductionPrices</t>
  </si>
  <si>
    <t>L.Inflation L.FDI L.LifeExpectancy</t>
  </si>
  <si>
    <t>L.ProductionPrices L.Inflation L.LifeExpectancy</t>
  </si>
  <si>
    <t>L.ProductionPrices L.Inflation L.GovernmentSpending</t>
  </si>
  <si>
    <t>L.ShortInterestRate L.Imports L.LifeExpectancy</t>
  </si>
  <si>
    <t>L.ShortInterestRate L.PrivateSpending L.LifeExpectancy</t>
  </si>
  <si>
    <t>L.ShortInterestRate L.Inflation L.GovernmentSpending</t>
  </si>
  <si>
    <t>L.ShortInterestRate L.Inflation L.PrivateSpending</t>
  </si>
  <si>
    <t>L.ShortInterestRate L.ProductionPrices L.LifeExpectancy</t>
  </si>
  <si>
    <t>L.ShortInterestRate L.ProductionPrices L.GovernmentSpending</t>
  </si>
  <si>
    <t>L.ShortInterestRate L.ProductionPrices L.PrivateSpending</t>
  </si>
  <si>
    <t>L.LongInterestRate L.Inflation L.GovernmentSpending</t>
  </si>
  <si>
    <t>L.LongInterestRate L.Inflation L.PrivateSpending</t>
  </si>
  <si>
    <t>L.LongInterestRate L.ProductionPrices L.LifeExpectancy</t>
  </si>
  <si>
    <t>L.LongInterestRate L.ProductionPrices L.GovernmentSpending</t>
  </si>
  <si>
    <t>L.LongInterestRate L.ProductionPrices L.PrivateSpending</t>
  </si>
  <si>
    <t>L.LongInterestRate L.ShortInterestRate L.LifeExpectancy</t>
  </si>
  <si>
    <t>L.LongInterestRate L.ShortInterestRate L.FDI</t>
  </si>
  <si>
    <t>L.LongInterestRate L.ShortInterestRate L.GovernmentSpending</t>
  </si>
  <si>
    <t>L.LongInterestRate L.ShortInterestRate L.PrivateSpending</t>
  </si>
  <si>
    <t>L.LongInterestRate L.ShortInterestRate L.Inflation</t>
  </si>
  <si>
    <t>L.EmploymentRate L.GovernmentSpending L.LifeExpectancy</t>
  </si>
  <si>
    <t>L.EmploymentRate L.Inflation L.PrivateSpending</t>
  </si>
  <si>
    <t>L.EmploymentRate L.ProductionPrices L.PrivateSpending</t>
  </si>
  <si>
    <t>L.EmploymentRate L.ShortInterestRate L.Inflation</t>
  </si>
  <si>
    <t>L.EmploymentRate L.ShortInterestRate L.ProductionPrices</t>
  </si>
  <si>
    <t>L.EmploymentRate L.LongInterestRate L.Inflation</t>
  </si>
  <si>
    <t>L.EmploymentRate L.LongInterestRate L.ProductionPrices</t>
  </si>
  <si>
    <t>L.PandemicGrowth L.GovernmentSpending L.LifeExpectancy</t>
  </si>
  <si>
    <t>L.PandemicGrowth L.Inflation L.FDI</t>
  </si>
  <si>
    <t>L.PandemicGrowth L.ProductionPrices L.GovernmentSpending</t>
  </si>
  <si>
    <t>L.PandemicGrowth L.ProductionPrices L.PrivateSpending</t>
  </si>
  <si>
    <t>L.PandemicGrowth L.ShortInterestRate L.GovernmentSpending</t>
  </si>
  <si>
    <t>L.PandemicGrowth L.ShortInterestRate L.Inflation</t>
  </si>
  <si>
    <t>L.PandemicGrowth L.LongInterestRate L.PrivateSpending</t>
  </si>
  <si>
    <t>L.PandemicGrowth L.LongInterestRate L.Inflation</t>
  </si>
  <si>
    <t>L.PandemicGrowth L.LongInterestRate L.ShortInterestRate</t>
  </si>
  <si>
    <t>L.PandemicGrowth L.EmploymentRate L.LifeExpectancy</t>
  </si>
  <si>
    <t>L.RecoveryRate L.Inflation L.FDI</t>
  </si>
  <si>
    <t>L.RecoveryRate L.ProductionPrices L.FDI</t>
  </si>
  <si>
    <t>L.RecoveryRate L.ProductionPrices L.GovernmentSpending</t>
  </si>
  <si>
    <t>L.RecoveryRate L.ShortInterestRate L.LifeExpectancy</t>
  </si>
  <si>
    <t>L.RecoveryRate L.ShortInterestRate L.GovernmentSpending</t>
  </si>
  <si>
    <t>L.RecoveryRate L.ShortInterestRate L.Inflation</t>
  </si>
  <si>
    <t>L.RecoveryRate L.ShortInterestRate L.ProductionPrices</t>
  </si>
  <si>
    <t>L.RecoveryRate L.LongInterestRate L.LifeExpectancy</t>
  </si>
  <si>
    <t>L.RecoveryRate L.LongInterestRate L.Inflation</t>
  </si>
  <si>
    <t>L.RecoveryRate L.LongInterestRate L.ProductionPrices</t>
  </si>
  <si>
    <t>L.RecoveryRate L.LongInterestRate L.ShortInterestRate</t>
  </si>
  <si>
    <t>L.RecoveryRate L.EmploymentRate L.LifeExpectancy</t>
  </si>
  <si>
    <t>L.RecoveryRate L.PandemicGrowth L.LifeExpectancy</t>
  </si>
  <si>
    <t>L.Inflation L.Exports L.HealthExpenditure L.LifeExpectancy</t>
  </si>
  <si>
    <t>L.ProductionPrices L.Exports L.HealthExpenditure L.LifeExpectancy</t>
  </si>
  <si>
    <t>L.ShortInterestRate L.GovernmentSpending L.Imports L.LifeExpectancy</t>
  </si>
  <si>
    <t>L.ShortInterestRate L.Inflation L.PrivateSpending L.GovernmentSpending</t>
  </si>
  <si>
    <t>L.ShortInterestRate L.ProductionPrices L.Exports L.HealthExpenditure</t>
  </si>
  <si>
    <t>L.ShortInterestRate L.ProductionPrices L.PrivateSpending L.Imports</t>
  </si>
  <si>
    <t>L.ShortInterestRate L.ProductionPrices L.PrivateSpending L.GovernmentSpending</t>
  </si>
  <si>
    <t>L.ShortInterestRate L.ProductionPrices L.Inflation L.LifeExpectancy</t>
  </si>
  <si>
    <t>L.ShortInterestRate L.ProductionPrices L.Inflation L.GovernmentSpending</t>
  </si>
  <si>
    <t>L.LongInterestRate L.GovernmentSpending L.Imports L.LifeExpectancy</t>
  </si>
  <si>
    <t>L.LongInterestRate L.Inflation L.PrivateSpending L.GovernmentSpending</t>
  </si>
  <si>
    <t>L.LongInterestRate L.ProductionPrices L.Exports L.HealthExpenditure</t>
  </si>
  <si>
    <t>L.LongInterestRate L.ProductionPrices L.PrivateSpending L.Imports</t>
  </si>
  <si>
    <t>L.LongInterestRate L.ProductionPrices L.PrivateSpending L.GovernmentSpending</t>
  </si>
  <si>
    <t>L.LongInterestRate L.ProductionPrices L.Inflation L.LifeExpectancy</t>
  </si>
  <si>
    <t>L.LongInterestRate L.ProductionPrices L.Inflation L.GovernmentSpending</t>
  </si>
  <si>
    <t>L.LongInterestRate L.ShortInterestRate L.Inflation L.LifeExpectancy</t>
  </si>
  <si>
    <t>L.LongInterestRate L.ShortInterestRate L.Inflation L.GovernmentSpending</t>
  </si>
  <si>
    <t>L.LongInterestRate L.ShortInterestRate L.Inflation L.PrivateSpending</t>
  </si>
  <si>
    <t>L.LongInterestRate L.ShortInterestRate L.ProductionPrices L.GDP</t>
  </si>
  <si>
    <t>L.LongInterestRate L.ShortInterestRate L.ProductionPrices L.GovernmentSpending</t>
  </si>
  <si>
    <t>L.EmploymentRate L.ShortInterestRate L.GovernmentSpending L.LifeExpectancy</t>
  </si>
  <si>
    <t>L.EmploymentRate L.ShortInterestRate L.PrivateSpending L.LifeExpectancy</t>
  </si>
  <si>
    <t>L.EmploymentRate L.ShortInterestRate L.ProductionPrices L.GovernmentSpending</t>
  </si>
  <si>
    <t>L.EmploymentRate L.ShortInterestRate L.ProductionPrices L.Inflation</t>
  </si>
  <si>
    <t>L.EmploymentRate L.LongInterestRate L.GovernmentSpending L.LifeExpectancy</t>
  </si>
  <si>
    <t>L.EmploymentRate L.LongInterestRate L.PrivateSpending L.LifeExpectancy</t>
  </si>
  <si>
    <t>L.EmploymentRate L.LongInterestRate L.Inflation L.GovernmentSpending</t>
  </si>
  <si>
    <t>L.EmploymentRate L.LongInterestRate L.ProductionPrices L.FDI</t>
  </si>
  <si>
    <t>L.EmploymentRate L.LongInterestRate L.ProductionPrices L.GovernmentSpending</t>
  </si>
  <si>
    <t>L.EmploymentRate L.LongInterestRate L.ProductionPrices L.PrivateSpending</t>
  </si>
  <si>
    <t>L.EmploymentRate L.LongInterestRate L.ProductionPrices L.Inflation</t>
  </si>
  <si>
    <t>L.EmploymentRate L.LongInterestRate L.ShortInterestRate L.LifeExpectancy</t>
  </si>
  <si>
    <t>L.PandemicGrowth L.ProductionPrices L.Inflation L.GovernmentSpending</t>
  </si>
  <si>
    <t>L.PandemicGrowth L.ShortInterestRate L.PrivateSpending L.LifeExpectancy</t>
  </si>
  <si>
    <t>L.PandemicGrowth L.ShortInterestRate L.Inflation L.GovernmentSpending</t>
  </si>
  <si>
    <t>L.PandemicGrowth L.ShortInterestRate L.Inflation L.PrivateSpending</t>
  </si>
  <si>
    <t>L.PandemicGrowth L.LongInterestRate L.PrivateSpending L.LifeExpectancy</t>
  </si>
  <si>
    <t>L.PandemicGrowth L.LongInterestRate L.Inflation L.GovernmentSpending</t>
  </si>
  <si>
    <t>L.PandemicGrowth L.LongInterestRate L.Inflation L.PrivateSpending</t>
  </si>
  <si>
    <t>L.PandemicGrowth L.LongInterestRate L.ProductionPrices L.LifeExpectancy</t>
  </si>
  <si>
    <t>L.PandemicGrowth L.LongInterestRate L.ShortInterestRate L.LifeExpectancy</t>
  </si>
  <si>
    <t>L.PandemicGrowth L.LongInterestRate L.ShortInterestRate L.GovernmentSpending</t>
  </si>
  <si>
    <t>L.PandemicGrowth L.EmploymentRate L.GovernmentSpending L.LifeExpectancy</t>
  </si>
  <si>
    <t>L.PandemicGrowth L.EmploymentRate L.Inflation L.LifeExpectancy</t>
  </si>
  <si>
    <t>L.PandemicGrowth L.EmploymentRate L.ShortInterestRate L.Inflation</t>
  </si>
  <si>
    <t>L.PandemicGrowth L.EmploymentRate L.LongInterestRate L.Inflation</t>
  </si>
  <si>
    <t>L.RecoveryRate L.ProductionPrices L.Inflation L.LifeExpectancy</t>
  </si>
  <si>
    <t>L.RecoveryRate L.ProductionPrices L.Inflation L.GovernmentSpending</t>
  </si>
  <si>
    <t>L.RecoveryRate L.ShortInterestRate L.PrivateSpending L.LifeExpectancy</t>
  </si>
  <si>
    <t>L.RecoveryRate L.ShortInterestRate L.Inflation L.GovernmentSpending</t>
  </si>
  <si>
    <t>L.RecoveryRate L.ShortInterestRate L.Inflation L.PrivateSpending</t>
  </si>
  <si>
    <t>L.RecoveryRate L.ShortInterestRate L.ProductionPrices L.GovernmentSpending</t>
  </si>
  <si>
    <t>L.RecoveryRate L.LongInterestRate L.Inflation L.GovernmentSpending</t>
  </si>
  <si>
    <t>L.RecoveryRate L.LongInterestRate L.Inflation L.PrivateSpending</t>
  </si>
  <si>
    <t>L.RecoveryRate L.LongInterestRate L.ProductionPrices L.LifeExpectancy</t>
  </si>
  <si>
    <t>L.RecoveryRate L.LongInterestRate L.ProductionPrices L.GovernmentSpending</t>
  </si>
  <si>
    <t>L.RecoveryRate L.LongInterestRate L.ShortInterestRate L.LifeExpectancy</t>
  </si>
  <si>
    <t>L.RecoveryRate L.LongInterestRate L.ShortInterestRate L.GovernmentSpending</t>
  </si>
  <si>
    <t>L.RecoveryRate L.EmploymentRate L.GovernmentSpending L.LifeExpectancy</t>
  </si>
  <si>
    <t>L.RecoveryRate L.EmploymentRate L.Inflation L.LifeExpectancy</t>
  </si>
  <si>
    <t>L.RecoveryRate L.EmploymentRate L.ProductionPrices L.PrivateSpending</t>
  </si>
  <si>
    <t>L.RecoveryRate L.EmploymentRate L.ShortInterestRate L.Inflation</t>
  </si>
  <si>
    <t>L.RecoveryRate L.EmploymentRate L.ShortInterestRate L.ProductionPrices</t>
  </si>
  <si>
    <t>L.RecoveryRate L.EmploymentRate L.LongInterestRate L.Inflation</t>
  </si>
  <si>
    <t>L.RecoveryRate L.EmploymentRate L.LongInterestRate L.ProductionPrices</t>
  </si>
  <si>
    <t>L.RecoveryRate L.PandemicGrowth L.ShortInterestRate L.GovernmentSpending</t>
  </si>
  <si>
    <t>L.Inflation L.PrivateSpending L.Imports L.FDI L.HealthExpenditure</t>
  </si>
  <si>
    <t>L.ProductionPrices L.PrivateSpending L.Imports L.FDI L.HealthExpenditure</t>
  </si>
  <si>
    <t>L.ProductionPrices L.Inflation L.Imports L.HealthExpenditure L.LifeExpectancy</t>
  </si>
  <si>
    <t>L.ShortInterestRate L.PrivateSpending L.Imports L.FDI L.HealthExpenditure</t>
  </si>
  <si>
    <t>L.ShortInterestRate L.Inflation L.Exports L.HealthExpenditure L.LifeExpectancy</t>
  </si>
  <si>
    <t>L.ShortInterestRate L.Inflation L.PrivateSpending L.GovernmentSpending L.FDI</t>
  </si>
  <si>
    <t>L.ShortInterestRate L.ProductionPrices L.GDP L.Exports L.HealthExpenditure</t>
  </si>
  <si>
    <t>L.ShortInterestRate L.ProductionPrices L.PrivateSpending L.GovernmentSpending L.LifeExpectancy</t>
  </si>
  <si>
    <t>L.ShortInterestRate L.ProductionPrices L.PrivateSpending L.GovernmentSpending L.HealthExpenditure</t>
  </si>
  <si>
    <t>L.ShortInterestRate L.ProductionPrices L.PrivateSpending L.GovernmentSpending L.FDI</t>
  </si>
  <si>
    <t>L.ShortInterestRate L.ProductionPrices L.PrivateSpending L.GovernmentSpending L.Imports</t>
  </si>
  <si>
    <t>L.ShortInterestRate L.ProductionPrices L.Inflation L.Exports L.HealthExpenditure</t>
  </si>
  <si>
    <t>L.ShortInterestRate L.ProductionPrices L.Inflation L.PrivateSpending L.GovernmentSpending</t>
  </si>
  <si>
    <t>L.LongInterestRate L.PrivateSpending L.Imports L.FDI L.HealthExpenditure</t>
  </si>
  <si>
    <t>L.LongInterestRate L.Inflation L.Exports L.HealthExpenditure L.LifeExpectancy</t>
  </si>
  <si>
    <t>L.LongInterestRate L.Inflation L.PrivateSpending L.GovernmentSpending L.FDI</t>
  </si>
  <si>
    <t>L.LongInterestRate L.ProductionPrices L.GDP L.Exports L.HealthExpenditure</t>
  </si>
  <si>
    <t>L.LongInterestRate L.ProductionPrices L.PrivateSpending L.GovernmentSpending L.LifeExpectancy</t>
  </si>
  <si>
    <t>L.LongInterestRate L.ProductionPrices L.PrivateSpending L.GovernmentSpending L.HealthExpenditure</t>
  </si>
  <si>
    <t>L.LongInterestRate L.ProductionPrices L.PrivateSpending L.GovernmentSpending L.FDI</t>
  </si>
  <si>
    <t>L.LongInterestRate L.ProductionPrices L.PrivateSpending L.GovernmentSpending L.Imports</t>
  </si>
  <si>
    <t>L.LongInterestRate L.ProductionPrices L.Inflation L.Exports L.HealthExpenditure</t>
  </si>
  <si>
    <t>L.LongInterestRate L.ProductionPrices L.Inflation L.PrivateSpending L.GovernmentSpending</t>
  </si>
  <si>
    <t>L.LongInterestRate L.ShortInterestRate L.GovernmentSpending L.Imports L.HealthExpenditure</t>
  </si>
  <si>
    <t>L.LongInterestRate L.ShortInterestRate L.Inflation L.PrivateSpending L.FDI</t>
  </si>
  <si>
    <t>L.LongInterestRate L.ShortInterestRate L.ProductionPrices L.GovernmentSpending L.LifeExpectancy</t>
  </si>
  <si>
    <t>L.EmploymentRate L.PrivateSpending L.GovernmentSpending L.Imports L.LifeExpectancy</t>
  </si>
  <si>
    <t>L.EmploymentRate L.Inflation L.PrivateSpending L.GovernmentSpending L.HealthExpenditure</t>
  </si>
  <si>
    <t>L.EmploymentRate L.Inflation L.PrivateSpending L.GovernmentSpending L.Imports</t>
  </si>
  <si>
    <t>L.EmploymentRate L.ProductionPrices L.PrivateSpending L.GovernmentSpending L.HealthExpenditure</t>
  </si>
  <si>
    <t>L.EmploymentRate L.ProductionPrices L.PrivateSpending L.GovernmentSpending L.Exports</t>
  </si>
  <si>
    <t>L.EmploymentRate L.ShortInterestRate L.PrivateSpending L.GovernmentSpending L.Imports</t>
  </si>
  <si>
    <t>L.EmploymentRate L.ShortInterestRate L.Inflation L.PrivateSpending L.LifeExpectancy</t>
  </si>
  <si>
    <t>L.EmploymentRate L.ShortInterestRate L.ProductionPrices L.GovernmentSpending L.LifeExpectancy</t>
  </si>
  <si>
    <t>L.EmploymentRate L.ShortInterestRate L.ProductionPrices L.Inflation L.LifeExpectancy</t>
  </si>
  <si>
    <t>L.EmploymentRate L.LongInterestRate L.PrivateSpending L.GovernmentSpending L.Imports</t>
  </si>
  <si>
    <t>L.EmploymentRate L.LongInterestRate L.Inflation L.PrivateSpending L.LifeExpectancy</t>
  </si>
  <si>
    <t>L.EmploymentRate L.LongInterestRate L.ProductionPrices L.Imports L.LifeExpectancy</t>
  </si>
  <si>
    <t>L.EmploymentRate L.LongInterestRate L.ProductionPrices L.GovernmentSpending L.LifeExpectancy</t>
  </si>
  <si>
    <t>L.EmploymentRate L.LongInterestRate L.ProductionPrices L.Inflation L.LifeExpectancy</t>
  </si>
  <si>
    <t>L.EmploymentRate L.LongInterestRate L.ShortInterestRate L.Inflation L.LifeExpectancy</t>
  </si>
  <si>
    <t>L.PandemicGrowth L.ShortInterestRate L.GovernmentSpending L.Imports L.LifeExpectancy</t>
  </si>
  <si>
    <t>L.PandemicGrowth L.ShortInterestRate L.Inflation L.PrivateSpending L.GovernmentSpending</t>
  </si>
  <si>
    <t>L.PandemicGrowth L.LongInterestRate L.GovernmentSpending L.Imports L.LifeExpectancy</t>
  </si>
  <si>
    <t>L.PandemicGrowth L.LongInterestRate L.Inflation L.PrivateSpending L.GovernmentSpending</t>
  </si>
  <si>
    <t>L.PandemicGrowth L.LongInterestRate L.ProductionPrices L.PrivateSpending L.GovernmentSpending</t>
  </si>
  <si>
    <t>L.PandemicGrowth L.LongInterestRate L.ShortInterestRate L.GovernmentSpending L.LifeExpectancy</t>
  </si>
  <si>
    <t>L.PandemicGrowth L.LongInterestRate L.ShortInterestRate L.Inflation L.GovernmentSpending</t>
  </si>
  <si>
    <t>L.PandemicGrowth L.LongInterestRate L.ShortInterestRate L.Inflation L.PrivateSpending</t>
  </si>
  <si>
    <t>L.PandemicGrowth L.LongInterestRate L.ShortInterestRate L.ProductionPrices L.GDP</t>
  </si>
  <si>
    <t>L.PandemicGrowth L.LongInterestRate L.ShortInterestRate L.ProductionPrices L.GovernmentSpending</t>
  </si>
  <si>
    <t>L.PandemicGrowth L.EmploymentRate L.ShortInterestRate L.PrivateSpending L.LifeExpectancy</t>
  </si>
  <si>
    <t>L.PandemicGrowth L.EmploymentRate L.ShortInterestRate L.Inflation L.GovernmentSpending</t>
  </si>
  <si>
    <t>L.PandemicGrowth L.EmploymentRate L.LongInterestRate L.GovernmentSpending L.LifeExpectancy</t>
  </si>
  <si>
    <t>L.PandemicGrowth L.EmploymentRate L.LongInterestRate L.PrivateSpending L.LifeExpectancy</t>
  </si>
  <si>
    <t>L.PandemicGrowth L.EmploymentRate L.LongInterestRate L.Inflation L.GovernmentSpending</t>
  </si>
  <si>
    <t>L.PandemicGrowth L.EmploymentRate L.LongInterestRate L.ShortInterestRate L.LifeExpectancy</t>
  </si>
  <si>
    <t>L.RecoveryRate L.ProductionPrices L.Inflation L.GovernmentSpending L.LifeExpectancy</t>
  </si>
  <si>
    <t>L.RecoveryRate L.ShortInterestRate L.GovernmentSpending L.Imports L.LifeExpectancy</t>
  </si>
  <si>
    <t>L.RecoveryRate L.ShortInterestRate L.Inflation L.PrivateSpending L.GovernmentSpending</t>
  </si>
  <si>
    <t>L.RecoveryRate L.ShortInterestRate L.ProductionPrices L.PrivateSpending L.Imports</t>
  </si>
  <si>
    <t>L.RecoveryRate L.ShortInterestRate L.ProductionPrices L.Inflation L.LifeExpectancy</t>
  </si>
  <si>
    <t>L.RecoveryRate L.LongInterestRate L.GovernmentSpending L.Imports L.LifeExpectancy</t>
  </si>
  <si>
    <t>L.RecoveryRate L.LongInterestRate L.Inflation L.PrivateSpending L.GovernmentSpending</t>
  </si>
  <si>
    <t>L.RecoveryRate L.LongInterestRate L.ProductionPrices L.PrivateSpending L.Imports</t>
  </si>
  <si>
    <t>L.RecoveryRate L.LongInterestRate L.ProductionPrices L.PrivateSpending L.GovernmentSpending</t>
  </si>
  <si>
    <t>L.RecoveryRate L.LongInterestRate L.ProductionPrices L.Inflation L.LifeExpectancy</t>
  </si>
  <si>
    <t>L.RecoveryRate L.LongInterestRate L.ShortInterestRate L.Inflation L.GovernmentSpending</t>
  </si>
  <si>
    <t>L.RecoveryRate L.LongInterestRate L.ShortInterestRate L.Inflation L.PrivateSpending</t>
  </si>
  <si>
    <t>L.RecoveryRate L.LongInterestRate L.ShortInterestRate L.ProductionPrices L.GDP</t>
  </si>
  <si>
    <t>L.RecoveryRate L.LongInterestRate L.ShortInterestRate L.ProductionPrices L.GovernmentSpending</t>
  </si>
  <si>
    <t>L.RecoveryRate L.EmploymentRate L.ShortInterestRate L.PrivateSpending L.LifeExpectancy</t>
  </si>
  <si>
    <t>L.RecoveryRate L.EmploymentRate L.ShortInterestRate L.Inflation L.GovernmentSpending</t>
  </si>
  <si>
    <t>L.RecoveryRate L.EmploymentRate L.ShortInterestRate L.ProductionPrices L.Inflation</t>
  </si>
  <si>
    <t>L.RecoveryRate L.EmploymentRate L.LongInterestRate L.GovernmentSpending L.LifeExpectancy</t>
  </si>
  <si>
    <t>L.RecoveryRate L.EmploymentRate L.LongInterestRate L.PrivateSpending L.LifeExpectancy</t>
  </si>
  <si>
    <t>L.RecoveryRate L.EmploymentRate L.LongInterestRate L.Inflation L.GovernmentSpending</t>
  </si>
  <si>
    <t>L.RecoveryRate L.EmploymentRate L.LongInterestRate L.ProductionPrices L.FDI</t>
  </si>
  <si>
    <t>L.RecoveryRate L.EmploymentRate L.LongInterestRate L.ProductionPrices L.PrivateSpending</t>
  </si>
  <si>
    <t>L.RecoveryRate L.EmploymentRate L.LongInterestRate L.ProductionPrices L.Inflation</t>
  </si>
  <si>
    <t>L.RecoveryRate L.EmploymentRate L.LongInterestRate L.ShortInterestRate L.LifeExpectancy</t>
  </si>
  <si>
    <t>L.RecoveryRate L.PandemicGrowth L.LongInterestRate L.ShortInterestRate L.LifeExpectancy</t>
  </si>
  <si>
    <t>L.GovernmentSpending L.GDP L.Imports L.FDI L.HealthExpenditure L.LifeExpectancy</t>
  </si>
  <si>
    <t>L.GovernmentSpending L.GDP L.Exports L.Imports L.FDI L.LifeExpectancy</t>
  </si>
  <si>
    <t>L.Inflation L.GovernmentSpending L.Exports L.Imports L.FDI L.LifeExpectancy</t>
  </si>
  <si>
    <t>L.Inflation L.GovernmentSpending L.GDP L.Imports L.FDI L.LifeExpectancy</t>
  </si>
  <si>
    <t>L.Inflation L.GovernmentSpending L.GDP L.Exports L.FDI L.LifeExpectancy</t>
  </si>
  <si>
    <t>L.Inflation L.GovernmentSpending L.GDP L.Exports L.Imports L.FDI</t>
  </si>
  <si>
    <t>L.Inflation L.PrivateSpending L.Exports L.Imports L.FDI L.LifeExpectancy</t>
  </si>
  <si>
    <t>L.Inflation L.PrivateSpending L.GDP L.Imports L.FDI L.HealthExpenditure</t>
  </si>
  <si>
    <t>L.Inflation L.PrivateSpending L.GDP L.Exports L.FDI L.LifeExpectancy</t>
  </si>
  <si>
    <t>L.Inflation L.PrivateSpending L.GovernmentSpending L.Imports L.HealthExpenditure L.LifeExpectancy</t>
  </si>
  <si>
    <t>L.ProductionPrices L.GovernmentSpending L.Exports L.Imports L.FDI L.LifeExpectancy</t>
  </si>
  <si>
    <t>L.ProductionPrices L.GovernmentSpending L.GDP L.FDI L.HealthExpenditure L.LifeExpectancy</t>
  </si>
  <si>
    <t>L.ProductionPrices L.GovernmentSpending L.GDP L.Imports L.FDI L.LifeExpectancy</t>
  </si>
  <si>
    <t>L.ProductionPrices L.GovernmentSpending L.GDP L.Exports L.FDI L.LifeExpectancy</t>
  </si>
  <si>
    <t>L.ProductionPrices L.GovernmentSpending L.GDP L.Exports L.Imports L.FDI</t>
  </si>
  <si>
    <t>L.ProductionPrices L.PrivateSpending L.Exports L.Imports L.FDI L.LifeExpectancy</t>
  </si>
  <si>
    <t>L.ProductionPrices L.PrivateSpending L.GDP L.Imports L.FDI L.HealthExpenditure</t>
  </si>
  <si>
    <t>L.ProductionPrices L.Inflation L.GovernmentSpending L.Imports L.HealthExpenditure L.LifeExpectancy</t>
  </si>
  <si>
    <t>L.ProductionPrices L.Inflation L.PrivateSpending L.GDP L.FDI L.HealthExpenditure</t>
  </si>
  <si>
    <t>L.ProductionPrices L.Inflation L.PrivateSpending L.GDP L.Imports L.FDI</t>
  </si>
  <si>
    <t>L.ShortInterestRate L.GovernmentSpending L.GDP L.FDI L.HealthExpenditure L.LifeExpectancy</t>
  </si>
  <si>
    <t>L.ShortInterestRate L.GovernmentSpending L.GDP L.Imports L.HealthExpenditure L.LifeExpectancy</t>
  </si>
  <si>
    <t>L.ShortInterestRate L.GovernmentSpending L.GDP L.Imports L.FDI L.LifeExpectancy</t>
  </si>
  <si>
    <t>L.ShortInterestRate L.PrivateSpending L.GDP L.Imports L.FDI L.LifeExpectancy</t>
  </si>
  <si>
    <t>L.ShortInterestRate L.PrivateSpending L.GovernmentSpending L.GDP L.Exports L.LifeExpectancy</t>
  </si>
  <si>
    <t>L.ShortInterestRate L.Inflation L.PrivateSpending L.GDP L.Imports L.FDI</t>
  </si>
  <si>
    <t>L.ShortInterestRate L.Inflation L.PrivateSpending L.GovernmentSpending L.Imports L.LifeExpectancy</t>
  </si>
  <si>
    <t>L.ShortInterestRate L.ProductionPrices L.GovernmentSpending L.Imports L.FDI L.HealthExpenditure</t>
  </si>
  <si>
    <t>L.ShortInterestRate L.ProductionPrices L.PrivateSpending L.GovernmentSpending L.FDI L.HealthExpenditure</t>
  </si>
  <si>
    <t>L.ShortInterestRate L.ProductionPrices L.PrivateSpending L.GovernmentSpending L.GDP L.HealthExpenditure</t>
  </si>
  <si>
    <t>L.ShortInterestRate L.ProductionPrices L.Inflation L.PrivateSpending L.GovernmentSpending L.Imports</t>
  </si>
  <si>
    <t>L.LongInterestRate L.GovernmentSpending L.GDP L.FDI L.HealthExpenditure L.LifeExpectancy</t>
  </si>
  <si>
    <t>L.LongInterestRate L.GovernmentSpending L.GDP L.Imports L.HealthExpenditure L.LifeExpectancy</t>
  </si>
  <si>
    <t>L.LongInterestRate L.GovernmentSpending L.GDP L.Imports L.FDI L.LifeExpectancy</t>
  </si>
  <si>
    <t>L.LongInterestRate L.GovernmentSpending L.GDP L.Exports L.Imports L.FDI</t>
  </si>
  <si>
    <t>L.LongInterestRate L.PrivateSpending L.GDP L.Imports L.FDI L.LifeExpectancy</t>
  </si>
  <si>
    <t>L.LongInterestRate L.PrivateSpending L.GDP L.Imports L.FDI L.HealthExpenditure</t>
  </si>
  <si>
    <t>L.LongInterestRate L.Inflation L.PrivateSpending L.GDP L.Imports L.FDI</t>
  </si>
  <si>
    <t>L.LongInterestRate L.Inflation L.PrivateSpending L.GovernmentSpending L.Imports L.LifeExpectancy</t>
  </si>
  <si>
    <t>L.LongInterestRate L.Inflation L.PrivateSpending L.GovernmentSpending L.GDP L.HealthExpenditure</t>
  </si>
  <si>
    <t>L.LongInterestRate L.ProductionPrices L.PrivateSpending L.GovernmentSpending L.FDI L.HealthExpenditure</t>
  </si>
  <si>
    <t>L.LongInterestRate L.ProductionPrices L.PrivateSpending L.GovernmentSpending L.Imports L.LifeExpectancy</t>
  </si>
  <si>
    <t>L.LongInterestRate L.ProductionPrices L.PrivateSpending L.GovernmentSpending L.GDP L.HealthExpenditure</t>
  </si>
  <si>
    <t>L.LongInterestRate L.ProductionPrices L.Inflation L.PrivateSpending L.GovernmentSpending L.Imports</t>
  </si>
  <si>
    <t>L.LongInterestRate L.ShortInterestRate L.Inflation L.Imports L.FDI L.HealthExpenditure</t>
  </si>
  <si>
    <t>L.LongInterestRate L.ShortInterestRate L.Inflation L.GovernmentSpending L.Imports L.HealthExpenditure</t>
  </si>
  <si>
    <t>L.LongInterestRate L.ShortInterestRate L.Inflation L.PrivateSpending L.FDI L.HealthExpenditure</t>
  </si>
  <si>
    <t>L.LongInterestRate L.ShortInterestRate L.Inflation L.PrivateSpending L.Imports L.HealthExpenditure</t>
  </si>
  <si>
    <t>L.LongInterestRate L.ShortInterestRate L.ProductionPrices L.GovernmentSpending L.Imports L.HealthExpenditure</t>
  </si>
  <si>
    <t>L.EmploymentRate L.PrivateSpending L.GovernmentSpending L.GDP L.Imports L.LifeExpectancy</t>
  </si>
  <si>
    <t>L.EmploymentRate L.Inflation L.GovernmentSpending L.Imports L.HealthExpenditure L.LifeExpectancy</t>
  </si>
  <si>
    <t>L.EmploymentRate L.Inflation L.GovernmentSpending L.Exports L.Imports L.LifeExpectancy</t>
  </si>
  <si>
    <t>L.EmploymentRate L.Inflation L.PrivateSpending L.Imports L.HealthExpenditure L.LifeExpectancy</t>
  </si>
  <si>
    <t>L.EmploymentRate L.Inflation L.PrivateSpending L.GovernmentSpending L.FDI L.HealthExpenditure</t>
  </si>
  <si>
    <t>L.EmploymentRate L.Inflation L.PrivateSpending L.GovernmentSpending L.Exports L.LifeExpectancy</t>
  </si>
  <si>
    <t>L.EmploymentRate L.ProductionPrices L.GovernmentSpending L.Imports L.HealthExpenditure L.LifeExpectancy</t>
  </si>
  <si>
    <t>L.EmploymentRate L.ProductionPrices L.PrivateSpending L.Imports L.HealthExpenditure L.LifeExpectancy</t>
  </si>
  <si>
    <t>L.EmploymentRate L.ProductionPrices L.PrivateSpending L.GovernmentSpending L.FDI L.HealthExpenditure</t>
  </si>
  <si>
    <t>L.EmploymentRate L.ProductionPrices L.PrivateSpending L.GovernmentSpending L.Imports L.FDI</t>
  </si>
  <si>
    <t>L.EmploymentRate L.ProductionPrices L.PrivateSpending L.GovernmentSpending L.Exports L.Imports</t>
  </si>
  <si>
    <t>L.EmploymentRate L.ProductionPrices L.PrivateSpending L.GovernmentSpending L.GDP L.Exports</t>
  </si>
  <si>
    <t>L.EmploymentRate L.ProductionPrices L.Inflation L.PrivateSpending L.GovernmentSpending L.Imports</t>
  </si>
  <si>
    <t>L.EmploymentRate L.ProductionPrices L.Inflation L.PrivateSpending L.GovernmentSpending L.Exports</t>
  </si>
  <si>
    <t>L.EmploymentRate L.ShortInterestRate L.GDP L.Exports L.Imports L.LifeExpectancy</t>
  </si>
  <si>
    <t>L.EmploymentRate L.ShortInterestRate L.PrivateSpending L.GDP L.Exports L.LifeExpectancy</t>
  </si>
  <si>
    <t>L.EmploymentRate L.ShortInterestRate L.Inflation L.GovernmentSpending L.Imports L.FDI</t>
  </si>
  <si>
    <t>L.EmploymentRate L.ShortInterestRate L.Inflation L.PrivateSpending L.Imports L.FDI</t>
  </si>
  <si>
    <t>L.EmploymentRate L.ShortInterestRate L.Inflation L.PrivateSpending L.GovernmentSpending L.Imports</t>
  </si>
  <si>
    <t>L.EmploymentRate L.LongInterestRate L.GDP L.Exports L.Imports L.LifeExpectancy</t>
  </si>
  <si>
    <t>L.EmploymentRate L.LongInterestRate L.PrivateSpending L.GDP L.Exports L.LifeExpectancy</t>
  </si>
  <si>
    <t>L.EmploymentRate L.LongInterestRate L.Inflation L.GovernmentSpending L.HealthExpenditure L.LifeExpectancy</t>
  </si>
  <si>
    <t>L.EmploymentRate L.LongInterestRate L.Inflation L.GovernmentSpending L.Imports L.FDI</t>
  </si>
  <si>
    <t>L.EmploymentRate L.LongInterestRate L.Inflation L.PrivateSpending L.Imports L.FDI</t>
  </si>
  <si>
    <t>L.EmploymentRate L.LongInterestRate L.Inflation L.PrivateSpending L.GDP L.Exports</t>
  </si>
  <si>
    <t>L.EmploymentRate L.LongInterestRate L.ProductionPrices L.GDP L.Exports L.HealthExpenditure</t>
  </si>
  <si>
    <t>L.EmploymentRate L.LongInterestRate L.ProductionPrices L.GDP L.Exports L.FDI</t>
  </si>
  <si>
    <t>L.EmploymentRate L.LongInterestRate L.ProductionPrices L.PrivateSpending L.Imports L.HealthExpenditure</t>
  </si>
  <si>
    <t>L.EmploymentRate L.LongInterestRate L.ShortInterestRate L.Inflation L.GovernmentSpending L.LifeExpectancy</t>
  </si>
  <si>
    <t>L.PandemicGrowth L.Inflation L.PrivateSpending L.Imports L.FDI L.HealthExpenditure</t>
  </si>
  <si>
    <t>L.PandemicGrowth L.ProductionPrices L.GovernmentSpending L.GDP L.FDI L.LifeExpectancy</t>
  </si>
  <si>
    <t>L.PandemicGrowth L.ProductionPrices L.Inflation L.GovernmentSpending L.GDP L.FDI</t>
  </si>
  <si>
    <t>L.PandemicGrowth L.ShortInterestRate L.Inflation L.PrivateSpending L.GovernmentSpending L.FDI</t>
  </si>
  <si>
    <t>L.PandemicGrowth L.ShortInterestRate L.ProductionPrices L.PrivateSpending L.GovernmentSpending L.LifeExpectancy</t>
  </si>
  <si>
    <t>L.PandemicGrowth L.LongInterestRate L.PrivateSpending L.Imports L.FDI L.HealthExpenditure</t>
  </si>
  <si>
    <t>L.PandemicGrowth L.LongInterestRate L.Inflation L.PrivateSpending L.GovernmentSpending L.FDI</t>
  </si>
  <si>
    <t>L.PandemicGrowth L.LongInterestRate L.ProductionPrices L.PrivateSpending L.GovernmentSpending L.LifeExpectancy</t>
  </si>
  <si>
    <t>L.PandemicGrowth L.LongInterestRate L.ProductionPrices L.PrivateSpending L.GovernmentSpending L.FDI</t>
  </si>
  <si>
    <t>L.PandemicGrowth L.LongInterestRate L.ShortInterestRate L.ProductionPrices L.GovernmentSpending L.LifeExpectancy</t>
  </si>
  <si>
    <t>L.PandemicGrowth L.EmploymentRate L.PrivateSpending L.GovernmentSpending L.Imports L.LifeExpectancy</t>
  </si>
  <si>
    <t>L.PandemicGrowth L.EmploymentRate L.Inflation L.PrivateSpending L.GovernmentSpending L.Imports</t>
  </si>
  <si>
    <t>L.PandemicGrowth L.EmploymentRate L.ShortInterestRate L.PrivateSpending L.GovernmentSpending L.Imports</t>
  </si>
  <si>
    <t>L.PandemicGrowth L.EmploymentRate L.LongInterestRate L.PrivateSpending L.GovernmentSpending L.Imports</t>
  </si>
  <si>
    <t>L.PandemicGrowth L.EmploymentRate L.LongInterestRate L.ShortInterestRate L.Inflation L.LifeExpectancy</t>
  </si>
  <si>
    <t>L.RecoveryRate L.ShortInterestRate L.Inflation L.PrivateSpending L.GovernmentSpending L.FDI</t>
  </si>
  <si>
    <t>L.RecoveryRate L.ShortInterestRate L.ProductionPrices L.PrivateSpending L.GovernmentSpending L.LifeExpectancy</t>
  </si>
  <si>
    <t>L.RecoveryRate L.ShortInterestRate L.ProductionPrices L.PrivateSpending L.GovernmentSpending L.HealthExpenditure</t>
  </si>
  <si>
    <t>L.RecoveryRate L.ShortInterestRate L.ProductionPrices L.PrivateSpending L.GovernmentSpending L.Imports</t>
  </si>
  <si>
    <t>L.RecoveryRate L.ShortInterestRate L.ProductionPrices L.Inflation L.PrivateSpending L.GovernmentSpending</t>
  </si>
  <si>
    <t>L.RecoveryRate L.LongInterestRate L.Inflation L.GovernmentSpending L.Imports L.LifeExpectancy</t>
  </si>
  <si>
    <t>L.RecoveryRate L.LongInterestRate L.Inflation L.PrivateSpending L.GovernmentSpending L.FDI</t>
  </si>
  <si>
    <t>L.RecoveryRate L.LongInterestRate L.ProductionPrices L.PrivateSpending L.GovernmentSpending L.LifeExpectancy</t>
  </si>
  <si>
    <t>L.RecoveryRate L.LongInterestRate L.ProductionPrices L.PrivateSpending L.GovernmentSpending L.HealthExpenditure</t>
  </si>
  <si>
    <t>L.RecoveryRate L.LongInterestRate L.ProductionPrices L.PrivateSpending L.GovernmentSpending L.FDI</t>
  </si>
  <si>
    <t>L.RecoveryRate L.LongInterestRate L.ProductionPrices L.PrivateSpending L.GovernmentSpending L.Imports</t>
  </si>
  <si>
    <t>L.RecoveryRate L.LongInterestRate L.ShortInterestRate L.ProductionPrices L.GovernmentSpending L.LifeExpectancy</t>
  </si>
  <si>
    <t>L.RecoveryRate L.EmploymentRate L.PrivateSpending L.GovernmentSpending L.Imports L.LifeExpectancy</t>
  </si>
  <si>
    <t>L.RecoveryRate L.EmploymentRate L.Inflation L.PrivateSpending L.GovernmentSpending L.Imports</t>
  </si>
  <si>
    <t>L.RecoveryRate L.EmploymentRate L.ShortInterestRate L.PrivateSpending L.GovernmentSpending L.Imports</t>
  </si>
  <si>
    <t>L.RecoveryRate L.EmploymentRate L.ShortInterestRate L.Inflation L.GovernmentSpending L.FDI</t>
  </si>
  <si>
    <t>L.RecoveryRate L.EmploymentRate L.ShortInterestRate L.ProductionPrices L.Inflation L.LifeExpectancy</t>
  </si>
  <si>
    <t>L.RecoveryRate L.EmploymentRate L.LongInterestRate L.PrivateSpending L.GovernmentSpending L.Imports</t>
  </si>
  <si>
    <t>L.RecoveryRate L.EmploymentRate L.LongInterestRate L.ProductionPrices L.Inflation L.LifeExpectancy</t>
  </si>
  <si>
    <t>L.RecoveryRate L.EmploymentRate L.LongInterestRate L.ShortInterestRate L.Inflation L.LifeExpectancy</t>
  </si>
  <si>
    <t>L.RecoveryRate L.PandemicGrowth L.ShortInterestRate L.GovernmentSpending L.Imports L.LifeExpectancy</t>
  </si>
  <si>
    <t>L.RecoveryRate L.PandemicGrowth L.LongInterestRate L.GovernmentSpending L.Imports L.LifeExpectancy</t>
  </si>
  <si>
    <t>L.ProductionPrices L.Inflation L.PrivateSpending L.GovernmentSpending L.GDP L.Imports L.FDI</t>
  </si>
  <si>
    <t>L.ShortInterestRate L.Inflation L.GDP L.Exports L.Imports L.FDI L.HealthExpenditure</t>
  </si>
  <si>
    <t>L.ShortInterestRate L.Inflation L.GovernmentSpending L.GDP L.Imports L.FDI L.HealthExpenditure</t>
  </si>
  <si>
    <t>L.ShortInterestRate L.Inflation L.GovernmentSpending L.GDP L.Exports L.Imports L.HealthExpenditure</t>
  </si>
  <si>
    <t>L.ShortInterestRate L.Inflation L.PrivateSpending L.GDP L.Exports L.Imports L.FDI</t>
  </si>
  <si>
    <t>L.ShortInterestRate L.Inflation L.PrivateSpending L.GovernmentSpending L.FDI L.HealthExpenditure L.LifeExpectancy</t>
  </si>
  <si>
    <t>L.ShortInterestRate L.Inflation L.PrivateSpending L.GovernmentSpending L.GDP L.Exports L.Imports</t>
  </si>
  <si>
    <t>L.ShortInterestRate L.ProductionPrices L.PrivateSpending L.GDP L.Exports L.FDI L.HealthExpenditure</t>
  </si>
  <si>
    <t>L.ShortInterestRate L.ProductionPrices L.PrivateSpending L.GDP L.Exports L.Imports L.FDI</t>
  </si>
  <si>
    <t>L.ShortInterestRate L.ProductionPrices L.Inflation L.PrivateSpending L.GovernmentSpending L.FDI L.HealthExpenditure</t>
  </si>
  <si>
    <t>L.LongInterestRate L.Inflation L.GDP L.Exports L.Imports L.FDI L.HealthExpenditure</t>
  </si>
  <si>
    <t>L.LongInterestRate L.Inflation L.GovernmentSpending L.GDP L.Imports L.FDI L.HealthExpenditure</t>
  </si>
  <si>
    <t>L.LongInterestRate L.Inflation L.GovernmentSpending L.GDP L.Exports L.Imports L.HealthExpenditure</t>
  </si>
  <si>
    <t>L.LongInterestRate L.Inflation L.PrivateSpending L.GDP L.Exports L.Imports L.FDI</t>
  </si>
  <si>
    <t>L.LongInterestRate L.Inflation L.PrivateSpending L.GovernmentSpending L.FDI L.HealthExpenditure L.LifeExpectancy</t>
  </si>
  <si>
    <t>L.LongInterestRate L.Inflation L.PrivateSpending L.GovernmentSpending L.GDP L.Exports L.Imports</t>
  </si>
  <si>
    <t>L.LongInterestRate L.ProductionPrices L.PrivateSpending L.GDP L.Exports L.FDI L.HealthExpenditure</t>
  </si>
  <si>
    <t>L.LongInterestRate L.ProductionPrices L.PrivateSpending L.GDP L.Exports L.Imports L.FDI</t>
  </si>
  <si>
    <t>L.EmploymentRate L.Inflation L.GovernmentSpending L.GDP L.Imports L.FDI L.HealthExpenditure</t>
  </si>
  <si>
    <t>L.EmploymentRate L.Inflation L.PrivateSpending L.GovernmentSpending L.FDI L.HealthExpenditure L.LifeExpectancy</t>
  </si>
  <si>
    <t>L.EmploymentRate L.ShortInterestRate L.PrivateSpending L.GDP L.Imports L.HealthExpenditure L.LifeExpectancy</t>
  </si>
  <si>
    <t>L.EmploymentRate L.ShortInterestRate L.PrivateSpending L.GDP L.Exports L.FDI L.LifeExpectancy</t>
  </si>
  <si>
    <t>L.EmploymentRate L.ShortInterestRate L.Inflation L.GDP L.Exports L.Imports L.FDI</t>
  </si>
  <si>
    <t>L.EmploymentRate L.ShortInterestRate L.ProductionPrices L.Inflation L.PrivateSpending L.Imports L.HealthExpenditure</t>
  </si>
  <si>
    <t>L.EmploymentRate L.LongInterestRate L.GovernmentSpending L.GDP L.Imports L.FDI L.LifeExpectancy</t>
  </si>
  <si>
    <t>L.EmploymentRate L.LongInterestRate L.PrivateSpending L.GDP L.Exports L.FDI L.LifeExpectancy</t>
  </si>
  <si>
    <t>L.EmploymentRate L.LongInterestRate L.Inflation L.GDP L.Exports L.Imports L.FDI</t>
  </si>
  <si>
    <t>L.EmploymentRate L.LongInterestRate L.ProductionPrices L.PrivateSpending L.GDP L.Exports L.LifeExpectancy</t>
  </si>
  <si>
    <t>L.EmploymentRate L.LongInterestRate L.ProductionPrices L.Inflation L.PrivateSpending L.Imports L.HealthExpenditure</t>
  </si>
  <si>
    <t>L.EmploymentRate L.LongInterestRate L.ShortInterestRate L.PrivateSpending L.GovernmentSpending L.Imports L.LifeExpectancy</t>
  </si>
  <si>
    <t>L.EmploymentRate L.LongInterestRate L.ShortInterestRate L.Inflation L.Imports L.HealthExpenditure L.LifeExpectancy</t>
  </si>
  <si>
    <t>L.EmploymentRate L.LongInterestRate L.ShortInterestRate L.Inflation L.GovernmentSpending L.Imports L.LifeExpectancy</t>
  </si>
  <si>
    <t>L.EmploymentRate L.LongInterestRate L.ShortInterestRate L.Inflation L.PrivateSpending L.GovernmentSpending L.LifeExpectancy</t>
  </si>
  <si>
    <t>L.PandemicGrowth L.GovernmentSpending L.GDP L.Imports L.FDI L.HealthExpenditure L.LifeExpectancy</t>
  </si>
  <si>
    <t>L.PandemicGrowth L.Inflation L.GovernmentSpending L.GDP L.FDI L.HealthExpenditure L.LifeExpectancy</t>
  </si>
  <si>
    <t>L.PandemicGrowth L.Inflation L.GovernmentSpending L.GDP L.Exports L.FDI L.LifeExpectancy</t>
  </si>
  <si>
    <t>L.PandemicGrowth L.Inflation L.PrivateSpending L.GDP L.Exports L.FDI L.LifeExpectancy</t>
  </si>
  <si>
    <t>L.PandemicGrowth L.Inflation L.PrivateSpending L.GovernmentSpending L.Imports L.HealthExpenditure L.LifeExpectancy</t>
  </si>
  <si>
    <t>L.PandemicGrowth L.ProductionPrices L.GovernmentSpending L.GDP L.FDI L.HealthExpenditure L.LifeExpectancy</t>
  </si>
  <si>
    <t>L.PandemicGrowth L.ProductionPrices L.GovernmentSpending L.GDP L.Imports L.FDI L.LifeExpectancy</t>
  </si>
  <si>
    <t>L.PandemicGrowth L.ProductionPrices L.GovernmentSpending L.GDP L.Exports L.FDI L.LifeExpectancy</t>
  </si>
  <si>
    <t>L.PandemicGrowth L.ProductionPrices L.PrivateSpending L.GDP L.Exports L.FDI L.LifeExpectancy</t>
  </si>
  <si>
    <t>L.PandemicGrowth L.ProductionPrices L.Inflation L.GDP L.Imports L.FDI L.HealthExpenditure</t>
  </si>
  <si>
    <t>L.PandemicGrowth L.ProductionPrices L.Inflation L.PrivateSpending L.GDP L.FDI L.HealthExpenditure</t>
  </si>
  <si>
    <t>L.PandemicGrowth L.ProductionPrices L.Inflation L.PrivateSpending L.GDP L.Imports L.FDI</t>
  </si>
  <si>
    <t>L.PandemicGrowth L.ShortInterestRate L.GovernmentSpending L.GDP L.FDI L.HealthExpenditure L.LifeExpectancy</t>
  </si>
  <si>
    <t>L.PandemicGrowth L.ShortInterestRate L.GovernmentSpending L.GDP L.Imports L.HealthExpenditure L.LifeExpectancy</t>
  </si>
  <si>
    <t>L.PandemicGrowth L.ShortInterestRate L.GovernmentSpending L.GDP L.Imports L.FDI L.LifeExpectancy</t>
  </si>
  <si>
    <t>L.PandemicGrowth L.ShortInterestRate L.PrivateSpending L.GDP L.Imports L.FDI L.LifeExpectancy</t>
  </si>
  <si>
    <t>L.PandemicGrowth L.ShortInterestRate L.PrivateSpending L.GovernmentSpending L.GDP L.Exports L.LifeExpectancy</t>
  </si>
  <si>
    <t>L.PandemicGrowth L.ShortInterestRate L.Inflation L.PrivateSpending L.GDP L.Imports L.FDI</t>
  </si>
  <si>
    <t>L.PandemicGrowth L.LongInterestRate L.GovernmentSpending L.GDP L.FDI L.HealthExpenditure L.LifeExpectancy</t>
  </si>
  <si>
    <t>L.PandemicGrowth L.LongInterestRate L.GovernmentSpending L.GDP L.Imports L.HealthExpenditure L.LifeExpectancy</t>
  </si>
  <si>
    <t>L.PandemicGrowth L.LongInterestRate L.GovernmentSpending L.GDP L.Imports L.FDI L.LifeExpectancy</t>
  </si>
  <si>
    <t>L.PandemicGrowth L.LongInterestRate L.GovernmentSpending L.GDP L.Exports L.FDI L.LifeExpectancy</t>
  </si>
  <si>
    <t>L.PandemicGrowth L.LongInterestRate L.PrivateSpending L.GDP L.Imports L.FDI L.LifeExpectancy</t>
  </si>
  <si>
    <t>L.PandemicGrowth L.LongInterestRate L.PrivateSpending L.GovernmentSpending L.GDP L.Exports L.LifeExpectancy</t>
  </si>
  <si>
    <t>L.PandemicGrowth L.LongInterestRate L.Inflation L.PrivateSpending L.GDP L.Imports L.FDI</t>
  </si>
  <si>
    <t>L.PandemicGrowth L.LongInterestRate L.ShortInterestRate L.ProductionPrices L.GovernmentSpending L.Imports L.HealthExpenditure</t>
  </si>
  <si>
    <t>L.PandemicGrowth L.EmploymentRate L.ProductionPrices L.GDP L.Exports L.Imports L.LifeExpectancy</t>
  </si>
  <si>
    <t>L.PandemicGrowth L.EmploymentRate L.ShortInterestRate L.GDP L.Exports L.Imports L.LifeExpectancy</t>
  </si>
  <si>
    <t>L.PandemicGrowth L.EmploymentRate L.ShortInterestRate L.PrivateSpending L.GDP L.Exports L.LifeExpectancy</t>
  </si>
  <si>
    <t>L.PandemicGrowth L.EmploymentRate L.ShortInterestRate L.Inflation L.GovernmentSpending L.Imports L.FDI</t>
  </si>
  <si>
    <t>L.PandemicGrowth L.EmploymentRate L.ShortInterestRate L.Inflation L.PrivateSpending L.Imports L.FDI</t>
  </si>
  <si>
    <t>L.PandemicGrowth L.EmploymentRate L.ShortInterestRate L.Inflation L.PrivateSpending L.GovernmentSpending L.Imports</t>
  </si>
  <si>
    <t>L.PandemicGrowth L.EmploymentRate L.LongInterestRate L.GDP L.Exports L.Imports L.LifeExpectancy</t>
  </si>
  <si>
    <t>L.PandemicGrowth L.EmploymentRate L.LongInterestRate L.PrivateSpending L.GDP L.Exports L.LifeExpectancy</t>
  </si>
  <si>
    <t>L.PandemicGrowth L.EmploymentRate L.LongInterestRate L.Inflation L.GovernmentSpending L.Imports L.FDI</t>
  </si>
  <si>
    <t>L.PandemicGrowth L.EmploymentRate L.LongInterestRate L.Inflation L.PrivateSpending L.Imports L.FDI</t>
  </si>
  <si>
    <t>L.PandemicGrowth L.EmploymentRate L.LongInterestRate L.ShortInterestRate L.Inflation L.GovernmentSpending L.LifeExpectancy</t>
  </si>
  <si>
    <t>L.RecoveryRate L.Inflation L.PrivateSpending L.GDP L.Exports L.FDI L.LifeExpectancy</t>
  </si>
  <si>
    <t>L.RecoveryRate L.Inflation L.PrivateSpending L.GovernmentSpending L.Imports L.HealthExpenditure L.LifeExpectancy</t>
  </si>
  <si>
    <t>L.RecoveryRate L.ProductionPrices L.PrivateSpending L.GDP L.Exports L.FDI L.LifeExpectancy</t>
  </si>
  <si>
    <t>L.RecoveryRate L.ProductionPrices L.Inflation L.PrivateSpending L.GDP L.FDI L.HealthExpenditure</t>
  </si>
  <si>
    <t>L.RecoveryRate L.ShortInterestRate L.GovernmentSpending L.GDP L.Imports L.HealthExpenditure L.LifeExpectancy</t>
  </si>
  <si>
    <t>L.RecoveryRate L.ShortInterestRate L.PrivateSpending L.GDP L.Imports L.HealthExpenditure L.LifeExpectancy</t>
  </si>
  <si>
    <t>L.RecoveryRate L.ShortInterestRate L.PrivateSpending L.GovernmentSpending L.GDP L.Exports L.LifeExpectancy</t>
  </si>
  <si>
    <t>L.RecoveryRate L.ShortInterestRate L.Inflation L.PrivateSpending L.GovernmentSpending L.Imports L.LifeExpectancy</t>
  </si>
  <si>
    <t>L.RecoveryRate L.ShortInterestRate L.ProductionPrices L.PrivateSpending L.GovernmentSpending L.FDI L.HealthExpenditure</t>
  </si>
  <si>
    <t>L.RecoveryRate L.ShortInterestRate L.ProductionPrices L.PrivateSpending L.GovernmentSpending L.GDP L.HealthExpenditure</t>
  </si>
  <si>
    <t>L.RecoveryRate L.ShortInterestRate L.ProductionPrices L.Inflation L.GDP L.HealthExpenditure L.LifeExpectancy</t>
  </si>
  <si>
    <t>L.RecoveryRate L.ShortInterestRate L.ProductionPrices L.Inflation L.PrivateSpending L.GovernmentSpending L.Imports</t>
  </si>
  <si>
    <t>L.RecoveryRate L.LongInterestRate L.GovernmentSpending L.GDP L.Imports L.HealthExpenditure L.LifeExpectancy</t>
  </si>
  <si>
    <t>L.RecoveryRate L.LongInterestRate L.PrivateSpending L.GovernmentSpending L.GDP L.Exports L.LifeExpectancy</t>
  </si>
  <si>
    <t>L.RecoveryRate L.LongInterestRate L.Inflation L.PrivateSpending L.GovernmentSpending L.Imports L.LifeExpectancy</t>
  </si>
  <si>
    <t>L.RecoveryRate L.LongInterestRate L.Inflation L.PrivateSpending L.GovernmentSpending L.GDP L.HealthExpenditure</t>
  </si>
  <si>
    <t>L.RecoveryRate L.LongInterestRate L.ProductionPrices L.PrivateSpending L.GovernmentSpending L.FDI L.HealthExpenditure</t>
  </si>
  <si>
    <t>L.RecoveryRate L.LongInterestRate L.ProductionPrices L.PrivateSpending L.GovernmentSpending L.Imports L.LifeExpectancy</t>
  </si>
  <si>
    <t>L.RecoveryRate L.LongInterestRate L.ProductionPrices L.PrivateSpending L.GovernmentSpending L.GDP L.HealthExpenditure</t>
  </si>
  <si>
    <t>L.RecoveryRate L.LongInterestRate L.ProductionPrices L.Inflation L.GDP L.HealthExpenditure L.LifeExpectancy</t>
  </si>
  <si>
    <t>L.RecoveryRate L.LongInterestRate L.ProductionPrices L.Inflation L.PrivateSpending L.GovernmentSpending L.Imports</t>
  </si>
  <si>
    <t>L.RecoveryRate L.LongInterestRate L.ShortInterestRate L.Inflation L.Imports L.FDI L.HealthExpenditure</t>
  </si>
  <si>
    <t>L.RecoveryRate L.LongInterestRate L.ShortInterestRate L.Inflation L.PrivateSpending L.Imports L.HealthExpenditure</t>
  </si>
  <si>
    <t>L.RecoveryRate L.EmploymentRate L.ProductionPrices L.GDP L.Exports L.Imports L.LifeExpectancy</t>
  </si>
  <si>
    <t>L.RecoveryRate L.EmploymentRate L.ProductionPrices L.PrivateSpending L.Imports L.HealthExpenditure L.LifeExpectancy</t>
  </si>
  <si>
    <t>L.RecoveryRate L.EmploymentRate L.ProductionPrices L.Inflation L.PrivateSpending L.GovernmentSpending L.Imports</t>
  </si>
  <si>
    <t>L.RecoveryRate L.EmploymentRate L.ShortInterestRate L.GDP L.Exports L.Imports L.LifeExpectancy</t>
  </si>
  <si>
    <t>L.RecoveryRate L.EmploymentRate L.ShortInterestRate L.PrivateSpending L.GDP L.Exports L.LifeExpectancy</t>
  </si>
  <si>
    <t>L.RecoveryRate L.EmploymentRate L.ShortInterestRate L.Inflation L.GovernmentSpending L.Imports L.FDI</t>
  </si>
  <si>
    <t>L.RecoveryRate L.EmploymentRate L.ShortInterestRate L.Inflation L.PrivateSpending L.Imports L.FDI</t>
  </si>
  <si>
    <t>L.RecoveryRate L.EmploymentRate L.ShortInterestRate L.Inflation L.PrivateSpending L.GovernmentSpending L.Imports</t>
  </si>
  <si>
    <t>L.RecoveryRate L.EmploymentRate L.LongInterestRate L.GDP L.Exports L.Imports L.LifeExpectancy</t>
  </si>
  <si>
    <t>L.RecoveryRate L.EmploymentRate L.LongInterestRate L.PrivateSpending L.GDP L.Exports L.LifeExpectancy</t>
  </si>
  <si>
    <t>L.RecoveryRate L.EmploymentRate L.LongInterestRate L.Inflation L.GovernmentSpending L.Imports L.FDI</t>
  </si>
  <si>
    <t>L.RecoveryRate L.EmploymentRate L.LongInterestRate L.Inflation L.PrivateSpending L.GovernmentSpending L.Imports</t>
  </si>
  <si>
    <t>L.RecoveryRate L.EmploymentRate L.LongInterestRate L.ShortInterestRate L.Inflation L.GovernmentSpending L.LifeExpectancy</t>
  </si>
  <si>
    <t>L.PandemicGrowth L.ProductionPrices L.Inflation L.GovernmentSpending L.GDP L.Exports L.FDI L.HealthExpenditure</t>
  </si>
  <si>
    <t>L.PandemicGrowth L.ShortInterestRate L.PrivateSpending L.GDP L.Exports L.Imports L.HealthExpenditure L.LifeExpectancy</t>
  </si>
  <si>
    <t>L.PandemicGrowth L.ShortInterestRate L.Inflation L.GovernmentSpending L.GDP L.FDI L.HealthExpenditure L.LifeExpectancy</t>
  </si>
  <si>
    <t>L.PandemicGrowth L.ShortInterestRate L.Inflation L.PrivateSpending L.GovernmentSpending L.GDP L.Exports L.Imports</t>
  </si>
  <si>
    <t>L.PandemicGrowth L.LongInterestRate L.Inflation L.PrivateSpending L.GovernmentSpending L.GDP L.Exports L.Imports</t>
  </si>
  <si>
    <t>L.PandemicGrowth L.EmploymentRate L.ProductionPrices L.Inflation L.GovernmentSpending L.GDP L.FDI L.HealthExpenditure</t>
  </si>
  <si>
    <t>L.PandemicGrowth L.EmploymentRate L.ProductionPrices L.Inflation L.GovernmentSpending L.GDP L.Imports L.FDI</t>
  </si>
  <si>
    <t>L.PandemicGrowth L.EmploymentRate L.ProductionPrices L.Inflation L.GovernmentSpending L.GDP L.Exports L.FDI</t>
  </si>
  <si>
    <t>L.PandemicGrowth L.EmploymentRate L.ShortInterestRate L.GovernmentSpending L.GDP L.Imports L.FDI L.LifeExpectancy</t>
  </si>
  <si>
    <t>L.PandemicGrowth L.EmploymentRate L.ShortInterestRate L.PrivateSpending L.GDP L.Imports L.HealthExpenditure L.LifeExpectancy</t>
  </si>
  <si>
    <t>L.PandemicGrowth L.EmploymentRate L.ShortInterestRate L.PrivateSpending L.GDP L.Exports L.FDI L.LifeExpectancy</t>
  </si>
  <si>
    <t>L.PandemicGrowth L.EmploymentRate L.LongInterestRate L.GovernmentSpending L.GDP L.Imports L.FDI L.LifeExpectancy</t>
  </si>
  <si>
    <t>L.PandemicGrowth L.EmploymentRate L.LongInterestRate L.PrivateSpending L.GDP L.Exports L.FDI L.LifeExpectancy</t>
  </si>
  <si>
    <t>L.PandemicGrowth L.EmploymentRate L.LongInterestRate L.ShortInterestRate L.Inflation L.Imports L.HealthExpenditure L.LifeExpectancy</t>
  </si>
  <si>
    <t>L.PandemicGrowth L.EmploymentRate L.LongInterestRate L.ShortInterestRate L.Inflation L.Exports L.Imports L.LifeExpectancy</t>
  </si>
  <si>
    <t>L.PandemicGrowth L.EmploymentRate L.LongInterestRate L.ShortInterestRate L.Inflation L.GovernmentSpending L.Imports L.LifeExpectancy</t>
  </si>
  <si>
    <t>L.PandemicGrowth L.EmploymentRate L.LongInterestRate L.ShortInterestRate L.Inflation L.PrivateSpending L.GovernmentSpending L.LifeExpectancy</t>
  </si>
  <si>
    <t>L.RecoveryRate L.ShortInterestRate L.PrivateSpending L.GDP L.Exports L.Imports L.HealthExpenditure L.LifeExpectancy</t>
  </si>
  <si>
    <t>L.RecoveryRate L.ShortInterestRate L.Inflation L.GovernmentSpending L.GDP L.Exports L.Imports L.HealthExpenditure</t>
  </si>
  <si>
    <t>L.RecoveryRate L.ShortInterestRate L.Inflation L.PrivateSpending L.GovernmentSpending L.FDI L.HealthExpenditure L.LifeExpectancy</t>
  </si>
  <si>
    <t>L.RecoveryRate L.ShortInterestRate L.Inflation L.PrivateSpending L.GovernmentSpending L.GDP L.Exports L.Imports</t>
  </si>
  <si>
    <t>L.RecoveryRate L.ShortInterestRate L.ProductionPrices L.PrivateSpending L.GovernmentSpending L.GDP L.Exports L.Imports</t>
  </si>
  <si>
    <t>L.RecoveryRate L.ShortInterestRate L.ProductionPrices L.Inflation L.PrivateSpending L.GovernmentSpending L.FDI L.HealthExpenditure</t>
  </si>
  <si>
    <t>L.RecoveryRate L.LongInterestRate L.Inflation L.GovernmentSpending L.GDP L.Exports L.Imports L.HealthExpenditure</t>
  </si>
  <si>
    <t>L.RecoveryRate L.LongInterestRate L.Inflation L.PrivateSpending L.GovernmentSpending L.FDI L.HealthExpenditure L.LifeExpectancy</t>
  </si>
  <si>
    <t>L.RecoveryRate L.LongInterestRate L.Inflation L.PrivateSpending L.GovernmentSpending L.GDP L.Exports L.Imports</t>
  </si>
  <si>
    <t>L.RecoveryRate L.LongInterestRate L.ProductionPrices L.PrivateSpending L.GovernmentSpending L.FDI L.HealthExpenditure L.LifeExpectancy</t>
  </si>
  <si>
    <t>L.RecoveryRate L.LongInterestRate L.ProductionPrices L.PrivateSpending L.GovernmentSpending L.GDP L.Exports L.Imports</t>
  </si>
  <si>
    <t>L.RecoveryRate L.EmploymentRate L.ShortInterestRate L.PrivateSpending L.GDP L.Imports L.HealthExpenditure L.LifeExpectancy</t>
  </si>
  <si>
    <t>L.RecoveryRate L.EmploymentRate L.ShortInterestRate L.PrivateSpending L.GDP L.Exports L.FDI L.LifeExpectancy</t>
  </si>
  <si>
    <t>L.RecoveryRate L.EmploymentRate L.ShortInterestRate L.Inflation L.GDP L.Exports L.Imports L.FDI</t>
  </si>
  <si>
    <t>L.RecoveryRate L.EmploymentRate L.LongInterestRate L.PrivateSpending L.GDP L.Imports L.HealthExpenditure L.LifeExpectancy</t>
  </si>
  <si>
    <t>L.RecoveryRate L.EmploymentRate L.LongInterestRate L.PrivateSpending L.GDP L.Exports L.FDI L.LifeExpectancy</t>
  </si>
  <si>
    <t>L.RecoveryRate L.EmploymentRate L.LongInterestRate L.Inflation L.GDP L.Exports L.Imports L.FDI</t>
  </si>
  <si>
    <t>L.RecoveryRate L.EmploymentRate L.LongInterestRate L.ProductionPrices L.PrivateSpending L.GDP L.Exports L.LifeExpectancy</t>
  </si>
  <si>
    <t>L.RecoveryRate L.EmploymentRate L.LongInterestRate L.ProductionPrices L.Inflation L.GDP L.HealthExpenditure L.LifeExpectancy</t>
  </si>
  <si>
    <t>L.RecoveryRate L.EmploymentRate L.LongInterestRate L.ShortInterestRate L.PrivateSpending L.GovernmentSpending L.Imports L.LifeExpectancy</t>
  </si>
  <si>
    <t>L.RecoveryRate L.EmploymentRate L.LongInterestRate L.ShortInterestRate L.Inflation L.Imports L.HealthExpenditure L.LifeExpectancy</t>
  </si>
  <si>
    <t>L.RecoveryRate L.EmploymentRate L.LongInterestRate L.ShortInterestRate L.Inflation L.GovernmentSpending L.Imports L.LifeExpectancy</t>
  </si>
  <si>
    <t>L.RecoveryRate L.EmploymentRate L.LongInterestRate L.ShortInterestRate L.Inflation L.PrivateSpending L.GovernmentSpending L.LifeExpectancy</t>
  </si>
  <si>
    <t>Vars</t>
  </si>
  <si>
    <t>Coefficients</t>
  </si>
  <si>
    <t>J stat</t>
  </si>
  <si>
    <t>r</t>
  </si>
  <si>
    <t>r1</t>
  </si>
  <si>
    <t xml:space="preserve">r2 </t>
  </si>
  <si>
    <t>r3</t>
  </si>
  <si>
    <t>r4</t>
  </si>
  <si>
    <t>r5</t>
  </si>
  <si>
    <t>r6</t>
  </si>
  <si>
    <t>r7</t>
  </si>
  <si>
    <t>r8</t>
  </si>
  <si>
    <t>r9</t>
  </si>
  <si>
    <t>cov r's</t>
  </si>
  <si>
    <t>Accuracy</t>
  </si>
  <si>
    <t>EmploymentRate</t>
  </si>
  <si>
    <t>Exports</t>
  </si>
  <si>
    <t>FDI</t>
  </si>
  <si>
    <t>GDP</t>
  </si>
  <si>
    <t>GovernmentSpending</t>
  </si>
  <si>
    <t>HealthExpenditure</t>
  </si>
  <si>
    <t>Imports</t>
  </si>
  <si>
    <t>Inflation</t>
  </si>
  <si>
    <t>LifeExpectancy</t>
  </si>
  <si>
    <t>LongInterestRate</t>
  </si>
  <si>
    <t>PandemicGrowth</t>
  </si>
  <si>
    <t>PrivateSpending</t>
  </si>
  <si>
    <t>ProductionPrices</t>
  </si>
  <si>
    <t>RecoveryRate</t>
  </si>
  <si>
    <t>ShortInterestRate</t>
  </si>
  <si>
    <t>Count of EmploymentRate</t>
  </si>
  <si>
    <t>Predictor</t>
  </si>
  <si>
    <t>Frequency</t>
  </si>
  <si>
    <t>Min</t>
  </si>
  <si>
    <t>Max</t>
  </si>
  <si>
    <t>Average</t>
  </si>
  <si>
    <t>number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</si>
  <si>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</si>
  <si>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</si>
  <si>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</si>
  <si>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</si>
  <si>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</si>
  <si>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</si>
  <si>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</si>
  <si>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</si>
  <si>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</si>
  <si>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</si>
  <si>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</si>
  <si>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</si>
  <si>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</si>
  <si>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</si>
  <si>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</si>
  <si>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LongTermInterestRate</t>
  </si>
  <si>
    <t>ShortTermInterestRate</t>
  </si>
  <si>
    <t>Private spending</t>
  </si>
  <si>
    <t>Government spending</t>
  </si>
  <si>
    <t>Life expectancy</t>
  </si>
  <si>
    <t>IPP</t>
  </si>
  <si>
    <t>Health expenditure</t>
  </si>
  <si>
    <t>Employment rate</t>
  </si>
  <si>
    <t>Long-term interest rate</t>
  </si>
  <si>
    <t>Short-term interest rate</t>
  </si>
  <si>
    <t>Recovery rate</t>
  </si>
  <si>
    <t>Pandemic growth rate</t>
  </si>
  <si>
    <t>Predictors</t>
  </si>
  <si>
    <t>Pivot variable</t>
  </si>
  <si>
    <t>'GDP'</t>
  </si>
  <si>
    <t>'Imports'</t>
  </si>
  <si>
    <t>'PrivateSpending'</t>
  </si>
  <si>
    <t>'GovernmentSpending'</t>
  </si>
  <si>
    <t>'LifeExpectancy'</t>
  </si>
  <si>
    <t>'Exports'</t>
  </si>
  <si>
    <t>'FDI'</t>
  </si>
  <si>
    <t>'Inflation'</t>
  </si>
  <si>
    <t>'ProductionPrices'</t>
  </si>
  <si>
    <t>'HealthExpenditure'</t>
  </si>
  <si>
    <t>'EmploymentRate'</t>
  </si>
  <si>
    <t>'LongInterestRate'</t>
  </si>
  <si>
    <t>'ShortInterestRate'</t>
  </si>
  <si>
    <t>'RecoveryRate'</t>
  </si>
  <si>
    <t>'PandemicGrowth'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</si>
</sst>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0" fontId="0" fillId="0" borderId="1" xfId="0" applyBorder="1"/>
    <xf numFmtId="0" fontId="0" fillId="2" borderId="0" xfId="0" applyFill="1" applyBorder="1"/>
    <xf numFmtId="0" fontId="0" fillId="2" borderId="0" xfId="0" applyFill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NumberFormat="1" applyBorder="1"/>
    <xf numFmtId="0" fontId="0" fillId="0" borderId="0" xfId="0" applyAlignment="1"/>
    <xf numFmtId="0" fontId="0" fillId="0" borderId="0" xfId="0" applyFill="1" applyBorder="1"/>
    <xf numFmtId="0" fontId="0" fillId="0" borderId="0" xfId="0" applyFill="1"/>
    <xf numFmtId="0" fontId="0" fillId="0" borderId="0" xfId="0" pivotButton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[Results_Const.xlsm]hist!PivotTable13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 of EmploymentRate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hist!$B$3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hist!$A$4:$A$18</c:f>
              <c:strCache>
                <c:ptCount val="15"/>
                <c:pt idx="0">
                  <c:v>EmploymentRate</c:v>
                </c:pt>
                <c:pt idx="1">
                  <c:v>Exports</c:v>
                </c:pt>
                <c:pt idx="2">
                  <c:v>FDI</c:v>
                </c:pt>
                <c:pt idx="3">
                  <c:v>GDP</c:v>
                </c:pt>
                <c:pt idx="4">
                  <c:v>GovernmentSpending</c:v>
                </c:pt>
                <c:pt idx="5">
                  <c:v>HealthExpenditure</c:v>
                </c:pt>
                <c:pt idx="6">
                  <c:v>Imports</c:v>
                </c:pt>
                <c:pt idx="7">
                  <c:v>Inflation</c:v>
                </c:pt>
                <c:pt idx="8">
                  <c:v>LifeExpectancy</c:v>
                </c:pt>
                <c:pt idx="9">
                  <c:v>LongInterestRate</c:v>
                </c:pt>
                <c:pt idx="10">
                  <c:v>PandemicGrowth</c:v>
                </c:pt>
                <c:pt idx="11">
                  <c:v>PrivateSpending</c:v>
                </c:pt>
                <c:pt idx="12">
                  <c:v>ProductionPrices</c:v>
                </c:pt>
                <c:pt idx="13">
                  <c:v>RecoveryRate</c:v>
                </c:pt>
                <c:pt idx="14">
                  <c:v>ShortInterestRate</c:v>
                </c:pt>
              </c:strCache>
            </c:strRef>
          </c:cat>
          <c:val>
            <c:numRef>
              <c:f>hist!$B$4:$B$18</c:f>
              <c:numCache>
                <c:formatCode>General</c:formatCode>
                <c:ptCount val="15"/>
                <c:pt idx="0">
                  <c:v>47</c:v>
                </c:pt>
                <c:pt idx="1">
                  <c:v>63</c:v>
                </c:pt>
                <c:pt idx="2">
                  <c:v>63</c:v>
                </c:pt>
                <c:pt idx="3">
                  <c:v>83</c:v>
                </c:pt>
                <c:pt idx="4">
                  <c:v>67</c:v>
                </c:pt>
                <c:pt idx="5">
                  <c:v>55</c:v>
                </c:pt>
                <c:pt idx="6">
                  <c:v>74</c:v>
                </c:pt>
                <c:pt idx="7">
                  <c:v>63</c:v>
                </c:pt>
                <c:pt idx="8">
                  <c:v>66</c:v>
                </c:pt>
                <c:pt idx="9">
                  <c:v>47</c:v>
                </c:pt>
                <c:pt idx="10">
                  <c:v>26</c:v>
                </c:pt>
                <c:pt idx="11">
                  <c:v>68</c:v>
                </c:pt>
                <c:pt idx="12">
                  <c:v>59</c:v>
                </c:pt>
                <c:pt idx="13">
                  <c:v>33</c:v>
                </c:pt>
                <c:pt idx="14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3-4F77-B10F-F8B04499D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3093344"/>
        <c:axId val="543094656"/>
      </c:barChart>
      <c:catAx>
        <c:axId val="543093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4656"/>
        <c:crosses val="autoZero"/>
        <c:auto val="1"/>
        <c:lblAlgn val="ctr"/>
        <c:lblOffset val="100"/>
        <c:noMultiLvlLbl val="0"/>
      </c:catAx>
      <c:valAx>
        <c:axId val="54309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'Solutions_J (3)'!$AA$1</c:f>
              <c:strCache>
                <c:ptCount val="1"/>
                <c:pt idx="0">
                  <c:v>cov r's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'Solutions_J (3)'!$AA$2:$AA$129</c:f>
              <c:numCache>
                <c:formatCode>General</c:formatCode>
                <c:ptCount val="128"/>
                <c:pt idx="0">
                  <c:v>8.908089937806656E-4</c:v>
                </c:pt>
                <c:pt idx="1">
                  <c:v>1.2375445677779849E-3</c:v>
                </c:pt>
                <c:pt idx="2">
                  <c:v>1.3732053160250418E-2</c:v>
                </c:pt>
                <c:pt idx="3">
                  <c:v>6.8619866658837583E-3</c:v>
                </c:pt>
                <c:pt idx="4">
                  <c:v>4.2613783756708544E-3</c:v>
                </c:pt>
                <c:pt idx="5">
                  <c:v>8.3418682736985904E-3</c:v>
                </c:pt>
                <c:pt idx="6">
                  <c:v>4.3080314589903686E-3</c:v>
                </c:pt>
                <c:pt idx="7">
                  <c:v>1.2988608852953724E-3</c:v>
                </c:pt>
                <c:pt idx="8">
                  <c:v>1.5633078104690633E-2</c:v>
                </c:pt>
                <c:pt idx="9">
                  <c:v>5.4233889678993322E-3</c:v>
                </c:pt>
                <c:pt idx="10">
                  <c:v>1.4376332527326788E-3</c:v>
                </c:pt>
                <c:pt idx="11">
                  <c:v>8.3307685335554365E-4</c:v>
                </c:pt>
                <c:pt idx="12">
                  <c:v>6.4369141882197178E-3</c:v>
                </c:pt>
                <c:pt idx="13">
                  <c:v>2.9524993245469409E-3</c:v>
                </c:pt>
                <c:pt idx="14">
                  <c:v>7.8450960359225334E-3</c:v>
                </c:pt>
                <c:pt idx="15">
                  <c:v>1.6251438287960367E-2</c:v>
                </c:pt>
                <c:pt idx="16">
                  <c:v>7.8373964192262214E-3</c:v>
                </c:pt>
                <c:pt idx="17">
                  <c:v>2.0271851074195579E-4</c:v>
                </c:pt>
                <c:pt idx="18">
                  <c:v>2.7846107367680828E-4</c:v>
                </c:pt>
                <c:pt idx="19">
                  <c:v>2.441944387861925E-3</c:v>
                </c:pt>
                <c:pt idx="20">
                  <c:v>1.3436930048371925E-3</c:v>
                </c:pt>
                <c:pt idx="21">
                  <c:v>3.0337684302590373E-2</c:v>
                </c:pt>
                <c:pt idx="22">
                  <c:v>2.5151418036648858E-3</c:v>
                </c:pt>
                <c:pt idx="23">
                  <c:v>6.115243106402414E-3</c:v>
                </c:pt>
                <c:pt idx="24">
                  <c:v>9.5404565634590079E-3</c:v>
                </c:pt>
                <c:pt idx="25">
                  <c:v>3.746774121321122E-3</c:v>
                </c:pt>
                <c:pt idx="26">
                  <c:v>5.9312532986309802E-3</c:v>
                </c:pt>
                <c:pt idx="27">
                  <c:v>4.1173210647263521E-3</c:v>
                </c:pt>
                <c:pt idx="28">
                  <c:v>3.509345631557189E-3</c:v>
                </c:pt>
                <c:pt idx="29">
                  <c:v>0.11984884337604937</c:v>
                </c:pt>
                <c:pt idx="30">
                  <c:v>2.6113681412046163E-3</c:v>
                </c:pt>
                <c:pt idx="31">
                  <c:v>1.339444717609294E-3</c:v>
                </c:pt>
                <c:pt idx="32">
                  <c:v>3.4511835403852388E-3</c:v>
                </c:pt>
                <c:pt idx="33">
                  <c:v>6.5220001113710183E-3</c:v>
                </c:pt>
                <c:pt idx="34">
                  <c:v>8.5467150319816394E-3</c:v>
                </c:pt>
                <c:pt idx="35">
                  <c:v>4.1557392966138761E-3</c:v>
                </c:pt>
                <c:pt idx="36">
                  <c:v>0.13143373626833577</c:v>
                </c:pt>
                <c:pt idx="37">
                  <c:v>6.9284316819000239E-3</c:v>
                </c:pt>
                <c:pt idx="38">
                  <c:v>1.0260678472935098E-2</c:v>
                </c:pt>
                <c:pt idx="39">
                  <c:v>1.6646319284338594E-2</c:v>
                </c:pt>
                <c:pt idx="40">
                  <c:v>2.4330305017453847E-2</c:v>
                </c:pt>
                <c:pt idx="41">
                  <c:v>9.9674226595256E-4</c:v>
                </c:pt>
                <c:pt idx="42">
                  <c:v>2.2582539045364002E-4</c:v>
                </c:pt>
                <c:pt idx="43">
                  <c:v>4.0476123123512472E-3</c:v>
                </c:pt>
                <c:pt idx="44">
                  <c:v>1.3422049189037943E-3</c:v>
                </c:pt>
                <c:pt idx="45">
                  <c:v>3.3773592331920997E-3</c:v>
                </c:pt>
                <c:pt idx="46">
                  <c:v>2.7826886460218412E-3</c:v>
                </c:pt>
                <c:pt idx="47">
                  <c:v>2.0931692361535535E-3</c:v>
                </c:pt>
                <c:pt idx="48">
                  <c:v>7.4910907771075588E-4</c:v>
                </c:pt>
                <c:pt idx="49">
                  <c:v>4.2452891324782352E-3</c:v>
                </c:pt>
                <c:pt idx="50">
                  <c:v>1.9941552042950367E-3</c:v>
                </c:pt>
                <c:pt idx="51">
                  <c:v>5.6818739110484125E-3</c:v>
                </c:pt>
                <c:pt idx="52">
                  <c:v>1.4269546603849033E-4</c:v>
                </c:pt>
                <c:pt idx="53">
                  <c:v>1.9815987025587921E-4</c:v>
                </c:pt>
                <c:pt idx="54">
                  <c:v>2.8242396690125842E-5</c:v>
                </c:pt>
                <c:pt idx="55">
                  <c:v>2.0109708153525615E-3</c:v>
                </c:pt>
                <c:pt idx="56">
                  <c:v>9.08172961955858E-3</c:v>
                </c:pt>
                <c:pt idx="57">
                  <c:v>2.9635072828986769E-3</c:v>
                </c:pt>
                <c:pt idx="58">
                  <c:v>3.9547639470948826E-3</c:v>
                </c:pt>
                <c:pt idx="59">
                  <c:v>1.279186632585181E-4</c:v>
                </c:pt>
                <c:pt idx="60">
                  <c:v>1.5074843842262494E-5</c:v>
                </c:pt>
                <c:pt idx="61">
                  <c:v>1.5156602402791196E-3</c:v>
                </c:pt>
                <c:pt idx="62">
                  <c:v>3.1391393463988337E-3</c:v>
                </c:pt>
                <c:pt idx="63">
                  <c:v>2.545717161597598E-3</c:v>
                </c:pt>
                <c:pt idx="64">
                  <c:v>1.1613395664445993E-2</c:v>
                </c:pt>
                <c:pt idx="65">
                  <c:v>0.10915518504204653</c:v>
                </c:pt>
                <c:pt idx="66">
                  <c:v>9.0314236210718019E-4</c:v>
                </c:pt>
                <c:pt idx="67">
                  <c:v>8.1233660058895405E-3</c:v>
                </c:pt>
                <c:pt idx="68">
                  <c:v>1.9657339757278526E-3</c:v>
                </c:pt>
                <c:pt idx="69">
                  <c:v>3.0422793968647522E-3</c:v>
                </c:pt>
                <c:pt idx="70">
                  <c:v>1.0475681838240743E-3</c:v>
                </c:pt>
                <c:pt idx="71">
                  <c:v>2.9921831228843935E-3</c:v>
                </c:pt>
                <c:pt idx="72">
                  <c:v>4.3045822213558342E-3</c:v>
                </c:pt>
                <c:pt idx="73">
                  <c:v>1.8781136722113728E-3</c:v>
                </c:pt>
                <c:pt idx="74">
                  <c:v>0.16733598708081859</c:v>
                </c:pt>
                <c:pt idx="75">
                  <c:v>1.4513398995635314E-3</c:v>
                </c:pt>
                <c:pt idx="76">
                  <c:v>4.2610157781828939E-3</c:v>
                </c:pt>
                <c:pt idx="77">
                  <c:v>3.1414995499527736E-4</c:v>
                </c:pt>
                <c:pt idx="78">
                  <c:v>2.2358466656904538E-3</c:v>
                </c:pt>
                <c:pt idx="79">
                  <c:v>4.6274127854637886E-3</c:v>
                </c:pt>
                <c:pt idx="80">
                  <c:v>7.5569213190950311E-3</c:v>
                </c:pt>
                <c:pt idx="81">
                  <c:v>3.1690864853040647E-5</c:v>
                </c:pt>
                <c:pt idx="82">
                  <c:v>2.2870429989352852E-3</c:v>
                </c:pt>
                <c:pt idx="83">
                  <c:v>1.4475274361848943E-3</c:v>
                </c:pt>
                <c:pt idx="84">
                  <c:v>8.4433073235405448E-5</c:v>
                </c:pt>
                <c:pt idx="85">
                  <c:v>3.7619946031530863E-3</c:v>
                </c:pt>
                <c:pt idx="86">
                  <c:v>5.856061143425036E-5</c:v>
                </c:pt>
                <c:pt idx="87">
                  <c:v>5.9463672691122333E-4</c:v>
                </c:pt>
                <c:pt idx="88">
                  <c:v>1.9745651343616243E-2</c:v>
                </c:pt>
                <c:pt idx="89">
                  <c:v>9.6745421816621907E-2</c:v>
                </c:pt>
                <c:pt idx="90">
                  <c:v>4.238355415573967E-4</c:v>
                </c:pt>
                <c:pt idx="91">
                  <c:v>3.1428722721057387E-3</c:v>
                </c:pt>
                <c:pt idx="92">
                  <c:v>2.5427854492654401E-3</c:v>
                </c:pt>
                <c:pt idx="93">
                  <c:v>6.2629109255274611E-3</c:v>
                </c:pt>
                <c:pt idx="94">
                  <c:v>4.0682056500111691E-3</c:v>
                </c:pt>
                <c:pt idx="95">
                  <c:v>6.7508716998641237E-5</c:v>
                </c:pt>
                <c:pt idx="96">
                  <c:v>2.0483475175331117E-3</c:v>
                </c:pt>
                <c:pt idx="97">
                  <c:v>4.9476601094761868E-5</c:v>
                </c:pt>
                <c:pt idx="98">
                  <c:v>3.5985044210788366E-4</c:v>
                </c:pt>
                <c:pt idx="99">
                  <c:v>2.1858814160019362E-3</c:v>
                </c:pt>
                <c:pt idx="100">
                  <c:v>2.9875847607534769E-3</c:v>
                </c:pt>
                <c:pt idx="101">
                  <c:v>2.5868241519887478E-4</c:v>
                </c:pt>
                <c:pt idx="102">
                  <c:v>1.8058898105863017E-2</c:v>
                </c:pt>
                <c:pt idx="103">
                  <c:v>1.0833065158374199E-3</c:v>
                </c:pt>
                <c:pt idx="104">
                  <c:v>2.6202447036105989E-3</c:v>
                </c:pt>
                <c:pt idx="105">
                  <c:v>3.8186231294177E-4</c:v>
                </c:pt>
                <c:pt idx="106">
                  <c:v>1.1434895874433671E-3</c:v>
                </c:pt>
                <c:pt idx="107">
                  <c:v>1.2820966417386656E-3</c:v>
                </c:pt>
                <c:pt idx="108">
                  <c:v>9.2008467163121033E-4</c:v>
                </c:pt>
                <c:pt idx="109">
                  <c:v>1.5438979214841635E-3</c:v>
                </c:pt>
                <c:pt idx="110">
                  <c:v>7.0554303289634878E-5</c:v>
                </c:pt>
                <c:pt idx="111">
                  <c:v>1.0185712284892692E-3</c:v>
                </c:pt>
                <c:pt idx="112">
                  <c:v>4.0096027031332696E-3</c:v>
                </c:pt>
                <c:pt idx="113">
                  <c:v>1.6649641983457875E-6</c:v>
                </c:pt>
                <c:pt idx="114">
                  <c:v>1.0497869470257228E-4</c:v>
                </c:pt>
                <c:pt idx="115">
                  <c:v>6.7934199823647731E-3</c:v>
                </c:pt>
                <c:pt idx="116">
                  <c:v>1.7261432379032336E-3</c:v>
                </c:pt>
                <c:pt idx="117">
                  <c:v>5.8551203796064636E-3</c:v>
                </c:pt>
                <c:pt idx="118">
                  <c:v>1.7483018039055603E-6</c:v>
                </c:pt>
                <c:pt idx="119">
                  <c:v>9.9598894719639917E-3</c:v>
                </c:pt>
                <c:pt idx="120">
                  <c:v>1.2559431566864615E-4</c:v>
                </c:pt>
                <c:pt idx="121">
                  <c:v>4.2917212689731457E-5</c:v>
                </c:pt>
                <c:pt idx="122">
                  <c:v>8.3234779968528808E-3</c:v>
                </c:pt>
                <c:pt idx="123">
                  <c:v>2.6698632535383804E-4</c:v>
                </c:pt>
                <c:pt idx="124">
                  <c:v>3.7594361006375776E-4</c:v>
                </c:pt>
                <c:pt idx="125">
                  <c:v>1.9804921961941235E-5</c:v>
                </c:pt>
                <c:pt idx="126">
                  <c:v>2.4716220831610036E-4</c:v>
                </c:pt>
                <c:pt idx="127">
                  <c:v>6.9514645252734843E-6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5-41B5-AD2C-0A8ABA668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049856"/>
        <c:axId val="680046904"/>
      </c:lineChart>
      <c:catAx>
        <c:axId val="68004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6904"/>
        <c:crosses val="autoZero"/>
        <c:auto val="1"/>
        <c:lblAlgn val="ctr"/>
        <c:lblOffset val="100"/>
        <c:noMultiLvlLbl val="0"/>
      </c:catAx>
      <c:valAx>
        <c:axId val="68004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'Solutions_J (2)'!$P$1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(2)'!$P$2:$P$129</c:f>
              <c:numCache>
                <c:formatCode>General</c:formatCode>
                <c:ptCount val="128"/>
                <c:pt idx="0">
                  <c:v>1.4223566109969999E-4</c:v>
                </c:pt>
                <c:pt idx="1">
                  <c:v>9.6425982264399998E-5</c:v>
                </c:pt>
                <c:pt idx="2">
                  <c:v>-1.2306626235729999E-4</c:v>
                </c:pt>
                <c:pt idx="3">
                  <c:v>2.3112235607550001E-4</c:v>
                </c:pt>
                <c:pt idx="4">
                  <c:v>-6.3796145641300002E-5</c:v>
                </c:pt>
                <c:pt idx="5">
                  <c:v>-3.8839723116969999E-4</c:v>
                </c:pt>
                <c:pt idx="6">
                  <c:v>2.851682662847E-4</c:v>
                </c:pt>
                <c:pt idx="7">
                  <c:v>4.9999550525199999E-5</c:v>
                </c:pt>
                <c:pt idx="8">
                  <c:v>7.5708305495879996E-4</c:v>
                </c:pt>
                <c:pt idx="9">
                  <c:v>7.1296192856800005E-5</c:v>
                </c:pt>
                <c:pt idx="10">
                  <c:v>9.9081437587869993E-4</c:v>
                </c:pt>
                <c:pt idx="11">
                  <c:v>-9.9724700017129997E-4</c:v>
                </c:pt>
                <c:pt idx="12">
                  <c:v>3.1554901077410002E-4</c:v>
                </c:pt>
                <c:pt idx="13">
                  <c:v>1.042757276592E-4</c:v>
                </c:pt>
                <c:pt idx="14">
                  <c:v>1.0192214941090001E-3</c:v>
                </c:pt>
                <c:pt idx="15">
                  <c:v>3.3764818696629999E-4</c:v>
                </c:pt>
                <c:pt idx="16">
                  <c:v>8.1687331901950002E-4</c:v>
                </c:pt>
                <c:pt idx="17">
                  <c:v>-3.3486241131419999E-4</c:v>
                </c:pt>
                <c:pt idx="18">
                  <c:v>7.7962044574430005E-4</c:v>
                </c:pt>
                <c:pt idx="19">
                  <c:v>1.7625139988568001E-3</c:v>
                </c:pt>
                <c:pt idx="20">
                  <c:v>1.6927269024089999E-4</c:v>
                </c:pt>
                <c:pt idx="21">
                  <c:v>6.1327450250540005E-4</c:v>
                </c:pt>
                <c:pt idx="22">
                  <c:v>-5.5640114387859999E-4</c:v>
                </c:pt>
                <c:pt idx="23">
                  <c:v>1.3924806647252E-3</c:v>
                </c:pt>
                <c:pt idx="24">
                  <c:v>-1.1081871031411001E-3</c:v>
                </c:pt>
                <c:pt idx="25">
                  <c:v>-1.9910935183037998E-3</c:v>
                </c:pt>
                <c:pt idx="26">
                  <c:v>-1.6360566385464001E-3</c:v>
                </c:pt>
                <c:pt idx="27">
                  <c:v>-7.3403160878669999E-4</c:v>
                </c:pt>
                <c:pt idx="28">
                  <c:v>-1.1871582136783001E-3</c:v>
                </c:pt>
                <c:pt idx="29">
                  <c:v>6.3954906982660001E-4</c:v>
                </c:pt>
                <c:pt idx="30">
                  <c:v>5.3455057890816997E-3</c:v>
                </c:pt>
                <c:pt idx="31">
                  <c:v>-1.5096887040835E-3</c:v>
                </c:pt>
                <c:pt idx="32">
                  <c:v>-2.2756773829207002E-3</c:v>
                </c:pt>
                <c:pt idx="33">
                  <c:v>-4.9351541808535003E-3</c:v>
                </c:pt>
                <c:pt idx="34">
                  <c:v>9.3254600871149997E-4</c:v>
                </c:pt>
                <c:pt idx="35">
                  <c:v>-1.9017418435539001E-3</c:v>
                </c:pt>
                <c:pt idx="36">
                  <c:v>-4.2504096101200001E-5</c:v>
                </c:pt>
                <c:pt idx="37">
                  <c:v>-4.9674522731051997E-3</c:v>
                </c:pt>
                <c:pt idx="38">
                  <c:v>-1.8651477988287999E-3</c:v>
                </c:pt>
                <c:pt idx="39">
                  <c:v>-5.0386180931020997E-3</c:v>
                </c:pt>
                <c:pt idx="40">
                  <c:v>-4.2762754459670002E-4</c:v>
                </c:pt>
                <c:pt idx="41">
                  <c:v>-3.5910824050964002E-3</c:v>
                </c:pt>
                <c:pt idx="42">
                  <c:v>-1.0533780448472999E-3</c:v>
                </c:pt>
                <c:pt idx="43">
                  <c:v>-3.3801095711584002E-3</c:v>
                </c:pt>
                <c:pt idx="44">
                  <c:v>-7.1361790064659999E-4</c:v>
                </c:pt>
                <c:pt idx="45">
                  <c:v>3.6548308665141E-3</c:v>
                </c:pt>
                <c:pt idx="46">
                  <c:v>-3.2574859421269999E-4</c:v>
                </c:pt>
                <c:pt idx="47">
                  <c:v>1.8373257193398001E-3</c:v>
                </c:pt>
                <c:pt idx="48">
                  <c:v>-4.527059914747E-4</c:v>
                </c:pt>
                <c:pt idx="49">
                  <c:v>-1.6122629155709001E-3</c:v>
                </c:pt>
                <c:pt idx="50">
                  <c:v>1.109701958405E-4</c:v>
                </c:pt>
                <c:pt idx="51">
                  <c:v>8.1400926151439996E-4</c:v>
                </c:pt>
                <c:pt idx="52">
                  <c:v>-7.8687904405079999E-4</c:v>
                </c:pt>
                <c:pt idx="53">
                  <c:v>6.1729063325459996E-4</c:v>
                </c:pt>
                <c:pt idx="54">
                  <c:v>-3.7574109033316999E-3</c:v>
                </c:pt>
                <c:pt idx="55">
                  <c:v>8.1318562423969998E-4</c:v>
                </c:pt>
                <c:pt idx="56">
                  <c:v>1.2398628006144E-2</c:v>
                </c:pt>
                <c:pt idx="57">
                  <c:v>-1.0254515240829E-3</c:v>
                </c:pt>
                <c:pt idx="58">
                  <c:v>7.2965311577480004E-4</c:v>
                </c:pt>
                <c:pt idx="59">
                  <c:v>-1.2735110116859999E-4</c:v>
                </c:pt>
                <c:pt idx="60">
                  <c:v>-6.0633151722307996E-3</c:v>
                </c:pt>
                <c:pt idx="61">
                  <c:v>-1.0105070576184E-3</c:v>
                </c:pt>
                <c:pt idx="62">
                  <c:v>-8.9703550377350004E-4</c:v>
                </c:pt>
                <c:pt idx="63">
                  <c:v>5.0299292394730003E-4</c:v>
                </c:pt>
                <c:pt idx="64">
                  <c:v>-2.5475525627856998E-3</c:v>
                </c:pt>
                <c:pt idx="65">
                  <c:v>-6.5652396267262001E-3</c:v>
                </c:pt>
                <c:pt idx="66">
                  <c:v>-6.5544594854616998E-3</c:v>
                </c:pt>
                <c:pt idx="67">
                  <c:v>-8.3917898325250003E-4</c:v>
                </c:pt>
                <c:pt idx="68">
                  <c:v>-2.163734017045E-4</c:v>
                </c:pt>
                <c:pt idx="69">
                  <c:v>-1.2748188426694E-3</c:v>
                </c:pt>
                <c:pt idx="70">
                  <c:v>-2.3504911461485999E-3</c:v>
                </c:pt>
                <c:pt idx="71">
                  <c:v>-6.3702425940206E-3</c:v>
                </c:pt>
                <c:pt idx="72">
                  <c:v>-1.9828720121653001E-3</c:v>
                </c:pt>
                <c:pt idx="73">
                  <c:v>-1.414081379985E-3</c:v>
                </c:pt>
                <c:pt idx="74">
                  <c:v>6.4072031849965001E-3</c:v>
                </c:pt>
                <c:pt idx="75">
                  <c:v>-6.7631062929360004E-4</c:v>
                </c:pt>
                <c:pt idx="76">
                  <c:v>8.8123732510329996E-4</c:v>
                </c:pt>
                <c:pt idx="77">
                  <c:v>-6.5347179258807E-3</c:v>
                </c:pt>
                <c:pt idx="78">
                  <c:v>-2.7647809479990001E-3</c:v>
                </c:pt>
                <c:pt idx="79">
                  <c:v>-4.6636439416877003E-3</c:v>
                </c:pt>
                <c:pt idx="80">
                  <c:v>-9.5729589174010001E-3</c:v>
                </c:pt>
                <c:pt idx="81">
                  <c:v>-1.3263312768274E-3</c:v>
                </c:pt>
                <c:pt idx="82">
                  <c:v>1.364015349978E-3</c:v>
                </c:pt>
                <c:pt idx="83">
                  <c:v>-1.03775606564131E-2</c:v>
                </c:pt>
                <c:pt idx="84">
                  <c:v>-1.0641592256903001E-3</c:v>
                </c:pt>
                <c:pt idx="85">
                  <c:v>-7.2475901103256999E-3</c:v>
                </c:pt>
                <c:pt idx="86">
                  <c:v>-8.7808121157840005E-4</c:v>
                </c:pt>
                <c:pt idx="87">
                  <c:v>-8.5110571837583998E-3</c:v>
                </c:pt>
                <c:pt idx="88">
                  <c:v>1.118172061443E-3</c:v>
                </c:pt>
                <c:pt idx="89">
                  <c:v>-6.9160434105229997E-4</c:v>
                </c:pt>
                <c:pt idx="90">
                  <c:v>-6.4852835038918004E-3</c:v>
                </c:pt>
                <c:pt idx="91">
                  <c:v>-1.8396765483054999E-3</c:v>
                </c:pt>
                <c:pt idx="92">
                  <c:v>-1.6482861799871999E-3</c:v>
                </c:pt>
                <c:pt idx="93">
                  <c:v>3.781595761372E-4</c:v>
                </c:pt>
                <c:pt idx="94">
                  <c:v>-4.5122781818140003E-3</c:v>
                </c:pt>
                <c:pt idx="95">
                  <c:v>-3.9220410110852996E-3</c:v>
                </c:pt>
                <c:pt idx="96">
                  <c:v>-1.0677780955131499E-2</c:v>
                </c:pt>
                <c:pt idx="97">
                  <c:v>-4.5092343926750002E-4</c:v>
                </c:pt>
                <c:pt idx="98">
                  <c:v>2.3304825825431002E-3</c:v>
                </c:pt>
                <c:pt idx="99">
                  <c:v>-4.2497986442293001E-3</c:v>
                </c:pt>
                <c:pt idx="100">
                  <c:v>-1.31331182525759E-2</c:v>
                </c:pt>
                <c:pt idx="101">
                  <c:v>-2.1961292905919002E-3</c:v>
                </c:pt>
                <c:pt idx="102">
                  <c:v>-9.4731892395756006E-3</c:v>
                </c:pt>
                <c:pt idx="103">
                  <c:v>-1.23242858802971E-2</c:v>
                </c:pt>
                <c:pt idx="104">
                  <c:v>-5.1611456915213998E-3</c:v>
                </c:pt>
                <c:pt idx="105">
                  <c:v>-3.8450689037307999E-3</c:v>
                </c:pt>
                <c:pt idx="106">
                  <c:v>-9.9340104394511006E-3</c:v>
                </c:pt>
                <c:pt idx="107">
                  <c:v>-5.8145627336653001E-3</c:v>
                </c:pt>
                <c:pt idx="108">
                  <c:v>-1.6456336624402E-3</c:v>
                </c:pt>
                <c:pt idx="109">
                  <c:v>-1.6264062037023999E-3</c:v>
                </c:pt>
                <c:pt idx="110">
                  <c:v>-3.0053021605144E-3</c:v>
                </c:pt>
                <c:pt idx="111">
                  <c:v>-1.1081402806726899E-2</c:v>
                </c:pt>
                <c:pt idx="112">
                  <c:v>-8.0936746213090003E-4</c:v>
                </c:pt>
                <c:pt idx="113">
                  <c:v>-3.0634914994350001E-3</c:v>
                </c:pt>
                <c:pt idx="114">
                  <c:v>-2.7241817412940999E-3</c:v>
                </c:pt>
                <c:pt idx="115">
                  <c:v>9.4300471182728E-3</c:v>
                </c:pt>
                <c:pt idx="116">
                  <c:v>2.0884018220677001E-3</c:v>
                </c:pt>
                <c:pt idx="117">
                  <c:v>9.7236948845684998E-3</c:v>
                </c:pt>
                <c:pt idx="118">
                  <c:v>-5.7363388109609999E-4</c:v>
                </c:pt>
                <c:pt idx="119">
                  <c:v>1.0877722953596999E-3</c:v>
                </c:pt>
                <c:pt idx="120">
                  <c:v>-7.8705940384484994E-3</c:v>
                </c:pt>
                <c:pt idx="121">
                  <c:v>-6.809963826207E-3</c:v>
                </c:pt>
                <c:pt idx="122">
                  <c:v>-1.1377676501624899E-2</c:v>
                </c:pt>
                <c:pt idx="123">
                  <c:v>-1.9355271569442101E-2</c:v>
                </c:pt>
                <c:pt idx="124">
                  <c:v>-2.2781632205952199E-2</c:v>
                </c:pt>
                <c:pt idx="125">
                  <c:v>-1.8568707404191399E-2</c:v>
                </c:pt>
                <c:pt idx="126">
                  <c:v>2.28318873741678E-2</c:v>
                </c:pt>
                <c:pt idx="127">
                  <c:v>-2.4212974959808901E-2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7-49F4-B6DB-57051400A1EB}"/>
            </c:ext>
          </c:extLst>
        </c:ser>
        <c:ser>
          <c:idx val="1"/>
          <c:order val="1"/>
          <c:tx>
            <c:strRef>
              <c:f>'Solutions_J (2)'!$Q$1</c:f>
              <c:strCache>
                <c:ptCount val="1"/>
                <c:pt idx="0">
                  <c:v>r1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(2)'!$Q$2:$Q$129</c:f>
              <c:numCache>
                <c:formatCode>General</c:formatCode>
                <c:ptCount val="128"/>
                <c:pt idx="0">
                  <c:v>8.2881446116440005E-4</c:v>
                </c:pt>
                <c:pt idx="1">
                  <c:v>2.1191946759744002E-3</c:v>
                </c:pt>
                <c:pt idx="2">
                  <c:v>6.4341954467399999E-5</c:v>
                </c:pt>
                <c:pt idx="3">
                  <c:v>-2.8489849267687001E-3</c:v>
                </c:pt>
                <c:pt idx="4">
                  <c:v>-3.2210725265992999E-3</c:v>
                </c:pt>
                <c:pt idx="5">
                  <c:v>-2.1051791050754999E-3</c:v>
                </c:pt>
                <c:pt idx="6">
                  <c:v>8.0775504177649001E-3</c:v>
                </c:pt>
                <c:pt idx="7">
                  <c:v>-5.7166405677384E-3</c:v>
                </c:pt>
                <c:pt idx="8">
                  <c:v>1.2185906276801E-2</c:v>
                </c:pt>
                <c:pt idx="9">
                  <c:v>2.5007968894815002E-3</c:v>
                </c:pt>
                <c:pt idx="10">
                  <c:v>7.7552509180073004E-3</c:v>
                </c:pt>
                <c:pt idx="11">
                  <c:v>-1.6469586547109401E-2</c:v>
                </c:pt>
                <c:pt idx="12">
                  <c:v>3.857113214591E-3</c:v>
                </c:pt>
                <c:pt idx="13">
                  <c:v>-9.7714790303359E-3</c:v>
                </c:pt>
                <c:pt idx="14">
                  <c:v>1.54268582202773E-2</c:v>
                </c:pt>
                <c:pt idx="15">
                  <c:v>3.9543735356914996E-3</c:v>
                </c:pt>
                <c:pt idx="16">
                  <c:v>3.2375997765724E-3</c:v>
                </c:pt>
                <c:pt idx="17">
                  <c:v>-1.71974058088467E-2</c:v>
                </c:pt>
                <c:pt idx="18">
                  <c:v>1.6197144089317599E-2</c:v>
                </c:pt>
                <c:pt idx="19">
                  <c:v>1.7370172053055799E-2</c:v>
                </c:pt>
                <c:pt idx="20">
                  <c:v>3.4121836284156E-3</c:v>
                </c:pt>
                <c:pt idx="21">
                  <c:v>1.8232797606191498E-2</c:v>
                </c:pt>
                <c:pt idx="22">
                  <c:v>-1.52220688504629E-2</c:v>
                </c:pt>
                <c:pt idx="23">
                  <c:v>1.7326648699761901E-2</c:v>
                </c:pt>
                <c:pt idx="24">
                  <c:v>1.9266482574363902E-2</c:v>
                </c:pt>
                <c:pt idx="25">
                  <c:v>-3.48387541126714E-2</c:v>
                </c:pt>
                <c:pt idx="26">
                  <c:v>-2.63792815202629E-2</c:v>
                </c:pt>
                <c:pt idx="27">
                  <c:v>-1.99438317809397E-2</c:v>
                </c:pt>
                <c:pt idx="28">
                  <c:v>1.8964236150999601E-2</c:v>
                </c:pt>
                <c:pt idx="29">
                  <c:v>2.2670019987876499E-2</c:v>
                </c:pt>
                <c:pt idx="30">
                  <c:v>2.26231173087642E-2</c:v>
                </c:pt>
                <c:pt idx="31">
                  <c:v>-4.22147534873887E-2</c:v>
                </c:pt>
                <c:pt idx="32">
                  <c:v>-2.5243904618961501E-2</c:v>
                </c:pt>
                <c:pt idx="33">
                  <c:v>-6.0834943381862197E-2</c:v>
                </c:pt>
                <c:pt idx="34">
                  <c:v>4.2791177266376698E-2</c:v>
                </c:pt>
                <c:pt idx="35">
                  <c:v>-4.6818654343644697E-2</c:v>
                </c:pt>
                <c:pt idx="36">
                  <c:v>-2.7422168348163498E-2</c:v>
                </c:pt>
                <c:pt idx="37">
                  <c:v>-6.0616694380125402E-2</c:v>
                </c:pt>
                <c:pt idx="38">
                  <c:v>-2.6503893938899101E-2</c:v>
                </c:pt>
                <c:pt idx="39">
                  <c:v>-6.88390839996805E-2</c:v>
                </c:pt>
                <c:pt idx="40">
                  <c:v>-4.5181930094179999E-2</c:v>
                </c:pt>
                <c:pt idx="41">
                  <c:v>-4.61371486175726E-2</c:v>
                </c:pt>
                <c:pt idx="42">
                  <c:v>1.32740778601658E-2</c:v>
                </c:pt>
                <c:pt idx="43">
                  <c:v>-4.1823667386732002E-2</c:v>
                </c:pt>
                <c:pt idx="44">
                  <c:v>-2.9232701780839299E-2</c:v>
                </c:pt>
                <c:pt idx="45">
                  <c:v>1.79336258469402E-2</c:v>
                </c:pt>
                <c:pt idx="46">
                  <c:v>-3.4726948277761703E-2</c:v>
                </c:pt>
                <c:pt idx="47">
                  <c:v>1.8876829154240899E-2</c:v>
                </c:pt>
                <c:pt idx="48">
                  <c:v>-5.0371788331380798E-2</c:v>
                </c:pt>
                <c:pt idx="49">
                  <c:v>-6.15595330311558E-2</c:v>
                </c:pt>
                <c:pt idx="50">
                  <c:v>-2.2785125544110701E-2</c:v>
                </c:pt>
                <c:pt idx="51">
                  <c:v>-1.03542148194257E-2</c:v>
                </c:pt>
                <c:pt idx="52">
                  <c:v>3.6709985793697303E-2</c:v>
                </c:pt>
                <c:pt idx="53">
                  <c:v>-2.4175747318259201E-2</c:v>
                </c:pt>
                <c:pt idx="54">
                  <c:v>7.2939472081192998E-3</c:v>
                </c:pt>
                <c:pt idx="55">
                  <c:v>-3.2496099045861197E-2</c:v>
                </c:pt>
                <c:pt idx="56">
                  <c:v>3.76281735114041E-2</c:v>
                </c:pt>
                <c:pt idx="57">
                  <c:v>-5.60914274258031E-2</c:v>
                </c:pt>
                <c:pt idx="58">
                  <c:v>3.3066482411287103E-2</c:v>
                </c:pt>
                <c:pt idx="59">
                  <c:v>5.0061484613260999E-3</c:v>
                </c:pt>
                <c:pt idx="60">
                  <c:v>-8.0091477889001103E-2</c:v>
                </c:pt>
                <c:pt idx="61">
                  <c:v>-7.9097879946857103E-2</c:v>
                </c:pt>
                <c:pt idx="62">
                  <c:v>-1.9993462408352099E-2</c:v>
                </c:pt>
                <c:pt idx="63">
                  <c:v>3.0630741036493301E-2</c:v>
                </c:pt>
                <c:pt idx="64">
                  <c:v>-6.6998311058515406E-2</c:v>
                </c:pt>
                <c:pt idx="65">
                  <c:v>-4.5981615100836898E-2</c:v>
                </c:pt>
                <c:pt idx="66">
                  <c:v>-4.2039936569011303E-2</c:v>
                </c:pt>
                <c:pt idx="67">
                  <c:v>6.6314967369086996E-3</c:v>
                </c:pt>
                <c:pt idx="68">
                  <c:v>-1.35186260215421E-2</c:v>
                </c:pt>
                <c:pt idx="69">
                  <c:v>-2.88311578872943E-2</c:v>
                </c:pt>
                <c:pt idx="70">
                  <c:v>-6.6607708265787602E-2</c:v>
                </c:pt>
                <c:pt idx="71">
                  <c:v>-5.9726578117833697E-2</c:v>
                </c:pt>
                <c:pt idx="72">
                  <c:v>-7.7640725665430496E-2</c:v>
                </c:pt>
                <c:pt idx="73">
                  <c:v>-3.3411733363228197E-2</c:v>
                </c:pt>
                <c:pt idx="74">
                  <c:v>2.3537981990291199E-2</c:v>
                </c:pt>
                <c:pt idx="75">
                  <c:v>-3.5194365580412099E-2</c:v>
                </c:pt>
                <c:pt idx="76">
                  <c:v>-2.4051585408562299E-2</c:v>
                </c:pt>
                <c:pt idx="77">
                  <c:v>-5.6342209092563197E-2</c:v>
                </c:pt>
                <c:pt idx="78">
                  <c:v>-0.1020578193007137</c:v>
                </c:pt>
                <c:pt idx="79">
                  <c:v>-0.13664953230965721</c:v>
                </c:pt>
                <c:pt idx="80">
                  <c:v>-0.12943115930886559</c:v>
                </c:pt>
                <c:pt idx="81">
                  <c:v>-9.7015052649042602E-2</c:v>
                </c:pt>
                <c:pt idx="82">
                  <c:v>1.51076689079365E-2</c:v>
                </c:pt>
                <c:pt idx="83">
                  <c:v>-6.3621397992197196E-2</c:v>
                </c:pt>
                <c:pt idx="84">
                  <c:v>-2.3542917098924601E-2</c:v>
                </c:pt>
                <c:pt idx="85">
                  <c:v>-9.6402952026912903E-2</c:v>
                </c:pt>
                <c:pt idx="86">
                  <c:v>-5.3074442992142201E-2</c:v>
                </c:pt>
                <c:pt idx="87">
                  <c:v>-8.49328633095041E-2</c:v>
                </c:pt>
                <c:pt idx="88">
                  <c:v>-5.7799673343864001E-3</c:v>
                </c:pt>
                <c:pt idx="89">
                  <c:v>-0.1032086786305173</c:v>
                </c:pt>
                <c:pt idx="90">
                  <c:v>-0.1497430621841114</c:v>
                </c:pt>
                <c:pt idx="91">
                  <c:v>-3.6770252542031798E-2</c:v>
                </c:pt>
                <c:pt idx="92">
                  <c:v>-0.13088663138209369</c:v>
                </c:pt>
                <c:pt idx="93">
                  <c:v>-3.0723419467054699E-2</c:v>
                </c:pt>
                <c:pt idx="94">
                  <c:v>-6.6321762380652599E-2</c:v>
                </c:pt>
                <c:pt idx="95">
                  <c:v>-3.9908436446714997E-2</c:v>
                </c:pt>
                <c:pt idx="96">
                  <c:v>-8.8405066900145393E-2</c:v>
                </c:pt>
                <c:pt idx="97">
                  <c:v>-0.1135401967000291</c:v>
                </c:pt>
                <c:pt idx="98">
                  <c:v>-2.8965808484656599E-2</c:v>
                </c:pt>
                <c:pt idx="99">
                  <c:v>-7.6898595362352204E-2</c:v>
                </c:pt>
                <c:pt idx="100">
                  <c:v>-0.11219165330388881</c:v>
                </c:pt>
                <c:pt idx="101">
                  <c:v>-0.16590331523242849</c:v>
                </c:pt>
                <c:pt idx="102">
                  <c:v>-6.7182556717772596E-2</c:v>
                </c:pt>
                <c:pt idx="103">
                  <c:v>-9.8144214970623103E-2</c:v>
                </c:pt>
                <c:pt idx="104">
                  <c:v>-0.12958097801167251</c:v>
                </c:pt>
                <c:pt idx="105">
                  <c:v>-4.7863443405299001E-2</c:v>
                </c:pt>
                <c:pt idx="106">
                  <c:v>-0.1456758436455293</c:v>
                </c:pt>
                <c:pt idx="107">
                  <c:v>-0.1527775105886969</c:v>
                </c:pt>
                <c:pt idx="108">
                  <c:v>-0.12462162485704351</c:v>
                </c:pt>
                <c:pt idx="109">
                  <c:v>-0.15803296877044651</c:v>
                </c:pt>
                <c:pt idx="110">
                  <c:v>-0.1733563763569784</c:v>
                </c:pt>
                <c:pt idx="111">
                  <c:v>-0.17983344287331979</c:v>
                </c:pt>
                <c:pt idx="112">
                  <c:v>-8.2491681688227902E-2</c:v>
                </c:pt>
                <c:pt idx="113">
                  <c:v>-0.20137934564297461</c:v>
                </c:pt>
                <c:pt idx="114">
                  <c:v>-7.3374705421367106E-2</c:v>
                </c:pt>
                <c:pt idx="115">
                  <c:v>8.7024658040185193E-2</c:v>
                </c:pt>
                <c:pt idx="116">
                  <c:v>-6.5015001722910304E-2</c:v>
                </c:pt>
                <c:pt idx="117">
                  <c:v>9.4578624566207498E-2</c:v>
                </c:pt>
                <c:pt idx="118">
                  <c:v>-8.5103760011398299E-2</c:v>
                </c:pt>
                <c:pt idx="119">
                  <c:v>5.7173897416612801E-2</c:v>
                </c:pt>
                <c:pt idx="120">
                  <c:v>-0.19919204939697421</c:v>
                </c:pt>
                <c:pt idx="121">
                  <c:v>-0.15397361206653989</c:v>
                </c:pt>
                <c:pt idx="122">
                  <c:v>-0.26558413522190422</c:v>
                </c:pt>
                <c:pt idx="123">
                  <c:v>-0.45173849609689132</c:v>
                </c:pt>
                <c:pt idx="124">
                  <c:v>-0.49137068587259308</c:v>
                </c:pt>
                <c:pt idx="125">
                  <c:v>-0.4861573237034752</c:v>
                </c:pt>
                <c:pt idx="126">
                  <c:v>0.59361284371053413</c:v>
                </c:pt>
                <c:pt idx="127">
                  <c:v>-0.58136528321921088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07-49F4-B6DB-57051400A1EB}"/>
            </c:ext>
          </c:extLst>
        </c:ser>
        <c:ser>
          <c:idx val="2"/>
          <c:order val="2"/>
          <c:tx>
            <c:strRef>
              <c:f>'Solutions_J (2)'!$R$1</c:f>
              <c:strCache>
                <c:ptCount val="1"/>
                <c:pt idx="0">
                  <c:v>r2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(2)'!$R$2:$R$129</c:f>
              <c:numCache>
                <c:formatCode>General</c:formatCode>
                <c:ptCount val="128"/>
                <c:pt idx="0">
                  <c:v>2.3614619337753002E-3</c:v>
                </c:pt>
                <c:pt idx="1">
                  <c:v>5.0474509277450002E-4</c:v>
                </c:pt>
                <c:pt idx="2">
                  <c:v>-1.5336755271592999E-3</c:v>
                </c:pt>
                <c:pt idx="3">
                  <c:v>3.2936692624197001E-3</c:v>
                </c:pt>
                <c:pt idx="4">
                  <c:v>-8.7999968315940005E-4</c:v>
                </c:pt>
                <c:pt idx="5">
                  <c:v>-4.9965558274640996E-3</c:v>
                </c:pt>
                <c:pt idx="6">
                  <c:v>1.0246404014980001E-3</c:v>
                </c:pt>
                <c:pt idx="7">
                  <c:v>2.6186622726261E-3</c:v>
                </c:pt>
                <c:pt idx="8">
                  <c:v>4.4083986543699003E-3</c:v>
                </c:pt>
                <c:pt idx="9">
                  <c:v>-4.5834521216521996E-3</c:v>
                </c:pt>
                <c:pt idx="10">
                  <c:v>1.5246130077761001E-2</c:v>
                </c:pt>
                <c:pt idx="11">
                  <c:v>-5.1298760241451002E-3</c:v>
                </c:pt>
                <c:pt idx="12">
                  <c:v>5.1991779191411999E-3</c:v>
                </c:pt>
                <c:pt idx="13">
                  <c:v>7.7143244476157004E-3</c:v>
                </c:pt>
                <c:pt idx="14">
                  <c:v>1.00388591253266E-2</c:v>
                </c:pt>
                <c:pt idx="15">
                  <c:v>6.6588389805064003E-3</c:v>
                </c:pt>
                <c:pt idx="16">
                  <c:v>1.4271262152009599E-2</c:v>
                </c:pt>
                <c:pt idx="17">
                  <c:v>2.252641896388E-4</c:v>
                </c:pt>
                <c:pt idx="18">
                  <c:v>7.6619308131135001E-3</c:v>
                </c:pt>
                <c:pt idx="19">
                  <c:v>1.1506088561559401E-2</c:v>
                </c:pt>
                <c:pt idx="20">
                  <c:v>8.2750821018777003E-3</c:v>
                </c:pt>
                <c:pt idx="21">
                  <c:v>1.3784604140860001E-3</c:v>
                </c:pt>
                <c:pt idx="22">
                  <c:v>-7.1165924937728001E-3</c:v>
                </c:pt>
                <c:pt idx="23">
                  <c:v>2.0031862384463001E-3</c:v>
                </c:pt>
                <c:pt idx="24">
                  <c:v>-1.82612924259117E-2</c:v>
                </c:pt>
                <c:pt idx="25">
                  <c:v>-1.94083774500644E-2</c:v>
                </c:pt>
                <c:pt idx="26">
                  <c:v>-1.789108958476E-2</c:v>
                </c:pt>
                <c:pt idx="27">
                  <c:v>-9.1550690654495E-3</c:v>
                </c:pt>
                <c:pt idx="28">
                  <c:v>-1.9730105813540399E-2</c:v>
                </c:pt>
                <c:pt idx="29">
                  <c:v>1.4679892403321E-3</c:v>
                </c:pt>
                <c:pt idx="30">
                  <c:v>7.6691059481261106E-2</c:v>
                </c:pt>
                <c:pt idx="31">
                  <c:v>-1.7927340939071501E-2</c:v>
                </c:pt>
                <c:pt idx="32">
                  <c:v>-1.6492877000907999E-3</c:v>
                </c:pt>
                <c:pt idx="33">
                  <c:v>-5.9354189480316302E-2</c:v>
                </c:pt>
                <c:pt idx="34">
                  <c:v>1.2337236514385001E-3</c:v>
                </c:pt>
                <c:pt idx="35">
                  <c:v>-2.6506951735427199E-2</c:v>
                </c:pt>
                <c:pt idx="36">
                  <c:v>1.74242352177497E-2</c:v>
                </c:pt>
                <c:pt idx="37">
                  <c:v>-6.4863120920826398E-2</c:v>
                </c:pt>
                <c:pt idx="38">
                  <c:v>5.2467615666750003E-3</c:v>
                </c:pt>
                <c:pt idx="39">
                  <c:v>-4.4289188680345697E-2</c:v>
                </c:pt>
                <c:pt idx="40">
                  <c:v>1.1738309352118399E-2</c:v>
                </c:pt>
                <c:pt idx="41">
                  <c:v>-5.4557768820108703E-2</c:v>
                </c:pt>
                <c:pt idx="42">
                  <c:v>-2.6905090600804201E-2</c:v>
                </c:pt>
                <c:pt idx="43">
                  <c:v>-5.2886244657211298E-2</c:v>
                </c:pt>
                <c:pt idx="44">
                  <c:v>-1.0966243889688299E-2</c:v>
                </c:pt>
                <c:pt idx="45">
                  <c:v>6.7797452425136906E-2</c:v>
                </c:pt>
                <c:pt idx="46">
                  <c:v>1.8421672237026999E-2</c:v>
                </c:pt>
                <c:pt idx="47">
                  <c:v>2.9094756800129701E-2</c:v>
                </c:pt>
                <c:pt idx="48">
                  <c:v>1.2904535466527299E-2</c:v>
                </c:pt>
                <c:pt idx="49">
                  <c:v>1.4408079587615899E-2</c:v>
                </c:pt>
                <c:pt idx="50">
                  <c:v>2.25934676688677E-2</c:v>
                </c:pt>
                <c:pt idx="51">
                  <c:v>1.60288195385269E-2</c:v>
                </c:pt>
                <c:pt idx="52">
                  <c:v>-3.81360085417023E-2</c:v>
                </c:pt>
                <c:pt idx="53">
                  <c:v>2.9936349707705399E-2</c:v>
                </c:pt>
                <c:pt idx="54">
                  <c:v>-9.7508871136417499E-2</c:v>
                </c:pt>
                <c:pt idx="55">
                  <c:v>1.8547979274385399E-2</c:v>
                </c:pt>
                <c:pt idx="56">
                  <c:v>0.12935591873701099</c:v>
                </c:pt>
                <c:pt idx="57">
                  <c:v>9.1317264582689995E-4</c:v>
                </c:pt>
                <c:pt idx="58">
                  <c:v>-8.5095665969399999E-5</c:v>
                </c:pt>
                <c:pt idx="59">
                  <c:v>-1.47668042687199E-2</c:v>
                </c:pt>
                <c:pt idx="60">
                  <c:v>-8.50889628460169E-2</c:v>
                </c:pt>
                <c:pt idx="61">
                  <c:v>-5.0981055022677997E-3</c:v>
                </c:pt>
                <c:pt idx="62">
                  <c:v>1.9715441084393998E-3</c:v>
                </c:pt>
                <c:pt idx="63">
                  <c:v>-1.0175067191339999E-4</c:v>
                </c:pt>
                <c:pt idx="64">
                  <c:v>3.5445233921114999E-3</c:v>
                </c:pt>
                <c:pt idx="65">
                  <c:v>-0.1076732993772392</c:v>
                </c:pt>
                <c:pt idx="66">
                  <c:v>-0.1075517867096436</c:v>
                </c:pt>
                <c:pt idx="67">
                  <c:v>-3.8518192617072497E-2</c:v>
                </c:pt>
                <c:pt idx="68">
                  <c:v>4.4706132792825997E-3</c:v>
                </c:pt>
                <c:pt idx="69">
                  <c:v>6.8204937050780001E-4</c:v>
                </c:pt>
                <c:pt idx="70">
                  <c:v>4.3003633561298996E-3</c:v>
                </c:pt>
                <c:pt idx="71">
                  <c:v>-0.1088676081959639</c:v>
                </c:pt>
                <c:pt idx="72">
                  <c:v>-1.3170523698063999E-3</c:v>
                </c:pt>
                <c:pt idx="73">
                  <c:v>-3.4487916192990002E-4</c:v>
                </c:pt>
                <c:pt idx="74">
                  <c:v>0.11500621908764</c:v>
                </c:pt>
                <c:pt idx="75">
                  <c:v>3.5272864412025401E-2</c:v>
                </c:pt>
                <c:pt idx="76">
                  <c:v>3.1517557102114201E-2</c:v>
                </c:pt>
                <c:pt idx="77">
                  <c:v>-0.1159877620045002</c:v>
                </c:pt>
                <c:pt idx="78">
                  <c:v>1.7042558393532602E-2</c:v>
                </c:pt>
                <c:pt idx="79">
                  <c:v>-1.9382365641788302E-2</c:v>
                </c:pt>
                <c:pt idx="80">
                  <c:v>-0.1289275362872063</c:v>
                </c:pt>
                <c:pt idx="81">
                  <c:v>-2.7524368834663001E-3</c:v>
                </c:pt>
                <c:pt idx="82">
                  <c:v>1.03031948267573E-2</c:v>
                </c:pt>
                <c:pt idx="83">
                  <c:v>-0.1353564476916288</c:v>
                </c:pt>
                <c:pt idx="84">
                  <c:v>1.4519256577790001E-3</c:v>
                </c:pt>
                <c:pt idx="85">
                  <c:v>-7.6664442003203395E-2</c:v>
                </c:pt>
                <c:pt idx="86">
                  <c:v>1.82542933324281E-2</c:v>
                </c:pt>
                <c:pt idx="87">
                  <c:v>-0.17731763201432019</c:v>
                </c:pt>
                <c:pt idx="88">
                  <c:v>3.49265319554821E-2</c:v>
                </c:pt>
                <c:pt idx="89">
                  <c:v>3.6257272096563299E-2</c:v>
                </c:pt>
                <c:pt idx="90">
                  <c:v>-8.60313242380112E-2</c:v>
                </c:pt>
                <c:pt idx="91">
                  <c:v>-2.1415556541295198E-2</c:v>
                </c:pt>
                <c:pt idx="92">
                  <c:v>-4.3571876981276002E-3</c:v>
                </c:pt>
                <c:pt idx="93">
                  <c:v>1.1519139811088E-2</c:v>
                </c:pt>
                <c:pt idx="94">
                  <c:v>-6.11708795037718E-2</c:v>
                </c:pt>
                <c:pt idx="95">
                  <c:v>-4.6127355177181299E-2</c:v>
                </c:pt>
                <c:pt idx="96">
                  <c:v>-0.1839311637383893</c:v>
                </c:pt>
                <c:pt idx="97">
                  <c:v>4.9414661248278403E-2</c:v>
                </c:pt>
                <c:pt idx="98">
                  <c:v>4.0210248832093898E-2</c:v>
                </c:pt>
                <c:pt idx="99">
                  <c:v>-4.47572900338499E-2</c:v>
                </c:pt>
                <c:pt idx="100">
                  <c:v>-0.2136198570947393</c:v>
                </c:pt>
                <c:pt idx="101">
                  <c:v>6.6531084370917998E-3</c:v>
                </c:pt>
                <c:pt idx="102">
                  <c:v>-0.1836706717028562</c:v>
                </c:pt>
                <c:pt idx="103">
                  <c:v>-0.2169609140119946</c:v>
                </c:pt>
                <c:pt idx="104">
                  <c:v>-1.7275221534199501E-2</c:v>
                </c:pt>
                <c:pt idx="105">
                  <c:v>-8.0763904762099603E-2</c:v>
                </c:pt>
                <c:pt idx="106">
                  <c:v>-0.19410544234956589</c:v>
                </c:pt>
                <c:pt idx="107">
                  <c:v>-3.9138690878428299E-2</c:v>
                </c:pt>
                <c:pt idx="108">
                  <c:v>1.6822515431789802E-2</c:v>
                </c:pt>
                <c:pt idx="109">
                  <c:v>2.88925345834735E-2</c:v>
                </c:pt>
                <c:pt idx="110">
                  <c:v>-2.0502205850908201E-2</c:v>
                </c:pt>
                <c:pt idx="111">
                  <c:v>-0.18231827060974251</c:v>
                </c:pt>
                <c:pt idx="112">
                  <c:v>4.5120131147068303E-2</c:v>
                </c:pt>
                <c:pt idx="113">
                  <c:v>-2.4327756887887E-3</c:v>
                </c:pt>
                <c:pt idx="114">
                  <c:v>1.7980730681813001E-3</c:v>
                </c:pt>
                <c:pt idx="115">
                  <c:v>7.8327046163622599E-2</c:v>
                </c:pt>
                <c:pt idx="116">
                  <c:v>0.13334757587665361</c:v>
                </c:pt>
                <c:pt idx="117">
                  <c:v>9.1341127595483698E-2</c:v>
                </c:pt>
                <c:pt idx="118">
                  <c:v>2.72114585917443E-2</c:v>
                </c:pt>
                <c:pt idx="119">
                  <c:v>-1.26650795249027E-2</c:v>
                </c:pt>
                <c:pt idx="120">
                  <c:v>-3.2650907261399402E-2</c:v>
                </c:pt>
                <c:pt idx="121">
                  <c:v>-3.4183932263443802E-2</c:v>
                </c:pt>
                <c:pt idx="122">
                  <c:v>-7.5490127591858705E-2</c:v>
                </c:pt>
                <c:pt idx="123">
                  <c:v>-6.6484833575724503E-2</c:v>
                </c:pt>
                <c:pt idx="124">
                  <c:v>-7.3161320441941805E-2</c:v>
                </c:pt>
                <c:pt idx="125">
                  <c:v>-5.6444828592862997E-2</c:v>
                </c:pt>
                <c:pt idx="126">
                  <c:v>-3.7050325233011001E-2</c:v>
                </c:pt>
                <c:pt idx="127">
                  <c:v>-7.7564524177312702E-2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07-49F4-B6DB-57051400A1EB}"/>
            </c:ext>
          </c:extLst>
        </c:ser>
        <c:ser>
          <c:idx val="3"/>
          <c:order val="3"/>
          <c:tx>
            <c:strRef>
              <c:f>'Solutions_J (2)'!$S$1</c:f>
              <c:strCache>
                <c:ptCount val="1"/>
                <c:pt idx="0">
                  <c:v>r3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(2)'!$S$2:$S$129</c:f>
              <c:numCache>
                <c:formatCode>General</c:formatCode>
                <c:ptCount val="128"/>
                <c:pt idx="0">
                  <c:v>3.6745360638915999E-3</c:v>
                </c:pt>
                <c:pt idx="1">
                  <c:v>-1.523580446957E-4</c:v>
                </c:pt>
                <c:pt idx="2">
                  <c:v>-1.9628416566393999E-3</c:v>
                </c:pt>
                <c:pt idx="3">
                  <c:v>3.855398878072E-3</c:v>
                </c:pt>
                <c:pt idx="4">
                  <c:v>1.2906545538465999E-3</c:v>
                </c:pt>
                <c:pt idx="5">
                  <c:v>-5.4177020652092997E-3</c:v>
                </c:pt>
                <c:pt idx="6">
                  <c:v>-4.5797029098079998E-4</c:v>
                </c:pt>
                <c:pt idx="7">
                  <c:v>3.9237344957294001E-3</c:v>
                </c:pt>
                <c:pt idx="8">
                  <c:v>2.1036117283634E-3</c:v>
                </c:pt>
                <c:pt idx="9">
                  <c:v>1.0425588400413599E-2</c:v>
                </c:pt>
                <c:pt idx="10">
                  <c:v>2.6360157729932901E-2</c:v>
                </c:pt>
                <c:pt idx="11">
                  <c:v>-1.4849174243009199E-2</c:v>
                </c:pt>
                <c:pt idx="12">
                  <c:v>3.6956843512924E-3</c:v>
                </c:pt>
                <c:pt idx="13">
                  <c:v>8.0844104311897005E-3</c:v>
                </c:pt>
                <c:pt idx="14">
                  <c:v>2.3257856212077002E-3</c:v>
                </c:pt>
                <c:pt idx="15">
                  <c:v>5.4911705314827997E-3</c:v>
                </c:pt>
                <c:pt idx="16">
                  <c:v>2.84826714236696E-2</c:v>
                </c:pt>
                <c:pt idx="17">
                  <c:v>4.7660971403719003E-3</c:v>
                </c:pt>
                <c:pt idx="18">
                  <c:v>2.4104386357583999E-3</c:v>
                </c:pt>
                <c:pt idx="19">
                  <c:v>2.0853526210973701E-2</c:v>
                </c:pt>
                <c:pt idx="20">
                  <c:v>-5.9194565788896003E-3</c:v>
                </c:pt>
                <c:pt idx="21">
                  <c:v>-1.6274923729527001E-3</c:v>
                </c:pt>
                <c:pt idx="22">
                  <c:v>-6.0923892181822996E-3</c:v>
                </c:pt>
                <c:pt idx="23">
                  <c:v>-3.4679809707149998E-4</c:v>
                </c:pt>
                <c:pt idx="24">
                  <c:v>9.3001773364019998E-3</c:v>
                </c:pt>
                <c:pt idx="25">
                  <c:v>-2.28161299484579E-2</c:v>
                </c:pt>
                <c:pt idx="26">
                  <c:v>-2.22699923225281E-2</c:v>
                </c:pt>
                <c:pt idx="27">
                  <c:v>-6.9140798702605998E-3</c:v>
                </c:pt>
                <c:pt idx="28">
                  <c:v>1.57214871868359E-2</c:v>
                </c:pt>
                <c:pt idx="29">
                  <c:v>-3.1413163442157001E-3</c:v>
                </c:pt>
                <c:pt idx="30">
                  <c:v>7.0756271909340002E-2</c:v>
                </c:pt>
                <c:pt idx="31">
                  <c:v>-2.4085288429456501E-2</c:v>
                </c:pt>
                <c:pt idx="32">
                  <c:v>6.7668535629484003E-3</c:v>
                </c:pt>
                <c:pt idx="33">
                  <c:v>-2.0834292297807099E-2</c:v>
                </c:pt>
                <c:pt idx="34">
                  <c:v>-9.0487145485897997E-3</c:v>
                </c:pt>
                <c:pt idx="35">
                  <c:v>-2.5569014968738198E-2</c:v>
                </c:pt>
                <c:pt idx="36">
                  <c:v>1.16761180624182E-2</c:v>
                </c:pt>
                <c:pt idx="37">
                  <c:v>-2.6076973066394699E-2</c:v>
                </c:pt>
                <c:pt idx="38">
                  <c:v>1.5996560068181901E-2</c:v>
                </c:pt>
                <c:pt idx="39">
                  <c:v>-7.3612549435073003E-3</c:v>
                </c:pt>
                <c:pt idx="40">
                  <c:v>-3.8093022811613998E-3</c:v>
                </c:pt>
                <c:pt idx="41">
                  <c:v>-3.60268137853429E-2</c:v>
                </c:pt>
                <c:pt idx="42">
                  <c:v>1.3678531130947601E-2</c:v>
                </c:pt>
                <c:pt idx="43">
                  <c:v>-3.5932277660314503E-2</c:v>
                </c:pt>
                <c:pt idx="44">
                  <c:v>4.2430342844537797E-2</c:v>
                </c:pt>
                <c:pt idx="45">
                  <c:v>0.11285573037337519</c:v>
                </c:pt>
                <c:pt idx="46">
                  <c:v>1.42204181472617E-2</c:v>
                </c:pt>
                <c:pt idx="47">
                  <c:v>1.9539824177872901E-2</c:v>
                </c:pt>
                <c:pt idx="48">
                  <c:v>-4.4356891316176998E-3</c:v>
                </c:pt>
                <c:pt idx="49">
                  <c:v>-2.22742439747768E-2</c:v>
                </c:pt>
                <c:pt idx="50">
                  <c:v>7.2140831396982297E-2</c:v>
                </c:pt>
                <c:pt idx="51">
                  <c:v>1.7313030470373799E-2</c:v>
                </c:pt>
                <c:pt idx="52">
                  <c:v>2.5258797271568999E-2</c:v>
                </c:pt>
                <c:pt idx="53">
                  <c:v>8.3227408550600193E-2</c:v>
                </c:pt>
                <c:pt idx="54">
                  <c:v>7.5074881332564403E-2</c:v>
                </c:pt>
                <c:pt idx="55">
                  <c:v>2.4138078208484999E-3</c:v>
                </c:pt>
                <c:pt idx="56">
                  <c:v>0.14354574274184531</c:v>
                </c:pt>
                <c:pt idx="57">
                  <c:v>-7.1135011362354998E-3</c:v>
                </c:pt>
                <c:pt idx="58">
                  <c:v>-1.6464299676542001E-3</c:v>
                </c:pt>
                <c:pt idx="59">
                  <c:v>2.1475963676984199E-2</c:v>
                </c:pt>
                <c:pt idx="60">
                  <c:v>-2.6054178968492998E-2</c:v>
                </c:pt>
                <c:pt idx="61">
                  <c:v>3.0352147629367E-3</c:v>
                </c:pt>
                <c:pt idx="62">
                  <c:v>8.4103256295048695E-2</c:v>
                </c:pt>
                <c:pt idx="63">
                  <c:v>-2.0178301972959998E-3</c:v>
                </c:pt>
                <c:pt idx="64">
                  <c:v>-5.6396009650838E-3</c:v>
                </c:pt>
                <c:pt idx="65">
                  <c:v>-6.7338850452829002E-2</c:v>
                </c:pt>
                <c:pt idx="66">
                  <c:v>-5.8808967290943703E-2</c:v>
                </c:pt>
                <c:pt idx="67">
                  <c:v>2.6031365881847599E-2</c:v>
                </c:pt>
                <c:pt idx="68">
                  <c:v>7.6441182922634002E-3</c:v>
                </c:pt>
                <c:pt idx="69">
                  <c:v>-1.3689786493292701E-2</c:v>
                </c:pt>
                <c:pt idx="70">
                  <c:v>-1.0590965459814699E-2</c:v>
                </c:pt>
                <c:pt idx="71">
                  <c:v>-4.6310828572210097E-2</c:v>
                </c:pt>
                <c:pt idx="72">
                  <c:v>1.68209423169365E-2</c:v>
                </c:pt>
                <c:pt idx="73">
                  <c:v>-1.5552661389447499E-2</c:v>
                </c:pt>
                <c:pt idx="74">
                  <c:v>0.16569950149827201</c:v>
                </c:pt>
                <c:pt idx="75">
                  <c:v>7.2251287681839305E-2</c:v>
                </c:pt>
                <c:pt idx="76">
                  <c:v>7.4760863982875998E-3</c:v>
                </c:pt>
                <c:pt idx="77">
                  <c:v>-9.3788452030813305E-2</c:v>
                </c:pt>
                <c:pt idx="78">
                  <c:v>-3.45205574047803E-2</c:v>
                </c:pt>
                <c:pt idx="79">
                  <c:v>-3.33711218711433E-2</c:v>
                </c:pt>
                <c:pt idx="80">
                  <c:v>-3.4018866541399698E-2</c:v>
                </c:pt>
                <c:pt idx="81">
                  <c:v>2.2963298500568802E-2</c:v>
                </c:pt>
                <c:pt idx="82">
                  <c:v>-1.6618944963430301E-2</c:v>
                </c:pt>
                <c:pt idx="83">
                  <c:v>1.3069710530734999E-3</c:v>
                </c:pt>
                <c:pt idx="84">
                  <c:v>-3.0496247740318099E-2</c:v>
                </c:pt>
                <c:pt idx="85">
                  <c:v>1.8322469584719201E-2</c:v>
                </c:pt>
                <c:pt idx="86">
                  <c:v>0.1028894437253734</c:v>
                </c:pt>
                <c:pt idx="87">
                  <c:v>-1.22287092137027E-2</c:v>
                </c:pt>
                <c:pt idx="88">
                  <c:v>3.3588091558409E-3</c:v>
                </c:pt>
                <c:pt idx="89">
                  <c:v>5.0130852379998897E-2</c:v>
                </c:pt>
                <c:pt idx="90">
                  <c:v>-1.0269083476427699E-2</c:v>
                </c:pt>
                <c:pt idx="91">
                  <c:v>-1.0827019744304099E-2</c:v>
                </c:pt>
                <c:pt idx="92">
                  <c:v>2.4708471624190601E-2</c:v>
                </c:pt>
                <c:pt idx="93">
                  <c:v>0.16008769887786961</c:v>
                </c:pt>
                <c:pt idx="94">
                  <c:v>3.5258496960997002E-3</c:v>
                </c:pt>
                <c:pt idx="95">
                  <c:v>-5.2881056655510001E-3</c:v>
                </c:pt>
                <c:pt idx="96">
                  <c:v>-0.1329915780778449</c:v>
                </c:pt>
                <c:pt idx="97">
                  <c:v>8.2694799397449795E-2</c:v>
                </c:pt>
                <c:pt idx="98">
                  <c:v>9.4699372188316894E-2</c:v>
                </c:pt>
                <c:pt idx="99">
                  <c:v>-6.510104995344E-3</c:v>
                </c:pt>
                <c:pt idx="100">
                  <c:v>-0.1210085295605357</c:v>
                </c:pt>
                <c:pt idx="101">
                  <c:v>2.46545665793832E-2</c:v>
                </c:pt>
                <c:pt idx="102">
                  <c:v>-0.1238804172788296</c:v>
                </c:pt>
                <c:pt idx="103">
                  <c:v>-0.11305983584014161</c:v>
                </c:pt>
                <c:pt idx="104">
                  <c:v>-5.3949967533758001E-3</c:v>
                </c:pt>
                <c:pt idx="105">
                  <c:v>-0.1254044225710749</c:v>
                </c:pt>
                <c:pt idx="106">
                  <c:v>-0.16869573453048961</c:v>
                </c:pt>
                <c:pt idx="107">
                  <c:v>-3.5275430814223498E-2</c:v>
                </c:pt>
                <c:pt idx="108">
                  <c:v>5.1587114691227898E-2</c:v>
                </c:pt>
                <c:pt idx="109">
                  <c:v>4.67683436397833E-2</c:v>
                </c:pt>
                <c:pt idx="110">
                  <c:v>4.1051055201692499E-2</c:v>
                </c:pt>
                <c:pt idx="111">
                  <c:v>-0.16891890448363531</c:v>
                </c:pt>
                <c:pt idx="112">
                  <c:v>0.15346089878830779</c:v>
                </c:pt>
                <c:pt idx="113">
                  <c:v>4.4138458519826299E-2</c:v>
                </c:pt>
                <c:pt idx="114">
                  <c:v>0.1523034784418181</c:v>
                </c:pt>
                <c:pt idx="115">
                  <c:v>8.8373141227503102E-2</c:v>
                </c:pt>
                <c:pt idx="116">
                  <c:v>9.6783291299939803E-2</c:v>
                </c:pt>
                <c:pt idx="117">
                  <c:v>0.11076298087323069</c:v>
                </c:pt>
                <c:pt idx="118">
                  <c:v>0.1726892206484141</c:v>
                </c:pt>
                <c:pt idx="119">
                  <c:v>2.5346842070853901E-2</c:v>
                </c:pt>
                <c:pt idx="120">
                  <c:v>-1.47608131856782E-2</c:v>
                </c:pt>
                <c:pt idx="121">
                  <c:v>-4.9534085864395498E-2</c:v>
                </c:pt>
                <c:pt idx="122">
                  <c:v>-8.8083199804992102E-2</c:v>
                </c:pt>
                <c:pt idx="123">
                  <c:v>-8.4057495085375605E-2</c:v>
                </c:pt>
                <c:pt idx="124">
                  <c:v>-8.1314862581347805E-2</c:v>
                </c:pt>
                <c:pt idx="125">
                  <c:v>-0.10255709009835361</c:v>
                </c:pt>
                <c:pt idx="126">
                  <c:v>4.4225782921446501E-2</c:v>
                </c:pt>
                <c:pt idx="127">
                  <c:v>-0.1117671679206511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07-49F4-B6DB-57051400A1EB}"/>
            </c:ext>
          </c:extLst>
        </c:ser>
        <c:ser>
          <c:idx val="4"/>
          <c:order val="4"/>
          <c:tx>
            <c:strRef>
              <c:f>'Solutions_J (2)'!$T$1</c:f>
              <c:strCache>
                <c:ptCount val="1"/>
                <c:pt idx="0">
                  <c:v>r4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(2)'!$T$2:$T$129</c:f>
              <c:numCache>
                <c:formatCode>General</c:formatCode>
                <c:ptCount val="128"/>
                <c:pt idx="0">
                  <c:v>4.870982833947E-4</c:v>
                </c:pt>
                <c:pt idx="1">
                  <c:v>2.2148897577521E-3</c:v>
                </c:pt>
                <c:pt idx="2">
                  <c:v>-4.5850975813099998E-5</c:v>
                </c:pt>
                <c:pt idx="3">
                  <c:v>1.2586566872641999E-3</c:v>
                </c:pt>
                <c:pt idx="4">
                  <c:v>3.37540851886E-4</c:v>
                </c:pt>
                <c:pt idx="5">
                  <c:v>-3.5232393127626999E-3</c:v>
                </c:pt>
                <c:pt idx="6">
                  <c:v>9.7377622973943007E-3</c:v>
                </c:pt>
                <c:pt idx="7">
                  <c:v>-7.6912255814564996E-3</c:v>
                </c:pt>
                <c:pt idx="8">
                  <c:v>2.6177142959588999E-3</c:v>
                </c:pt>
                <c:pt idx="9">
                  <c:v>5.1583965353997003E-3</c:v>
                </c:pt>
                <c:pt idx="10">
                  <c:v>1.09998527656623E-2</c:v>
                </c:pt>
                <c:pt idx="11">
                  <c:v>-2.0175248269537399E-2</c:v>
                </c:pt>
                <c:pt idx="12">
                  <c:v>8.4547198274164993E-3</c:v>
                </c:pt>
                <c:pt idx="13">
                  <c:v>-2.0315332813794499E-2</c:v>
                </c:pt>
                <c:pt idx="14">
                  <c:v>-2.0923647666911999E-3</c:v>
                </c:pt>
                <c:pt idx="15">
                  <c:v>8.8448772657299998E-3</c:v>
                </c:pt>
                <c:pt idx="16">
                  <c:v>5.62354493469E-5</c:v>
                </c:pt>
                <c:pt idx="17">
                  <c:v>-2.37617318555229E-2</c:v>
                </c:pt>
                <c:pt idx="18">
                  <c:v>-6.0365679330306003E-3</c:v>
                </c:pt>
                <c:pt idx="19">
                  <c:v>2.1557362554163999E-2</c:v>
                </c:pt>
                <c:pt idx="20">
                  <c:v>-1.195400987544E-3</c:v>
                </c:pt>
                <c:pt idx="21">
                  <c:v>3.00271349216207E-2</c:v>
                </c:pt>
                <c:pt idx="22">
                  <c:v>-3.21770941512452E-2</c:v>
                </c:pt>
                <c:pt idx="23">
                  <c:v>5.0594096756647798E-2</c:v>
                </c:pt>
                <c:pt idx="24">
                  <c:v>-3.0454678710355499E-2</c:v>
                </c:pt>
                <c:pt idx="25">
                  <c:v>-4.5451751287661199E-2</c:v>
                </c:pt>
                <c:pt idx="26">
                  <c:v>-3.1505980660760699E-2</c:v>
                </c:pt>
                <c:pt idx="27">
                  <c:v>-4.0600353952764602E-2</c:v>
                </c:pt>
                <c:pt idx="28">
                  <c:v>-3.7390778643755597E-2</c:v>
                </c:pt>
                <c:pt idx="29">
                  <c:v>4.2693703277002899E-2</c:v>
                </c:pt>
                <c:pt idx="30">
                  <c:v>1.7710128265136599E-2</c:v>
                </c:pt>
                <c:pt idx="31">
                  <c:v>-5.4839388327934897E-2</c:v>
                </c:pt>
                <c:pt idx="32">
                  <c:v>-7.7079489944767293E-2</c:v>
                </c:pt>
                <c:pt idx="33">
                  <c:v>-8.72517839672622E-2</c:v>
                </c:pt>
                <c:pt idx="34">
                  <c:v>7.8587924331850897E-2</c:v>
                </c:pt>
                <c:pt idx="35">
                  <c:v>-6.3959076392669997E-2</c:v>
                </c:pt>
                <c:pt idx="36">
                  <c:v>-6.4773766883506695E-2</c:v>
                </c:pt>
                <c:pt idx="37">
                  <c:v>-8.3143992496913996E-2</c:v>
                </c:pt>
                <c:pt idx="38">
                  <c:v>-8.0105686064740805E-2</c:v>
                </c:pt>
                <c:pt idx="39">
                  <c:v>-3.1932294563965603E-2</c:v>
                </c:pt>
                <c:pt idx="40">
                  <c:v>-5.0316513072763497E-2</c:v>
                </c:pt>
                <c:pt idx="41">
                  <c:v>-5.7228622606023002E-2</c:v>
                </c:pt>
                <c:pt idx="42">
                  <c:v>5.5899862780709004E-3</c:v>
                </c:pt>
                <c:pt idx="43">
                  <c:v>-5.3850791116432102E-2</c:v>
                </c:pt>
                <c:pt idx="44">
                  <c:v>-4.3841017837592103E-2</c:v>
                </c:pt>
                <c:pt idx="45">
                  <c:v>-1.8723963640594999E-3</c:v>
                </c:pt>
                <c:pt idx="46">
                  <c:v>-7.9320465888528396E-2</c:v>
                </c:pt>
                <c:pt idx="47">
                  <c:v>-4.8122196560099001E-2</c:v>
                </c:pt>
                <c:pt idx="48">
                  <c:v>-5.64626964462982E-2</c:v>
                </c:pt>
                <c:pt idx="49">
                  <c:v>-9.1150195350236496E-2</c:v>
                </c:pt>
                <c:pt idx="50">
                  <c:v>-8.7949361026642206E-2</c:v>
                </c:pt>
                <c:pt idx="51">
                  <c:v>-7.3850997694146603E-2</c:v>
                </c:pt>
                <c:pt idx="52">
                  <c:v>4.4707210794588899E-2</c:v>
                </c:pt>
                <c:pt idx="53">
                  <c:v>-7.5809246850107398E-2</c:v>
                </c:pt>
                <c:pt idx="54">
                  <c:v>-3.9703538563243303E-2</c:v>
                </c:pt>
                <c:pt idx="55">
                  <c:v>-2.9533354753537998E-3</c:v>
                </c:pt>
                <c:pt idx="56">
                  <c:v>2.8553750115621401E-2</c:v>
                </c:pt>
                <c:pt idx="57">
                  <c:v>-9.4497644911482007E-2</c:v>
                </c:pt>
                <c:pt idx="58">
                  <c:v>6.21680806558009E-2</c:v>
                </c:pt>
                <c:pt idx="59">
                  <c:v>3.4703033190345699E-2</c:v>
                </c:pt>
                <c:pt idx="60">
                  <c:v>-0.15605631995775091</c:v>
                </c:pt>
                <c:pt idx="61">
                  <c:v>-5.66623811332366E-2</c:v>
                </c:pt>
                <c:pt idx="62">
                  <c:v>-0.11636137082309481</c:v>
                </c:pt>
                <c:pt idx="63">
                  <c:v>5.80684497739214E-2</c:v>
                </c:pt>
                <c:pt idx="64">
                  <c:v>-9.2485371149497494E-2</c:v>
                </c:pt>
                <c:pt idx="65">
                  <c:v>-0.1018171638861096</c:v>
                </c:pt>
                <c:pt idx="66">
                  <c:v>-0.10182385513390731</c:v>
                </c:pt>
                <c:pt idx="67">
                  <c:v>4.4308559309028599E-2</c:v>
                </c:pt>
                <c:pt idx="68">
                  <c:v>-0.1026565878505946</c:v>
                </c:pt>
                <c:pt idx="69">
                  <c:v>-4.13632887596962E-2</c:v>
                </c:pt>
                <c:pt idx="70">
                  <c:v>-0.103008875814633</c:v>
                </c:pt>
                <c:pt idx="71">
                  <c:v>-2.87707688140545E-2</c:v>
                </c:pt>
                <c:pt idx="72">
                  <c:v>-0.13486322194815081</c:v>
                </c:pt>
                <c:pt idx="73">
                  <c:v>-4.6357548385948799E-2</c:v>
                </c:pt>
                <c:pt idx="74">
                  <c:v>-7.4224516225050996E-3</c:v>
                </c:pt>
                <c:pt idx="75">
                  <c:v>-0.13561031051538611</c:v>
                </c:pt>
                <c:pt idx="76">
                  <c:v>-5.0930861153163302E-2</c:v>
                </c:pt>
                <c:pt idx="77">
                  <c:v>-6.7728359418140302E-2</c:v>
                </c:pt>
                <c:pt idx="78">
                  <c:v>-0.14808411132661209</c:v>
                </c:pt>
                <c:pt idx="79">
                  <c:v>-0.1514176800356915</c:v>
                </c:pt>
                <c:pt idx="80">
                  <c:v>-0.20129822612140719</c:v>
                </c:pt>
                <c:pt idx="81">
                  <c:v>-8.3076667423897105E-2</c:v>
                </c:pt>
                <c:pt idx="82">
                  <c:v>8.3673523353619605E-2</c:v>
                </c:pt>
                <c:pt idx="83">
                  <c:v>-0.12782394512640141</c:v>
                </c:pt>
                <c:pt idx="84">
                  <c:v>-3.1499306441134502E-2</c:v>
                </c:pt>
                <c:pt idx="85">
                  <c:v>-0.18930688068915891</c:v>
                </c:pt>
                <c:pt idx="86">
                  <c:v>-0.14980897485180611</c:v>
                </c:pt>
                <c:pt idx="87">
                  <c:v>-5.7423680058319201E-2</c:v>
                </c:pt>
                <c:pt idx="88">
                  <c:v>-4.1793987292302298E-2</c:v>
                </c:pt>
                <c:pt idx="89">
                  <c:v>-8.5865736733102396E-2</c:v>
                </c:pt>
                <c:pt idx="90">
                  <c:v>-0.19007086991406461</c:v>
                </c:pt>
                <c:pt idx="91">
                  <c:v>-0.1231223186044666</c:v>
                </c:pt>
                <c:pt idx="92">
                  <c:v>-0.15483789338317669</c:v>
                </c:pt>
                <c:pt idx="93">
                  <c:v>-0.1486511340028647</c:v>
                </c:pt>
                <c:pt idx="94">
                  <c:v>-8.0306277005179505E-2</c:v>
                </c:pt>
                <c:pt idx="95">
                  <c:v>-0.1806537459499164</c:v>
                </c:pt>
                <c:pt idx="96">
                  <c:v>2.31283343774106E-2</c:v>
                </c:pt>
                <c:pt idx="97">
                  <c:v>-0.1039529316867545</c:v>
                </c:pt>
                <c:pt idx="98">
                  <c:v>-0.15144570683869271</c:v>
                </c:pt>
                <c:pt idx="99">
                  <c:v>-0.10293082134436091</c:v>
                </c:pt>
                <c:pt idx="100">
                  <c:v>4.2404393781084E-3</c:v>
                </c:pt>
                <c:pt idx="101">
                  <c:v>-0.20288816826805761</c:v>
                </c:pt>
                <c:pt idx="102">
                  <c:v>8.5710912664078306E-2</c:v>
                </c:pt>
                <c:pt idx="103">
                  <c:v>5.70723585413484E-2</c:v>
                </c:pt>
                <c:pt idx="104">
                  <c:v>-0.2257706142694669</c:v>
                </c:pt>
                <c:pt idx="105">
                  <c:v>-3.6304317956935298E-2</c:v>
                </c:pt>
                <c:pt idx="106">
                  <c:v>-8.8488319274144606E-2</c:v>
                </c:pt>
                <c:pt idx="107">
                  <c:v>-0.22852493224413831</c:v>
                </c:pt>
                <c:pt idx="108">
                  <c:v>-0.21570543747684229</c:v>
                </c:pt>
                <c:pt idx="109">
                  <c:v>-0.2266933332203046</c:v>
                </c:pt>
                <c:pt idx="110">
                  <c:v>-0.21098727305115139</c:v>
                </c:pt>
                <c:pt idx="111">
                  <c:v>-0.17368374488976229</c:v>
                </c:pt>
                <c:pt idx="112">
                  <c:v>-0.21339941825140141</c:v>
                </c:pt>
                <c:pt idx="113">
                  <c:v>-0.25135694598185021</c:v>
                </c:pt>
                <c:pt idx="114">
                  <c:v>-0.25575175714265391</c:v>
                </c:pt>
                <c:pt idx="115">
                  <c:v>0.38904613244831332</c:v>
                </c:pt>
                <c:pt idx="116">
                  <c:v>-0.25659906778165747</c:v>
                </c:pt>
                <c:pt idx="117">
                  <c:v>0.42087494343713799</c:v>
                </c:pt>
                <c:pt idx="118">
                  <c:v>-0.28166300675209432</c:v>
                </c:pt>
                <c:pt idx="119">
                  <c:v>0.13395914961607441</c:v>
                </c:pt>
                <c:pt idx="120">
                  <c:v>-0.41517784546543263</c:v>
                </c:pt>
                <c:pt idx="121">
                  <c:v>-0.35462797238664839</c:v>
                </c:pt>
                <c:pt idx="122">
                  <c:v>-0.50460794959424549</c:v>
                </c:pt>
                <c:pt idx="123">
                  <c:v>-0.9008167828966418</c:v>
                </c:pt>
                <c:pt idx="124">
                  <c:v>-0.9475510539595019</c:v>
                </c:pt>
                <c:pt idx="125">
                  <c:v>-1.0001199982695781</c:v>
                </c:pt>
                <c:pt idx="126">
                  <c:v>1.15896485485971</c:v>
                </c:pt>
                <c:pt idx="127">
                  <c:v>-1.171721565400843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07-49F4-B6DB-57051400A1EB}"/>
            </c:ext>
          </c:extLst>
        </c:ser>
        <c:ser>
          <c:idx val="5"/>
          <c:order val="5"/>
          <c:tx>
            <c:strRef>
              <c:f>'Solutions_J (2)'!$U$1</c:f>
              <c:strCache>
                <c:ptCount val="1"/>
                <c:pt idx="0">
                  <c:v>r5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(2)'!$U$2:$U$129</c:f>
              <c:numCache>
                <c:formatCode>General</c:formatCode>
                <c:ptCount val="128"/>
                <c:pt idx="0">
                  <c:v>8.8258116202199997E-5</c:v>
                </c:pt>
                <c:pt idx="1">
                  <c:v>5.2257438826600001E-4</c:v>
                </c:pt>
                <c:pt idx="2">
                  <c:v>1.9431271845786E-3</c:v>
                </c:pt>
                <c:pt idx="3">
                  <c:v>2.1637149207588001E-3</c:v>
                </c:pt>
                <c:pt idx="4">
                  <c:v>5.4020118297816999E-3</c:v>
                </c:pt>
                <c:pt idx="5">
                  <c:v>2.4986653045364002E-3</c:v>
                </c:pt>
                <c:pt idx="6">
                  <c:v>2.5104574127803002E-3</c:v>
                </c:pt>
                <c:pt idx="7">
                  <c:v>-3.0099609080406998E-3</c:v>
                </c:pt>
                <c:pt idx="8">
                  <c:v>-1.8089271548194E-3</c:v>
                </c:pt>
                <c:pt idx="9">
                  <c:v>3.5418994294324998E-3</c:v>
                </c:pt>
                <c:pt idx="10">
                  <c:v>5.7213861590259003E-3</c:v>
                </c:pt>
                <c:pt idx="11">
                  <c:v>-3.1717494124279999E-4</c:v>
                </c:pt>
                <c:pt idx="12">
                  <c:v>9.8415023120259001E-3</c:v>
                </c:pt>
                <c:pt idx="13">
                  <c:v>-3.0788715491437998E-3</c:v>
                </c:pt>
                <c:pt idx="14">
                  <c:v>-6.5745858501991003E-3</c:v>
                </c:pt>
                <c:pt idx="15">
                  <c:v>1.21206155859306E-2</c:v>
                </c:pt>
                <c:pt idx="16">
                  <c:v>1.7741296386572999E-3</c:v>
                </c:pt>
                <c:pt idx="17">
                  <c:v>-9.7897645828715005E-3</c:v>
                </c:pt>
                <c:pt idx="18">
                  <c:v>-7.5393662222015996E-3</c:v>
                </c:pt>
                <c:pt idx="19">
                  <c:v>-1.8129874610769E-3</c:v>
                </c:pt>
                <c:pt idx="20">
                  <c:v>2.2080969709530201E-2</c:v>
                </c:pt>
                <c:pt idx="21">
                  <c:v>1.5093474406039999E-4</c:v>
                </c:pt>
                <c:pt idx="22">
                  <c:v>-3.437350034492E-3</c:v>
                </c:pt>
                <c:pt idx="23">
                  <c:v>7.6492019270030004E-4</c:v>
                </c:pt>
                <c:pt idx="24">
                  <c:v>-9.0537231703020004E-4</c:v>
                </c:pt>
                <c:pt idx="25">
                  <c:v>-1.85085105275524E-2</c:v>
                </c:pt>
                <c:pt idx="26">
                  <c:v>-1.9249785895263799E-2</c:v>
                </c:pt>
                <c:pt idx="27">
                  <c:v>-3.6814866414636E-3</c:v>
                </c:pt>
                <c:pt idx="28">
                  <c:v>-6.560264274941E-4</c:v>
                </c:pt>
                <c:pt idx="29">
                  <c:v>5.1520413626526002E-3</c:v>
                </c:pt>
                <c:pt idx="30">
                  <c:v>-3.9287488895318997E-3</c:v>
                </c:pt>
                <c:pt idx="31">
                  <c:v>1.2431324940311E-3</c:v>
                </c:pt>
                <c:pt idx="32">
                  <c:v>5.9086304206623997E-3</c:v>
                </c:pt>
                <c:pt idx="33">
                  <c:v>-5.90453172846368E-2</c:v>
                </c:pt>
                <c:pt idx="34">
                  <c:v>1.8767029193557199E-2</c:v>
                </c:pt>
                <c:pt idx="35">
                  <c:v>-3.0726640207181998E-3</c:v>
                </c:pt>
                <c:pt idx="36">
                  <c:v>-1.05308510027731E-2</c:v>
                </c:pt>
                <c:pt idx="37">
                  <c:v>-7.2318412443242205E-2</c:v>
                </c:pt>
                <c:pt idx="38">
                  <c:v>2.8937369686533E-3</c:v>
                </c:pt>
                <c:pt idx="39">
                  <c:v>-1.1940397726114001E-2</c:v>
                </c:pt>
                <c:pt idx="40">
                  <c:v>2.0929059928333299E-2</c:v>
                </c:pt>
                <c:pt idx="41">
                  <c:v>-3.9151664806849999E-2</c:v>
                </c:pt>
                <c:pt idx="42">
                  <c:v>2.8331849097592801E-2</c:v>
                </c:pt>
                <c:pt idx="43">
                  <c:v>-4.17608987533074E-2</c:v>
                </c:pt>
                <c:pt idx="44">
                  <c:v>-4.0232180191378801E-2</c:v>
                </c:pt>
                <c:pt idx="45">
                  <c:v>-1.4836395647023E-3</c:v>
                </c:pt>
                <c:pt idx="46">
                  <c:v>-1.1346704934715001E-2</c:v>
                </c:pt>
                <c:pt idx="47">
                  <c:v>-4.3660632526868002E-3</c:v>
                </c:pt>
                <c:pt idx="48">
                  <c:v>2.2743676615857199E-2</c:v>
                </c:pt>
                <c:pt idx="49">
                  <c:v>-4.1787489847642002E-3</c:v>
                </c:pt>
                <c:pt idx="50">
                  <c:v>2.1514549267186E-3</c:v>
                </c:pt>
                <c:pt idx="51">
                  <c:v>-1.5322262431163599E-2</c:v>
                </c:pt>
                <c:pt idx="52">
                  <c:v>1.5025161546469599E-2</c:v>
                </c:pt>
                <c:pt idx="53">
                  <c:v>-4.1123675124911198E-2</c:v>
                </c:pt>
                <c:pt idx="54">
                  <c:v>-1.3875171760235601E-2</c:v>
                </c:pt>
                <c:pt idx="55">
                  <c:v>4.1927674288272003E-3</c:v>
                </c:pt>
                <c:pt idx="56">
                  <c:v>2.8662828710340801E-2</c:v>
                </c:pt>
                <c:pt idx="57">
                  <c:v>-2.3436088527828999E-3</c:v>
                </c:pt>
                <c:pt idx="58">
                  <c:v>2.1447376385533099E-2</c:v>
                </c:pt>
                <c:pt idx="59">
                  <c:v>-2.5030708652084899E-2</c:v>
                </c:pt>
                <c:pt idx="60">
                  <c:v>-5.1555544737515703E-2</c:v>
                </c:pt>
                <c:pt idx="61">
                  <c:v>-7.8297558294011999E-2</c:v>
                </c:pt>
                <c:pt idx="62">
                  <c:v>-8.1423961074247007E-3</c:v>
                </c:pt>
                <c:pt idx="63">
                  <c:v>2.3762219148848299E-2</c:v>
                </c:pt>
                <c:pt idx="64">
                  <c:v>8.9834295691349E-3</c:v>
                </c:pt>
                <c:pt idx="65">
                  <c:v>-5.6941258754156503E-2</c:v>
                </c:pt>
                <c:pt idx="66">
                  <c:v>-5.3408226599971298E-2</c:v>
                </c:pt>
                <c:pt idx="67">
                  <c:v>-4.3981927232342802E-2</c:v>
                </c:pt>
                <c:pt idx="68">
                  <c:v>-3.1345150065569899E-2</c:v>
                </c:pt>
                <c:pt idx="69">
                  <c:v>5.3672913678781001E-3</c:v>
                </c:pt>
                <c:pt idx="70">
                  <c:v>1.2057609769559E-2</c:v>
                </c:pt>
                <c:pt idx="71">
                  <c:v>1.2975485363221901E-2</c:v>
                </c:pt>
                <c:pt idx="72">
                  <c:v>1.6969493973531501E-2</c:v>
                </c:pt>
                <c:pt idx="73">
                  <c:v>6.9894275292209001E-3</c:v>
                </c:pt>
                <c:pt idx="74">
                  <c:v>-8.0409519680254993E-3</c:v>
                </c:pt>
                <c:pt idx="75">
                  <c:v>-6.3105040949876998E-3</c:v>
                </c:pt>
                <c:pt idx="76">
                  <c:v>-6.9694408635983997E-3</c:v>
                </c:pt>
                <c:pt idx="77">
                  <c:v>-1.1050930296986399E-2</c:v>
                </c:pt>
                <c:pt idx="78">
                  <c:v>-1.19498441829034E-2</c:v>
                </c:pt>
                <c:pt idx="79">
                  <c:v>-2.0998566127605301E-2</c:v>
                </c:pt>
                <c:pt idx="80">
                  <c:v>-6.2947467459124801E-2</c:v>
                </c:pt>
                <c:pt idx="81">
                  <c:v>-9.6152640711011303E-2</c:v>
                </c:pt>
                <c:pt idx="82">
                  <c:v>2.2688644127143599E-2</c:v>
                </c:pt>
                <c:pt idx="83">
                  <c:v>-0.165079052089601</c:v>
                </c:pt>
                <c:pt idx="84">
                  <c:v>2.80588949222914E-2</c:v>
                </c:pt>
                <c:pt idx="85">
                  <c:v>-3.1400757428769799E-2</c:v>
                </c:pt>
                <c:pt idx="86">
                  <c:v>-4.2797583467751803E-2</c:v>
                </c:pt>
                <c:pt idx="87">
                  <c:v>-2.4072271863451799E-2</c:v>
                </c:pt>
                <c:pt idx="88">
                  <c:v>3.0447069581080003E-4</c:v>
                </c:pt>
                <c:pt idx="89">
                  <c:v>3.127522722887E-3</c:v>
                </c:pt>
                <c:pt idx="90">
                  <c:v>-1.9010456693156999E-3</c:v>
                </c:pt>
                <c:pt idx="91">
                  <c:v>-7.7195013089154003E-3</c:v>
                </c:pt>
                <c:pt idx="92">
                  <c:v>-1.6516647973628E-2</c:v>
                </c:pt>
                <c:pt idx="93">
                  <c:v>-4.2878389011911003E-2</c:v>
                </c:pt>
                <c:pt idx="94">
                  <c:v>-7.7951080201615003E-3</c:v>
                </c:pt>
                <c:pt idx="95">
                  <c:v>5.7075945837007702E-2</c:v>
                </c:pt>
                <c:pt idx="96">
                  <c:v>2.2387821434240899E-2</c:v>
                </c:pt>
                <c:pt idx="97">
                  <c:v>-1.27510715167902E-2</c:v>
                </c:pt>
                <c:pt idx="98">
                  <c:v>-1.9360853858194998E-2</c:v>
                </c:pt>
                <c:pt idx="99">
                  <c:v>6.7868945649006999E-3</c:v>
                </c:pt>
                <c:pt idx="100">
                  <c:v>2.61647723569166E-2</c:v>
                </c:pt>
                <c:pt idx="101">
                  <c:v>-1.3742124533138399E-2</c:v>
                </c:pt>
                <c:pt idx="102">
                  <c:v>2.0842065410403999E-2</c:v>
                </c:pt>
                <c:pt idx="103">
                  <c:v>2.1818989347785901E-2</c:v>
                </c:pt>
                <c:pt idx="104">
                  <c:v>-3.70581980657263E-2</c:v>
                </c:pt>
                <c:pt idx="105">
                  <c:v>5.7045715466001699E-2</c:v>
                </c:pt>
                <c:pt idx="106">
                  <c:v>-4.8880920234269003E-3</c:v>
                </c:pt>
                <c:pt idx="107">
                  <c:v>-4.4660307909852502E-2</c:v>
                </c:pt>
                <c:pt idx="108">
                  <c:v>-3.5212125120275703E-2</c:v>
                </c:pt>
                <c:pt idx="109">
                  <c:v>-3.20450618406583E-2</c:v>
                </c:pt>
                <c:pt idx="110">
                  <c:v>-3.11734566406968E-2</c:v>
                </c:pt>
                <c:pt idx="111">
                  <c:v>-2.9360084914186999E-3</c:v>
                </c:pt>
                <c:pt idx="112">
                  <c:v>-4.0541941506373497E-2</c:v>
                </c:pt>
                <c:pt idx="113">
                  <c:v>-2.6278484228429301E-2</c:v>
                </c:pt>
                <c:pt idx="114">
                  <c:v>-9.0220151825433706E-2</c:v>
                </c:pt>
                <c:pt idx="115">
                  <c:v>5.2306688132891299E-2</c:v>
                </c:pt>
                <c:pt idx="116">
                  <c:v>-9.6173497858379003E-2</c:v>
                </c:pt>
                <c:pt idx="117">
                  <c:v>5.1073358459514197E-2</c:v>
                </c:pt>
                <c:pt idx="118">
                  <c:v>-0.1389986736417651</c:v>
                </c:pt>
                <c:pt idx="119">
                  <c:v>-0.25373526910281258</c:v>
                </c:pt>
                <c:pt idx="120">
                  <c:v>-3.1724575814272897E-2</c:v>
                </c:pt>
                <c:pt idx="121">
                  <c:v>-4.2410336619741897E-2</c:v>
                </c:pt>
                <c:pt idx="122">
                  <c:v>-1.56135348607431E-2</c:v>
                </c:pt>
                <c:pt idx="123">
                  <c:v>-5.6620365709298903E-2</c:v>
                </c:pt>
                <c:pt idx="124">
                  <c:v>-7.2404628908318294E-2</c:v>
                </c:pt>
                <c:pt idx="125">
                  <c:v>-5.9995614375934099E-2</c:v>
                </c:pt>
                <c:pt idx="126">
                  <c:v>0.14081717281714959</c:v>
                </c:pt>
                <c:pt idx="127">
                  <c:v>-9.4564369014686206E-2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07-49F4-B6DB-57051400A1EB}"/>
            </c:ext>
          </c:extLst>
        </c:ser>
        <c:ser>
          <c:idx val="6"/>
          <c:order val="6"/>
          <c:tx>
            <c:strRef>
              <c:f>'Solutions_J (2)'!$V$1</c:f>
              <c:strCache>
                <c:ptCount val="1"/>
                <c:pt idx="0">
                  <c:v>r6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(2)'!$V$2:$V$129</c:f>
              <c:numCache>
                <c:formatCode>General</c:formatCode>
                <c:ptCount val="128"/>
                <c:pt idx="0">
                  <c:v>-3.4569970406370001E-4</c:v>
                </c:pt>
                <c:pt idx="1">
                  <c:v>1.4138015210120999E-3</c:v>
                </c:pt>
                <c:pt idx="2">
                  <c:v>2.8203036459889998E-3</c:v>
                </c:pt>
                <c:pt idx="3">
                  <c:v>1.8466623144502E-3</c:v>
                </c:pt>
                <c:pt idx="4">
                  <c:v>5.4299096261244996E-3</c:v>
                </c:pt>
                <c:pt idx="5">
                  <c:v>4.5759701561833002E-3</c:v>
                </c:pt>
                <c:pt idx="6">
                  <c:v>6.0815215143251002E-3</c:v>
                </c:pt>
                <c:pt idx="7">
                  <c:v>-5.2753265652589997E-3</c:v>
                </c:pt>
                <c:pt idx="8">
                  <c:v>1.9750936712393001E-3</c:v>
                </c:pt>
                <c:pt idx="9">
                  <c:v>5.1985372291300999E-3</c:v>
                </c:pt>
                <c:pt idx="10">
                  <c:v>5.7115585984102001E-3</c:v>
                </c:pt>
                <c:pt idx="11">
                  <c:v>-1.8414928791448001E-3</c:v>
                </c:pt>
                <c:pt idx="12">
                  <c:v>8.6361181144464002E-3</c:v>
                </c:pt>
                <c:pt idx="13">
                  <c:v>-6.9915572742178999E-3</c:v>
                </c:pt>
                <c:pt idx="14">
                  <c:v>-2.3238255470601999E-3</c:v>
                </c:pt>
                <c:pt idx="15">
                  <c:v>1.05928123461605E-2</c:v>
                </c:pt>
                <c:pt idx="16">
                  <c:v>5.0157729095388999E-3</c:v>
                </c:pt>
                <c:pt idx="17">
                  <c:v>-1.34213281418616E-2</c:v>
                </c:pt>
                <c:pt idx="18">
                  <c:v>-1.7436020501938999E-3</c:v>
                </c:pt>
                <c:pt idx="19">
                  <c:v>1.0475702314855199E-2</c:v>
                </c:pt>
                <c:pt idx="20">
                  <c:v>2.75226217334009E-2</c:v>
                </c:pt>
                <c:pt idx="21">
                  <c:v>2.4181155931605001E-3</c:v>
                </c:pt>
                <c:pt idx="22">
                  <c:v>2.9227409814198998E-3</c:v>
                </c:pt>
                <c:pt idx="23">
                  <c:v>2.0725500555437001E-3</c:v>
                </c:pt>
                <c:pt idx="24">
                  <c:v>3.9117690684876E-3</c:v>
                </c:pt>
                <c:pt idx="25">
                  <c:v>-1.37016727066485E-2</c:v>
                </c:pt>
                <c:pt idx="26">
                  <c:v>-1.45822739052826E-2</c:v>
                </c:pt>
                <c:pt idx="27">
                  <c:v>3.2182457585799001E-3</c:v>
                </c:pt>
                <c:pt idx="28">
                  <c:v>4.1564862171635996E-3</c:v>
                </c:pt>
                <c:pt idx="29">
                  <c:v>6.6162420677700999E-3</c:v>
                </c:pt>
                <c:pt idx="30">
                  <c:v>-4.3659988215174004E-3</c:v>
                </c:pt>
                <c:pt idx="31">
                  <c:v>-9.4322770816752007E-3</c:v>
                </c:pt>
                <c:pt idx="32">
                  <c:v>-1.6240551722772899E-2</c:v>
                </c:pt>
                <c:pt idx="33">
                  <c:v>-5.0572957017996703E-2</c:v>
                </c:pt>
                <c:pt idx="34">
                  <c:v>2.6960020806326399E-2</c:v>
                </c:pt>
                <c:pt idx="35">
                  <c:v>-1.3765781354567399E-2</c:v>
                </c:pt>
                <c:pt idx="36">
                  <c:v>-1.3291764650776999E-2</c:v>
                </c:pt>
                <c:pt idx="37">
                  <c:v>-6.2385523727818901E-2</c:v>
                </c:pt>
                <c:pt idx="38">
                  <c:v>-2.37875768397512E-2</c:v>
                </c:pt>
                <c:pt idx="39">
                  <c:v>-5.4488431091142597E-2</c:v>
                </c:pt>
                <c:pt idx="40">
                  <c:v>1.83517349847588E-2</c:v>
                </c:pt>
                <c:pt idx="41">
                  <c:v>-2.87504956627882E-2</c:v>
                </c:pt>
                <c:pt idx="42">
                  <c:v>1.3304729471378E-2</c:v>
                </c:pt>
                <c:pt idx="43">
                  <c:v>-3.1114886131319901E-2</c:v>
                </c:pt>
                <c:pt idx="44">
                  <c:v>-2.66364829860644E-2</c:v>
                </c:pt>
                <c:pt idx="45">
                  <c:v>4.4266215209030001E-4</c:v>
                </c:pt>
                <c:pt idx="46">
                  <c:v>-1.4259796977326499E-2</c:v>
                </c:pt>
                <c:pt idx="47">
                  <c:v>9.2360645591210197E-2</c:v>
                </c:pt>
                <c:pt idx="48">
                  <c:v>1.8144218915230399E-2</c:v>
                </c:pt>
                <c:pt idx="49">
                  <c:v>2.0778583998167101E-2</c:v>
                </c:pt>
                <c:pt idx="50">
                  <c:v>-7.6591352180318999E-3</c:v>
                </c:pt>
                <c:pt idx="51">
                  <c:v>5.9959360576836998E-2</c:v>
                </c:pt>
                <c:pt idx="52">
                  <c:v>-8.7261392211517002E-3</c:v>
                </c:pt>
                <c:pt idx="53">
                  <c:v>-5.2085138290202199E-2</c:v>
                </c:pt>
                <c:pt idx="54">
                  <c:v>3.1367855499136697E-2</c:v>
                </c:pt>
                <c:pt idx="55">
                  <c:v>-1.24599394102787E-2</c:v>
                </c:pt>
                <c:pt idx="56">
                  <c:v>1.4043785222576001E-2</c:v>
                </c:pt>
                <c:pt idx="57">
                  <c:v>1.5322447989116E-2</c:v>
                </c:pt>
                <c:pt idx="58">
                  <c:v>2.0270930503794801E-2</c:v>
                </c:pt>
                <c:pt idx="59">
                  <c:v>-5.4445989135262197E-2</c:v>
                </c:pt>
                <c:pt idx="60">
                  <c:v>-6.6452218622921694E-2</c:v>
                </c:pt>
                <c:pt idx="61">
                  <c:v>-0.100475156548493</c:v>
                </c:pt>
                <c:pt idx="62">
                  <c:v>5.0913110042687003E-3</c:v>
                </c:pt>
                <c:pt idx="63">
                  <c:v>2.1264047885723902E-2</c:v>
                </c:pt>
                <c:pt idx="64">
                  <c:v>-3.7216927594533399E-2</c:v>
                </c:pt>
                <c:pt idx="65">
                  <c:v>-4.8438861478758401E-2</c:v>
                </c:pt>
                <c:pt idx="66">
                  <c:v>-4.4717196225070498E-2</c:v>
                </c:pt>
                <c:pt idx="67">
                  <c:v>-7.7637291912399098E-2</c:v>
                </c:pt>
                <c:pt idx="68">
                  <c:v>-3.6409914387890298E-2</c:v>
                </c:pt>
                <c:pt idx="69">
                  <c:v>1.3953555069859999E-4</c:v>
                </c:pt>
                <c:pt idx="70">
                  <c:v>-2.91662022958111E-2</c:v>
                </c:pt>
                <c:pt idx="71">
                  <c:v>1.8971381921890001E-2</c:v>
                </c:pt>
                <c:pt idx="72">
                  <c:v>1.54489440834154E-2</c:v>
                </c:pt>
                <c:pt idx="73">
                  <c:v>8.5248439933260001E-4</c:v>
                </c:pt>
                <c:pt idx="74">
                  <c:v>-1.0952574007872E-2</c:v>
                </c:pt>
                <c:pt idx="75">
                  <c:v>-1.30096002530066E-2</c:v>
                </c:pt>
                <c:pt idx="76">
                  <c:v>4.9838730432072001E-2</c:v>
                </c:pt>
                <c:pt idx="77">
                  <c:v>-6.6806837190393998E-3</c:v>
                </c:pt>
                <c:pt idx="78">
                  <c:v>2.58869803215739E-2</c:v>
                </c:pt>
                <c:pt idx="79">
                  <c:v>-4.1635961892058898E-2</c:v>
                </c:pt>
                <c:pt idx="80">
                  <c:v>-8.5586050954823606E-2</c:v>
                </c:pt>
                <c:pt idx="81">
                  <c:v>-0.12410531672672651</c:v>
                </c:pt>
                <c:pt idx="82">
                  <c:v>1.7456518395926501E-2</c:v>
                </c:pt>
                <c:pt idx="83">
                  <c:v>-0.14033884751721759</c:v>
                </c:pt>
                <c:pt idx="84">
                  <c:v>3.4675732993568499E-2</c:v>
                </c:pt>
                <c:pt idx="85">
                  <c:v>-1.0516688661029901E-2</c:v>
                </c:pt>
                <c:pt idx="86">
                  <c:v>-3.7688779520267203E-2</c:v>
                </c:pt>
                <c:pt idx="87">
                  <c:v>-3.43643769452988E-2</c:v>
                </c:pt>
                <c:pt idx="88">
                  <c:v>7.5763339163851598E-2</c:v>
                </c:pt>
                <c:pt idx="89">
                  <c:v>-0.14980308705063511</c:v>
                </c:pt>
                <c:pt idx="90">
                  <c:v>-8.8829690407884396E-2</c:v>
                </c:pt>
                <c:pt idx="91">
                  <c:v>6.4987770862325406E-2</c:v>
                </c:pt>
                <c:pt idx="92">
                  <c:v>-5.3529943322440598E-2</c:v>
                </c:pt>
                <c:pt idx="93">
                  <c:v>-1.3659906366590299E-2</c:v>
                </c:pt>
                <c:pt idx="94">
                  <c:v>-3.8946200520952601E-2</c:v>
                </c:pt>
                <c:pt idx="95">
                  <c:v>-8.4919817915408397E-2</c:v>
                </c:pt>
                <c:pt idx="96">
                  <c:v>7.43999586597867E-2</c:v>
                </c:pt>
                <c:pt idx="97">
                  <c:v>-0.17212971122715401</c:v>
                </c:pt>
                <c:pt idx="98">
                  <c:v>1.7000700520352002E-2</c:v>
                </c:pt>
                <c:pt idx="99">
                  <c:v>-1.7674454968561001E-2</c:v>
                </c:pt>
                <c:pt idx="100">
                  <c:v>7.4719092527046893E-2</c:v>
                </c:pt>
                <c:pt idx="101">
                  <c:v>-6.8976418751078003E-2</c:v>
                </c:pt>
                <c:pt idx="102">
                  <c:v>8.2927600433195206E-2</c:v>
                </c:pt>
                <c:pt idx="103">
                  <c:v>8.0291749691974307E-2</c:v>
                </c:pt>
                <c:pt idx="104">
                  <c:v>-4.2735322511995903E-2</c:v>
                </c:pt>
                <c:pt idx="105">
                  <c:v>0.1345165509986849</c:v>
                </c:pt>
                <c:pt idx="106">
                  <c:v>-3.3289111388400999E-3</c:v>
                </c:pt>
                <c:pt idx="107">
                  <c:v>-4.62069200202831E-2</c:v>
                </c:pt>
                <c:pt idx="108">
                  <c:v>-6.5972498027637397E-2</c:v>
                </c:pt>
                <c:pt idx="109">
                  <c:v>-8.04361516176261E-2</c:v>
                </c:pt>
                <c:pt idx="110">
                  <c:v>-7.5814863561943793E-2</c:v>
                </c:pt>
                <c:pt idx="111">
                  <c:v>-1.6424130260676399E-2</c:v>
                </c:pt>
                <c:pt idx="112">
                  <c:v>-6.3606181816677307E-2</c:v>
                </c:pt>
                <c:pt idx="113">
                  <c:v>-8.93693842675857E-2</c:v>
                </c:pt>
                <c:pt idx="114">
                  <c:v>-9.1980584715413705E-2</c:v>
                </c:pt>
                <c:pt idx="115">
                  <c:v>4.3249852084861401E-2</c:v>
                </c:pt>
                <c:pt idx="116">
                  <c:v>-8.5895291139045593E-2</c:v>
                </c:pt>
                <c:pt idx="117">
                  <c:v>3.8796614577594597E-2</c:v>
                </c:pt>
                <c:pt idx="118">
                  <c:v>-8.1969838269451201E-2</c:v>
                </c:pt>
                <c:pt idx="119">
                  <c:v>-0.29328881267610302</c:v>
                </c:pt>
                <c:pt idx="120">
                  <c:v>-0.10217212057368689</c:v>
                </c:pt>
                <c:pt idx="121">
                  <c:v>3.89803017548302E-2</c:v>
                </c:pt>
                <c:pt idx="122">
                  <c:v>2.2396017397379502E-2</c:v>
                </c:pt>
                <c:pt idx="123">
                  <c:v>-8.9419019843132996E-3</c:v>
                </c:pt>
                <c:pt idx="124">
                  <c:v>-2.11130642470026E-2</c:v>
                </c:pt>
                <c:pt idx="125">
                  <c:v>-7.1458700622770003E-4</c:v>
                </c:pt>
                <c:pt idx="126">
                  <c:v>0.39161363241414821</c:v>
                </c:pt>
                <c:pt idx="127">
                  <c:v>-2.0405031607840199E-2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07-49F4-B6DB-57051400A1EB}"/>
            </c:ext>
          </c:extLst>
        </c:ser>
        <c:ser>
          <c:idx val="7"/>
          <c:order val="7"/>
          <c:tx>
            <c:strRef>
              <c:f>'Solutions_J (2)'!$W$1</c:f>
              <c:strCache>
                <c:ptCount val="1"/>
                <c:pt idx="0">
                  <c:v>r7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(2)'!$W$2:$W$129</c:f>
              <c:numCache>
                <c:formatCode>General</c:formatCode>
                <c:ptCount val="128"/>
                <c:pt idx="0">
                  <c:v>7.3326838884619995E-4</c:v>
                </c:pt>
                <c:pt idx="1">
                  <c:v>1.9149442080442999E-3</c:v>
                </c:pt>
                <c:pt idx="2">
                  <c:v>1.0275830230018E-3</c:v>
                </c:pt>
                <c:pt idx="3">
                  <c:v>2.0200046882033998E-3</c:v>
                </c:pt>
                <c:pt idx="4">
                  <c:v>2.0457412657169999E-4</c:v>
                </c:pt>
                <c:pt idx="5">
                  <c:v>-8.8709642919609997E-4</c:v>
                </c:pt>
                <c:pt idx="6">
                  <c:v>9.2102186872867007E-3</c:v>
                </c:pt>
                <c:pt idx="7">
                  <c:v>-6.8090611772339002E-3</c:v>
                </c:pt>
                <c:pt idx="8">
                  <c:v>-3.2941336644974001E-3</c:v>
                </c:pt>
                <c:pt idx="9">
                  <c:v>1.7810960068991E-3</c:v>
                </c:pt>
                <c:pt idx="10">
                  <c:v>1.01724227898424E-2</c:v>
                </c:pt>
                <c:pt idx="11">
                  <c:v>-2.11858492851771E-2</c:v>
                </c:pt>
                <c:pt idx="12">
                  <c:v>1.24127417065951E-2</c:v>
                </c:pt>
                <c:pt idx="13">
                  <c:v>-1.9454342490542498E-2</c:v>
                </c:pt>
                <c:pt idx="14">
                  <c:v>-1.0828722831514301E-2</c:v>
                </c:pt>
                <c:pt idx="15">
                  <c:v>1.4316908282319501E-2</c:v>
                </c:pt>
                <c:pt idx="16">
                  <c:v>-6.0243321384146004E-3</c:v>
                </c:pt>
                <c:pt idx="17">
                  <c:v>-2.07495334194851E-2</c:v>
                </c:pt>
                <c:pt idx="18">
                  <c:v>-1.52549797543978E-2</c:v>
                </c:pt>
                <c:pt idx="19">
                  <c:v>6.2930996346049995E-4</c:v>
                </c:pt>
                <c:pt idx="20">
                  <c:v>3.5330144269526001E-3</c:v>
                </c:pt>
                <c:pt idx="21">
                  <c:v>2.48904740210492E-2</c:v>
                </c:pt>
                <c:pt idx="22">
                  <c:v>-3.5139727471597E-2</c:v>
                </c:pt>
                <c:pt idx="23">
                  <c:v>2.9003474163621399E-2</c:v>
                </c:pt>
                <c:pt idx="24">
                  <c:v>-4.30101511151363E-2</c:v>
                </c:pt>
                <c:pt idx="25">
                  <c:v>-4.0939313192319103E-2</c:v>
                </c:pt>
                <c:pt idx="26">
                  <c:v>-3.1663228564109899E-2</c:v>
                </c:pt>
                <c:pt idx="27">
                  <c:v>-4.1670588391384197E-2</c:v>
                </c:pt>
                <c:pt idx="28">
                  <c:v>-4.9150147131281102E-2</c:v>
                </c:pt>
                <c:pt idx="29">
                  <c:v>3.7411362696766301E-2</c:v>
                </c:pt>
                <c:pt idx="30">
                  <c:v>1.25793006635978E-2</c:v>
                </c:pt>
                <c:pt idx="31">
                  <c:v>-5.4869546652885001E-2</c:v>
                </c:pt>
                <c:pt idx="32">
                  <c:v>-7.1863666472982105E-2</c:v>
                </c:pt>
                <c:pt idx="33">
                  <c:v>-8.5304542663286506E-2</c:v>
                </c:pt>
                <c:pt idx="34">
                  <c:v>7.8566516199801706E-2</c:v>
                </c:pt>
                <c:pt idx="35">
                  <c:v>-6.7695910031558407E-2</c:v>
                </c:pt>
                <c:pt idx="36">
                  <c:v>-5.8249665377955298E-2</c:v>
                </c:pt>
                <c:pt idx="37">
                  <c:v>-8.6117317080813494E-2</c:v>
                </c:pt>
                <c:pt idx="38">
                  <c:v>-7.5754161198268402E-2</c:v>
                </c:pt>
                <c:pt idx="39">
                  <c:v>-2.4095699045428999E-2</c:v>
                </c:pt>
                <c:pt idx="40">
                  <c:v>-3.8288617245336602E-2</c:v>
                </c:pt>
                <c:pt idx="41">
                  <c:v>-5.7704066980383099E-2</c:v>
                </c:pt>
                <c:pt idx="42">
                  <c:v>2.7688147061490202E-2</c:v>
                </c:pt>
                <c:pt idx="43">
                  <c:v>-5.64215237776544E-2</c:v>
                </c:pt>
                <c:pt idx="44">
                  <c:v>-4.2939615299705101E-2</c:v>
                </c:pt>
                <c:pt idx="45">
                  <c:v>2.4851862832729901E-2</c:v>
                </c:pt>
                <c:pt idx="46">
                  <c:v>-7.0034594089238997E-2</c:v>
                </c:pt>
                <c:pt idx="47">
                  <c:v>-2.09401665859348E-2</c:v>
                </c:pt>
                <c:pt idx="48">
                  <c:v>-4.2623137740314697E-2</c:v>
                </c:pt>
                <c:pt idx="49">
                  <c:v>-9.0367461714398994E-2</c:v>
                </c:pt>
                <c:pt idx="50">
                  <c:v>-4.26363066134057E-2</c:v>
                </c:pt>
                <c:pt idx="51">
                  <c:v>-4.41027876462423E-2</c:v>
                </c:pt>
                <c:pt idx="52">
                  <c:v>6.4161178282440404E-2</c:v>
                </c:pt>
                <c:pt idx="53">
                  <c:v>-5.4043468787156997E-2</c:v>
                </c:pt>
                <c:pt idx="54">
                  <c:v>-4.5177388813703999E-2</c:v>
                </c:pt>
                <c:pt idx="55">
                  <c:v>5.4870800705690004E-3</c:v>
                </c:pt>
                <c:pt idx="56">
                  <c:v>4.7544758599514299E-2</c:v>
                </c:pt>
                <c:pt idx="57">
                  <c:v>-0.10207282570115821</c:v>
                </c:pt>
                <c:pt idx="58">
                  <c:v>6.9074527505297106E-2</c:v>
                </c:pt>
                <c:pt idx="59">
                  <c:v>3.82065934878172E-2</c:v>
                </c:pt>
                <c:pt idx="60">
                  <c:v>-0.13603585463651441</c:v>
                </c:pt>
                <c:pt idx="61">
                  <c:v>-8.6915676823982504E-2</c:v>
                </c:pt>
                <c:pt idx="62">
                  <c:v>-7.3140397986108593E-2</c:v>
                </c:pt>
                <c:pt idx="63">
                  <c:v>6.7364610864755606E-2</c:v>
                </c:pt>
                <c:pt idx="64">
                  <c:v>-8.0251442498616404E-2</c:v>
                </c:pt>
                <c:pt idx="65">
                  <c:v>-0.105293530974909</c:v>
                </c:pt>
                <c:pt idx="66">
                  <c:v>-0.10542346037667991</c:v>
                </c:pt>
                <c:pt idx="67">
                  <c:v>4.8578721873869198E-2</c:v>
                </c:pt>
                <c:pt idx="68">
                  <c:v>-0.14464699874913611</c:v>
                </c:pt>
                <c:pt idx="69">
                  <c:v>-3.4817528449180402E-2</c:v>
                </c:pt>
                <c:pt idx="70">
                  <c:v>-8.8505509737347096E-2</c:v>
                </c:pt>
                <c:pt idx="71">
                  <c:v>-2.58259299914009E-2</c:v>
                </c:pt>
                <c:pt idx="72">
                  <c:v>-9.4527632108606693E-2</c:v>
                </c:pt>
                <c:pt idx="73">
                  <c:v>-3.7992768375616E-2</c:v>
                </c:pt>
                <c:pt idx="74">
                  <c:v>1.5811231614971999E-2</c:v>
                </c:pt>
                <c:pt idx="75">
                  <c:v>-0.10550667691696181</c:v>
                </c:pt>
                <c:pt idx="76">
                  <c:v>-1.5291693076601399E-2</c:v>
                </c:pt>
                <c:pt idx="77">
                  <c:v>-4.9968525724552501E-2</c:v>
                </c:pt>
                <c:pt idx="78">
                  <c:v>-0.14419537588191531</c:v>
                </c:pt>
                <c:pt idx="79">
                  <c:v>-0.137796955147855</c:v>
                </c:pt>
                <c:pt idx="80">
                  <c:v>-0.16902862131468069</c:v>
                </c:pt>
                <c:pt idx="81">
                  <c:v>-0.1170527408503015</c:v>
                </c:pt>
                <c:pt idx="82">
                  <c:v>9.2894562092327299E-2</c:v>
                </c:pt>
                <c:pt idx="83">
                  <c:v>-0.18991233302585109</c:v>
                </c:pt>
                <c:pt idx="84">
                  <c:v>-2.8435686532799299E-2</c:v>
                </c:pt>
                <c:pt idx="85">
                  <c:v>-0.14036670892287809</c:v>
                </c:pt>
                <c:pt idx="86">
                  <c:v>-9.3080476254876393E-2</c:v>
                </c:pt>
                <c:pt idx="87">
                  <c:v>-4.7341180126301799E-2</c:v>
                </c:pt>
                <c:pt idx="88">
                  <c:v>-4.3639072925754996E-3</c:v>
                </c:pt>
                <c:pt idx="89">
                  <c:v>-0.1209895504485651</c:v>
                </c:pt>
                <c:pt idx="90">
                  <c:v>-0.15761815253054309</c:v>
                </c:pt>
                <c:pt idx="91">
                  <c:v>-0.1754354583601167</c:v>
                </c:pt>
                <c:pt idx="92">
                  <c:v>-0.1498447306111369</c:v>
                </c:pt>
                <c:pt idx="93">
                  <c:v>-9.1948995777732398E-2</c:v>
                </c:pt>
                <c:pt idx="94">
                  <c:v>-5.0659564629156099E-2</c:v>
                </c:pt>
                <c:pt idx="95">
                  <c:v>-0.21068409794038431</c:v>
                </c:pt>
                <c:pt idx="96">
                  <c:v>-9.6170253468518402E-2</c:v>
                </c:pt>
                <c:pt idx="97">
                  <c:v>-0.1415716001149297</c:v>
                </c:pt>
                <c:pt idx="98">
                  <c:v>-0.15983055296361151</c:v>
                </c:pt>
                <c:pt idx="99">
                  <c:v>-7.38277038594191E-2</c:v>
                </c:pt>
                <c:pt idx="100">
                  <c:v>-0.10108324198036039</c:v>
                </c:pt>
                <c:pt idx="101">
                  <c:v>-0.17823691121377899</c:v>
                </c:pt>
                <c:pt idx="102">
                  <c:v>-3.7308682752398903E-2</c:v>
                </c:pt>
                <c:pt idx="103">
                  <c:v>-4.8836102395928498E-2</c:v>
                </c:pt>
                <c:pt idx="104">
                  <c:v>-0.19038361070620111</c:v>
                </c:pt>
                <c:pt idx="105">
                  <c:v>-5.5220043535685902E-2</c:v>
                </c:pt>
                <c:pt idx="106">
                  <c:v>-0.25512975206995558</c:v>
                </c:pt>
                <c:pt idx="107">
                  <c:v>-0.2111754285294119</c:v>
                </c:pt>
                <c:pt idx="108">
                  <c:v>-0.19398925215657001</c:v>
                </c:pt>
                <c:pt idx="109">
                  <c:v>-0.2024702469268195</c:v>
                </c:pt>
                <c:pt idx="110">
                  <c:v>-0.2008627224748562</c:v>
                </c:pt>
                <c:pt idx="111">
                  <c:v>-0.33252211392029002</c:v>
                </c:pt>
                <c:pt idx="112">
                  <c:v>-0.17109573060967651</c:v>
                </c:pt>
                <c:pt idx="113">
                  <c:v>-0.2242379198348696</c:v>
                </c:pt>
                <c:pt idx="114">
                  <c:v>-0.214023511963497</c:v>
                </c:pt>
                <c:pt idx="115">
                  <c:v>0.25954743361550831</c:v>
                </c:pt>
                <c:pt idx="116">
                  <c:v>-0.27801547944712163</c:v>
                </c:pt>
                <c:pt idx="117">
                  <c:v>0.28002807239997329</c:v>
                </c:pt>
                <c:pt idx="118">
                  <c:v>-0.26395998143617622</c:v>
                </c:pt>
                <c:pt idx="119">
                  <c:v>-0.20193117431751359</c:v>
                </c:pt>
                <c:pt idx="120">
                  <c:v>-0.37554030767270752</c:v>
                </c:pt>
                <c:pt idx="121">
                  <c:v>-0.41788798700783908</c:v>
                </c:pt>
                <c:pt idx="122">
                  <c:v>-0.40962556783095372</c:v>
                </c:pt>
                <c:pt idx="123">
                  <c:v>-0.6904878880192783</c:v>
                </c:pt>
                <c:pt idx="124">
                  <c:v>-0.73619760479757668</c:v>
                </c:pt>
                <c:pt idx="125">
                  <c:v>-0.79511833569152668</c:v>
                </c:pt>
                <c:pt idx="126">
                  <c:v>0.57343245600294923</c:v>
                </c:pt>
                <c:pt idx="127">
                  <c:v>-0.95580733421028641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07-49F4-B6DB-57051400A1EB}"/>
            </c:ext>
          </c:extLst>
        </c:ser>
        <c:ser>
          <c:idx val="8"/>
          <c:order val="8"/>
          <c:tx>
            <c:strRef>
              <c:f>'Solutions_J (2)'!$X$1</c:f>
              <c:strCache>
                <c:ptCount val="1"/>
                <c:pt idx="0">
                  <c:v>r8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(2)'!$X$2:$X$129</c:f>
              <c:numCache>
                <c:formatCode>General</c:formatCode>
                <c:ptCount val="128"/>
                <c:pt idx="0">
                  <c:v>-9.8784548990699995E-5</c:v>
                </c:pt>
                <c:pt idx="1">
                  <c:v>-2.4660200233988E-3</c:v>
                </c:pt>
                <c:pt idx="2">
                  <c:v>-7.3082086554434999E-3</c:v>
                </c:pt>
                <c:pt idx="3">
                  <c:v>-7.1504136517600003E-4</c:v>
                </c:pt>
                <c:pt idx="4">
                  <c:v>-5.0333959350454998E-3</c:v>
                </c:pt>
                <c:pt idx="5">
                  <c:v>-1.6013287679618099E-2</c:v>
                </c:pt>
                <c:pt idx="6">
                  <c:v>-1.0182543568104699E-2</c:v>
                </c:pt>
                <c:pt idx="7">
                  <c:v>1.5325698361721801E-2</c:v>
                </c:pt>
                <c:pt idx="8">
                  <c:v>-1.6972396854257901E-2</c:v>
                </c:pt>
                <c:pt idx="9">
                  <c:v>-1.7914124048896999E-3</c:v>
                </c:pt>
                <c:pt idx="10">
                  <c:v>-2.0324973557021E-3</c:v>
                </c:pt>
                <c:pt idx="11">
                  <c:v>-1.5996614566867E-3</c:v>
                </c:pt>
                <c:pt idx="12">
                  <c:v>-2.02035914256165E-2</c:v>
                </c:pt>
                <c:pt idx="13">
                  <c:v>9.6057846860873996E-3</c:v>
                </c:pt>
                <c:pt idx="14">
                  <c:v>-2.8066158248929999E-2</c:v>
                </c:pt>
                <c:pt idx="15">
                  <c:v>-2.5639689951149999E-2</c:v>
                </c:pt>
                <c:pt idx="16">
                  <c:v>-2.3773317612948001E-3</c:v>
                </c:pt>
                <c:pt idx="17">
                  <c:v>2.59177659456356E-2</c:v>
                </c:pt>
                <c:pt idx="18">
                  <c:v>-3.9386516047385398E-2</c:v>
                </c:pt>
                <c:pt idx="19">
                  <c:v>-3.1296244352128098E-2</c:v>
                </c:pt>
                <c:pt idx="20">
                  <c:v>-3.2863664105071203E-2</c:v>
                </c:pt>
                <c:pt idx="21">
                  <c:v>-6.8161773494831001E-3</c:v>
                </c:pt>
                <c:pt idx="22">
                  <c:v>-5.4253671657719001E-3</c:v>
                </c:pt>
                <c:pt idx="23">
                  <c:v>-3.7193281349762E-3</c:v>
                </c:pt>
                <c:pt idx="24">
                  <c:v>-5.4165195513874E-3</c:v>
                </c:pt>
                <c:pt idx="25">
                  <c:v>-7.1817809207713301E-2</c:v>
                </c:pt>
                <c:pt idx="26">
                  <c:v>-7.9480423362434494E-2</c:v>
                </c:pt>
                <c:pt idx="27">
                  <c:v>-6.2865741371839999E-3</c:v>
                </c:pt>
                <c:pt idx="28">
                  <c:v>-6.1239061451495002E-3</c:v>
                </c:pt>
                <c:pt idx="29">
                  <c:v>-2.2978263337690898E-2</c:v>
                </c:pt>
                <c:pt idx="30">
                  <c:v>3.7982679287545998E-3</c:v>
                </c:pt>
                <c:pt idx="31">
                  <c:v>1.02600456221485E-2</c:v>
                </c:pt>
                <c:pt idx="32">
                  <c:v>3.1023048353903998E-3</c:v>
                </c:pt>
                <c:pt idx="33">
                  <c:v>-8.8661273293374199E-2</c:v>
                </c:pt>
                <c:pt idx="34">
                  <c:v>6.1403658823744999E-3</c:v>
                </c:pt>
                <c:pt idx="35">
                  <c:v>2.4305149906994498E-2</c:v>
                </c:pt>
                <c:pt idx="36">
                  <c:v>4.4695866740137001E-2</c:v>
                </c:pt>
                <c:pt idx="37">
                  <c:v>-0.1179786068914631</c:v>
                </c:pt>
                <c:pt idx="38">
                  <c:v>7.8629431954508992E-3</c:v>
                </c:pt>
                <c:pt idx="39">
                  <c:v>3.3490657242718401E-2</c:v>
                </c:pt>
                <c:pt idx="40">
                  <c:v>1.1289702753350001E-2</c:v>
                </c:pt>
                <c:pt idx="41">
                  <c:v>-0.1489304586940102</c:v>
                </c:pt>
                <c:pt idx="42">
                  <c:v>-0.100995829605643</c:v>
                </c:pt>
                <c:pt idx="43">
                  <c:v>-0.1525202752438119</c:v>
                </c:pt>
                <c:pt idx="44">
                  <c:v>-0.1094531381286418</c:v>
                </c:pt>
                <c:pt idx="45">
                  <c:v>-1.0324853687334899E-2</c:v>
                </c:pt>
                <c:pt idx="46">
                  <c:v>5.0182667431235298E-2</c:v>
                </c:pt>
                <c:pt idx="47">
                  <c:v>6.4341008002918601E-2</c:v>
                </c:pt>
                <c:pt idx="48">
                  <c:v>9.8604903840625001E-3</c:v>
                </c:pt>
                <c:pt idx="49">
                  <c:v>-1.5180826818445599E-2</c:v>
                </c:pt>
                <c:pt idx="50">
                  <c:v>2.0336290908685999E-3</c:v>
                </c:pt>
                <c:pt idx="51">
                  <c:v>7.2005361162498394E-2</c:v>
                </c:pt>
                <c:pt idx="52">
                  <c:v>-9.5241434601445199E-2</c:v>
                </c:pt>
                <c:pt idx="53">
                  <c:v>-1.62448320307889E-2</c:v>
                </c:pt>
                <c:pt idx="54">
                  <c:v>-3.7837129899861398E-2</c:v>
                </c:pt>
                <c:pt idx="55">
                  <c:v>-5.64629106859608E-2</c:v>
                </c:pt>
                <c:pt idx="56">
                  <c:v>5.0842176925079897E-2</c:v>
                </c:pt>
                <c:pt idx="57">
                  <c:v>-7.7657267769067999E-3</c:v>
                </c:pt>
                <c:pt idx="58">
                  <c:v>-8.3225591423853301E-2</c:v>
                </c:pt>
                <c:pt idx="59">
                  <c:v>-1.642606116526E-3</c:v>
                </c:pt>
                <c:pt idx="60">
                  <c:v>-5.9775811000539303E-2</c:v>
                </c:pt>
                <c:pt idx="61">
                  <c:v>6.2575412938135094E-2</c:v>
                </c:pt>
                <c:pt idx="62">
                  <c:v>-9.9825130283833999E-3</c:v>
                </c:pt>
                <c:pt idx="63">
                  <c:v>-9.6958214406439994E-2</c:v>
                </c:pt>
                <c:pt idx="64">
                  <c:v>-9.3018628707345993E-2</c:v>
                </c:pt>
                <c:pt idx="65">
                  <c:v>-0.2062256867672228</c:v>
                </c:pt>
                <c:pt idx="66">
                  <c:v>-0.2022968730758076</c:v>
                </c:pt>
                <c:pt idx="67">
                  <c:v>-3.3683534179485002E-3</c:v>
                </c:pt>
                <c:pt idx="68">
                  <c:v>1.14279874922387E-2</c:v>
                </c:pt>
                <c:pt idx="69">
                  <c:v>-0.1122306229776415</c:v>
                </c:pt>
                <c:pt idx="70">
                  <c:v>-0.10898474100338799</c:v>
                </c:pt>
                <c:pt idx="71">
                  <c:v>-0.17005873847992711</c:v>
                </c:pt>
                <c:pt idx="72">
                  <c:v>-1.13812903066478E-2</c:v>
                </c:pt>
                <c:pt idx="73">
                  <c:v>-0.1210065938984707</c:v>
                </c:pt>
                <c:pt idx="74">
                  <c:v>5.4894046526019003E-3</c:v>
                </c:pt>
                <c:pt idx="75">
                  <c:v>4.2398071249742002E-3</c:v>
                </c:pt>
                <c:pt idx="76">
                  <c:v>-4.5360355176186702E-2</c:v>
                </c:pt>
                <c:pt idx="77">
                  <c:v>-0.21189977691339229</c:v>
                </c:pt>
                <c:pt idx="78">
                  <c:v>-2.4871536195360502E-2</c:v>
                </c:pt>
                <c:pt idx="79">
                  <c:v>-2.6862213244469999E-2</c:v>
                </c:pt>
                <c:pt idx="80">
                  <c:v>-6.6000306686975402E-2</c:v>
                </c:pt>
                <c:pt idx="81">
                  <c:v>6.8149475540564899E-2</c:v>
                </c:pt>
                <c:pt idx="82">
                  <c:v>-6.2149337469946199E-2</c:v>
                </c:pt>
                <c:pt idx="83">
                  <c:v>-0.13738689390924971</c:v>
                </c:pt>
                <c:pt idx="84">
                  <c:v>-0.13582033825922421</c:v>
                </c:pt>
                <c:pt idx="85">
                  <c:v>-5.9401850426995299E-2</c:v>
                </c:pt>
                <c:pt idx="86">
                  <c:v>-5.9909342846761103E-2</c:v>
                </c:pt>
                <c:pt idx="87">
                  <c:v>-0.20459582829778111</c:v>
                </c:pt>
                <c:pt idx="88">
                  <c:v>-6.7648591456171706E-2</c:v>
                </c:pt>
                <c:pt idx="89">
                  <c:v>-4.3263766199015501E-2</c:v>
                </c:pt>
                <c:pt idx="90">
                  <c:v>-6.56276863134133E-2</c:v>
                </c:pt>
                <c:pt idx="91">
                  <c:v>-9.0461200906273992E-3</c:v>
                </c:pt>
                <c:pt idx="92">
                  <c:v>7.1333165569162804E-2</c:v>
                </c:pt>
                <c:pt idx="93">
                  <c:v>4.2617367926160001E-3</c:v>
                </c:pt>
                <c:pt idx="94">
                  <c:v>-0.23356088657901619</c:v>
                </c:pt>
                <c:pt idx="95">
                  <c:v>-4.3268066749687799E-2</c:v>
                </c:pt>
                <c:pt idx="96">
                  <c:v>-2.1131967686129401E-2</c:v>
                </c:pt>
                <c:pt idx="97">
                  <c:v>-3.4512293020471402E-2</c:v>
                </c:pt>
                <c:pt idx="98">
                  <c:v>4.3124325941087102E-2</c:v>
                </c:pt>
                <c:pt idx="99">
                  <c:v>-0.24040031154517061</c:v>
                </c:pt>
                <c:pt idx="100">
                  <c:v>-2.6248652810682501E-2</c:v>
                </c:pt>
                <c:pt idx="101">
                  <c:v>-1.5856643591907301E-2</c:v>
                </c:pt>
                <c:pt idx="102">
                  <c:v>5.25536173396123E-2</c:v>
                </c:pt>
                <c:pt idx="103">
                  <c:v>4.2157043380073103E-2</c:v>
                </c:pt>
                <c:pt idx="104">
                  <c:v>6.9705796748209994E-2</c:v>
                </c:pt>
                <c:pt idx="105">
                  <c:v>-0.1545795332981777</c:v>
                </c:pt>
                <c:pt idx="106">
                  <c:v>-5.0631506860382E-3</c:v>
                </c:pt>
                <c:pt idx="107">
                  <c:v>7.1036373215229903E-2</c:v>
                </c:pt>
                <c:pt idx="108">
                  <c:v>5.0676202590412001E-2</c:v>
                </c:pt>
                <c:pt idx="109">
                  <c:v>-3.2455161105084701E-2</c:v>
                </c:pt>
                <c:pt idx="110">
                  <c:v>7.1494847158042704E-2</c:v>
                </c:pt>
                <c:pt idx="111">
                  <c:v>-8.1163587121230299E-2</c:v>
                </c:pt>
                <c:pt idx="112">
                  <c:v>1.7291373145668198E-2</c:v>
                </c:pt>
                <c:pt idx="113">
                  <c:v>-9.7815263228958008E-3</c:v>
                </c:pt>
                <c:pt idx="114">
                  <c:v>-6.5183045683378696E-2</c:v>
                </c:pt>
                <c:pt idx="115">
                  <c:v>2.59488039903835E-2</c:v>
                </c:pt>
                <c:pt idx="116">
                  <c:v>-8.9436668767779406E-2</c:v>
                </c:pt>
                <c:pt idx="117">
                  <c:v>3.2863700040237198E-2</c:v>
                </c:pt>
                <c:pt idx="118">
                  <c:v>-1.0621666979504001E-2</c:v>
                </c:pt>
                <c:pt idx="119">
                  <c:v>-0.1352336054260965</c:v>
                </c:pt>
                <c:pt idx="120">
                  <c:v>-7.1320174381656401E-2</c:v>
                </c:pt>
                <c:pt idx="121">
                  <c:v>4.4334420200023003E-3</c:v>
                </c:pt>
                <c:pt idx="122">
                  <c:v>-0.1478052811263165</c:v>
                </c:pt>
                <c:pt idx="123">
                  <c:v>-7.8751705849931297E-2</c:v>
                </c:pt>
                <c:pt idx="124">
                  <c:v>-5.4284561542116097E-2</c:v>
                </c:pt>
                <c:pt idx="125">
                  <c:v>-0.1238928581769379</c:v>
                </c:pt>
                <c:pt idx="126">
                  <c:v>4.4653360007097E-2</c:v>
                </c:pt>
                <c:pt idx="127">
                  <c:v>-0.1013938784340586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07-49F4-B6DB-57051400A1EB}"/>
            </c:ext>
          </c:extLst>
        </c:ser>
        <c:ser>
          <c:idx val="9"/>
          <c:order val="9"/>
          <c:tx>
            <c:strRef>
              <c:f>'Solutions_J (2)'!$Y$1</c:f>
              <c:strCache>
                <c:ptCount val="1"/>
                <c:pt idx="0">
                  <c:v>r9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(2)'!$Y$2:$Y$129</c:f>
              <c:numCache>
                <c:formatCode>General</c:formatCode>
                <c:ptCount val="128"/>
                <c:pt idx="0">
                  <c:v>2.6496236731637E-3</c:v>
                </c:pt>
                <c:pt idx="1">
                  <c:v>7.6861362075369998E-4</c:v>
                </c:pt>
                <c:pt idx="2">
                  <c:v>-5.0709090569510005E-4</c:v>
                </c:pt>
                <c:pt idx="3">
                  <c:v>1.2601557567112801E-2</c:v>
                </c:pt>
                <c:pt idx="4">
                  <c:v>1.10522557641923E-2</c:v>
                </c:pt>
                <c:pt idx="5">
                  <c:v>-9.9729677320300005E-4</c:v>
                </c:pt>
                <c:pt idx="6">
                  <c:v>3.6469276372493001E-3</c:v>
                </c:pt>
                <c:pt idx="7">
                  <c:v>6.7044164815960002E-4</c:v>
                </c:pt>
                <c:pt idx="8">
                  <c:v>3.4389484314726001E-3</c:v>
                </c:pt>
                <c:pt idx="9">
                  <c:v>2.4395955273315201E-2</c:v>
                </c:pt>
                <c:pt idx="10">
                  <c:v>2.0555458714541501E-2</c:v>
                </c:pt>
                <c:pt idx="11">
                  <c:v>3.7152443003809999E-4</c:v>
                </c:pt>
                <c:pt idx="12">
                  <c:v>-6.8961648172572E-3</c:v>
                </c:pt>
                <c:pt idx="13">
                  <c:v>5.3533133044719999E-4</c:v>
                </c:pt>
                <c:pt idx="14">
                  <c:v>-8.1234672171210005E-4</c:v>
                </c:pt>
                <c:pt idx="15">
                  <c:v>-8.3387538867121004E-3</c:v>
                </c:pt>
                <c:pt idx="16">
                  <c:v>2.9931394923278301E-2</c:v>
                </c:pt>
                <c:pt idx="17">
                  <c:v>1.2845932168195E-3</c:v>
                </c:pt>
                <c:pt idx="18">
                  <c:v>3.94210568087E-4</c:v>
                </c:pt>
                <c:pt idx="19">
                  <c:v>1.71260755440058E-2</c:v>
                </c:pt>
                <c:pt idx="20">
                  <c:v>-7.0504649284802001E-3</c:v>
                </c:pt>
                <c:pt idx="21">
                  <c:v>-2.89563233359444E-2</c:v>
                </c:pt>
                <c:pt idx="22">
                  <c:v>2.5027314455170899E-2</c:v>
                </c:pt>
                <c:pt idx="23">
                  <c:v>2.3905262559892799E-2</c:v>
                </c:pt>
                <c:pt idx="24">
                  <c:v>-1.2155201236856501E-2</c:v>
                </c:pt>
                <c:pt idx="25">
                  <c:v>-1.8299219054006399E-2</c:v>
                </c:pt>
                <c:pt idx="26">
                  <c:v>-2.67479524801956E-2</c:v>
                </c:pt>
                <c:pt idx="27">
                  <c:v>2.8162532034903501E-2</c:v>
                </c:pt>
                <c:pt idx="28">
                  <c:v>-1.0338412140384799E-2</c:v>
                </c:pt>
                <c:pt idx="29">
                  <c:v>-4.2750709850080899E-2</c:v>
                </c:pt>
                <c:pt idx="30">
                  <c:v>1.5667676303369502E-2</c:v>
                </c:pt>
                <c:pt idx="31">
                  <c:v>-8.4608465524521004E-2</c:v>
                </c:pt>
                <c:pt idx="32">
                  <c:v>-2.2200319378919999E-4</c:v>
                </c:pt>
                <c:pt idx="33">
                  <c:v>-7.6462907485992998E-3</c:v>
                </c:pt>
                <c:pt idx="34">
                  <c:v>3.9849951120782996E-3</c:v>
                </c:pt>
                <c:pt idx="35">
                  <c:v>-7.8503027726689295E-2</c:v>
                </c:pt>
                <c:pt idx="36">
                  <c:v>5.2437297388339002E-3</c:v>
                </c:pt>
                <c:pt idx="37">
                  <c:v>-2.0812773446473101E-2</c:v>
                </c:pt>
                <c:pt idx="38">
                  <c:v>3.8821591397388E-3</c:v>
                </c:pt>
                <c:pt idx="39">
                  <c:v>-8.9942767172963206E-2</c:v>
                </c:pt>
                <c:pt idx="40">
                  <c:v>-8.9505989069514999E-2</c:v>
                </c:pt>
                <c:pt idx="41">
                  <c:v>-4.7472578006462603E-2</c:v>
                </c:pt>
                <c:pt idx="42">
                  <c:v>-5.1404343629839E-3</c:v>
                </c:pt>
                <c:pt idx="43">
                  <c:v>-5.2011654371902298E-2</c:v>
                </c:pt>
                <c:pt idx="44">
                  <c:v>-1.51055298256273E-2</c:v>
                </c:pt>
                <c:pt idx="45">
                  <c:v>1.2191117453263201E-2</c:v>
                </c:pt>
                <c:pt idx="46">
                  <c:v>6.3937005384950996E-3</c:v>
                </c:pt>
                <c:pt idx="47">
                  <c:v>2.2908148653483999E-2</c:v>
                </c:pt>
                <c:pt idx="48">
                  <c:v>-9.6712294648595806E-2</c:v>
                </c:pt>
                <c:pt idx="49">
                  <c:v>-4.0033495117129001E-3</c:v>
                </c:pt>
                <c:pt idx="50">
                  <c:v>-3.2718491884805002E-3</c:v>
                </c:pt>
                <c:pt idx="51">
                  <c:v>1.8808536449738601E-2</c:v>
                </c:pt>
                <c:pt idx="52">
                  <c:v>-3.2173511674509002E-3</c:v>
                </c:pt>
                <c:pt idx="53">
                  <c:v>4.5509076661263996E-3</c:v>
                </c:pt>
                <c:pt idx="54">
                  <c:v>1.7136487613045E-3</c:v>
                </c:pt>
                <c:pt idx="55">
                  <c:v>-0.1409939161396907</c:v>
                </c:pt>
                <c:pt idx="56">
                  <c:v>9.3313092019558994E-3</c:v>
                </c:pt>
                <c:pt idx="57">
                  <c:v>4.8371552237076197E-2</c:v>
                </c:pt>
                <c:pt idx="58">
                  <c:v>-6.7959478693600806E-2</c:v>
                </c:pt>
                <c:pt idx="59">
                  <c:v>-0.13042446960184589</c:v>
                </c:pt>
                <c:pt idx="60">
                  <c:v>-3.8011841969247001E-3</c:v>
                </c:pt>
                <c:pt idx="61">
                  <c:v>-2.2636033789943302E-2</c:v>
                </c:pt>
                <c:pt idx="62">
                  <c:v>1.2395780055867899E-2</c:v>
                </c:pt>
                <c:pt idx="63">
                  <c:v>-7.8827374903790895E-2</c:v>
                </c:pt>
                <c:pt idx="64">
                  <c:v>-0.14945439133477409</c:v>
                </c:pt>
                <c:pt idx="65">
                  <c:v>-9.5296704741425806E-2</c:v>
                </c:pt>
                <c:pt idx="66">
                  <c:v>-9.2249020836317794E-2</c:v>
                </c:pt>
                <c:pt idx="67">
                  <c:v>-0.12674737935787511</c:v>
                </c:pt>
                <c:pt idx="68">
                  <c:v>4.5783860393476497E-2</c:v>
                </c:pt>
                <c:pt idx="69">
                  <c:v>-0.1694224070640987</c:v>
                </c:pt>
                <c:pt idx="70">
                  <c:v>-0.15487504861519791</c:v>
                </c:pt>
                <c:pt idx="71">
                  <c:v>-2.4481712724331101E-2</c:v>
                </c:pt>
                <c:pt idx="72">
                  <c:v>4.10262323024463E-2</c:v>
                </c:pt>
                <c:pt idx="73">
                  <c:v>-0.17131527373684241</c:v>
                </c:pt>
                <c:pt idx="74">
                  <c:v>3.5915856885664198E-2</c:v>
                </c:pt>
                <c:pt idx="75">
                  <c:v>-3.13190089656337E-2</c:v>
                </c:pt>
                <c:pt idx="76">
                  <c:v>-0.17511135253357929</c:v>
                </c:pt>
                <c:pt idx="77">
                  <c:v>-5.4620658202661598E-2</c:v>
                </c:pt>
                <c:pt idx="78">
                  <c:v>-6.0819360658964997E-3</c:v>
                </c:pt>
                <c:pt idx="79">
                  <c:v>-0.16406970217414191</c:v>
                </c:pt>
                <c:pt idx="80">
                  <c:v>-6.8194443698357003E-3</c:v>
                </c:pt>
                <c:pt idx="81">
                  <c:v>-1.7409758205212601E-2</c:v>
                </c:pt>
                <c:pt idx="82">
                  <c:v>-0.14004238831130941</c:v>
                </c:pt>
                <c:pt idx="83">
                  <c:v>-3.9167252990570799E-2</c:v>
                </c:pt>
                <c:pt idx="84">
                  <c:v>-0.1746527316442589</c:v>
                </c:pt>
                <c:pt idx="85">
                  <c:v>7.9238869054355995E-3</c:v>
                </c:pt>
                <c:pt idx="86">
                  <c:v>-8.0698899707741606E-2</c:v>
                </c:pt>
                <c:pt idx="87">
                  <c:v>-0.1149036573542199</c:v>
                </c:pt>
                <c:pt idx="88">
                  <c:v>-0.1807889481284933</c:v>
                </c:pt>
                <c:pt idx="89">
                  <c:v>-8.4097753131917696E-2</c:v>
                </c:pt>
                <c:pt idx="90">
                  <c:v>-2.1369633630193698E-2</c:v>
                </c:pt>
                <c:pt idx="91">
                  <c:v>4.2512507066446499E-2</c:v>
                </c:pt>
                <c:pt idx="92">
                  <c:v>-1.2757535923902399E-2</c:v>
                </c:pt>
                <c:pt idx="93">
                  <c:v>-7.8434468791998002E-3</c:v>
                </c:pt>
                <c:pt idx="94">
                  <c:v>-0.19982845914738931</c:v>
                </c:pt>
                <c:pt idx="95">
                  <c:v>-9.0685528468088999E-2</c:v>
                </c:pt>
                <c:pt idx="96">
                  <c:v>-0.1160659229937499</c:v>
                </c:pt>
                <c:pt idx="97">
                  <c:v>-7.9594329081768098E-2</c:v>
                </c:pt>
                <c:pt idx="98">
                  <c:v>5.5452544029905397E-2</c:v>
                </c:pt>
                <c:pt idx="99">
                  <c:v>-0.2034940210732491</c:v>
                </c:pt>
                <c:pt idx="100">
                  <c:v>-0.11626234874851871</c:v>
                </c:pt>
                <c:pt idx="101">
                  <c:v>-0.1395088974163079</c:v>
                </c:pt>
                <c:pt idx="102">
                  <c:v>2.6569464629690002E-4</c:v>
                </c:pt>
                <c:pt idx="103">
                  <c:v>-2.1234608972427E-3</c:v>
                </c:pt>
                <c:pt idx="104">
                  <c:v>1.4534556088679999E-4</c:v>
                </c:pt>
                <c:pt idx="105">
                  <c:v>-0.16437176329647421</c:v>
                </c:pt>
                <c:pt idx="106">
                  <c:v>-1.61123019515193E-2</c:v>
                </c:pt>
                <c:pt idx="107">
                  <c:v>-7.1942720568878996E-3</c:v>
                </c:pt>
                <c:pt idx="108">
                  <c:v>-5.4837288103496001E-3</c:v>
                </c:pt>
                <c:pt idx="109">
                  <c:v>-0.1450423083765166</c:v>
                </c:pt>
                <c:pt idx="110">
                  <c:v>-1.55975865146534E-2</c:v>
                </c:pt>
                <c:pt idx="111">
                  <c:v>-0.14343059794216079</c:v>
                </c:pt>
                <c:pt idx="112">
                  <c:v>-6.2975522880804505E-2</c:v>
                </c:pt>
                <c:pt idx="113">
                  <c:v>-0.13931077657020099</c:v>
                </c:pt>
                <c:pt idx="114">
                  <c:v>-0.1021150179018369</c:v>
                </c:pt>
                <c:pt idx="115">
                  <c:v>7.6433463452751996E-3</c:v>
                </c:pt>
                <c:pt idx="116">
                  <c:v>-1.7803604805460001E-2</c:v>
                </c:pt>
                <c:pt idx="117">
                  <c:v>8.0924024972560003E-4</c:v>
                </c:pt>
                <c:pt idx="118">
                  <c:v>-2.27160464643433E-2</c:v>
                </c:pt>
                <c:pt idx="119">
                  <c:v>-5.5015870634795502E-2</c:v>
                </c:pt>
                <c:pt idx="120">
                  <c:v>-0.15466317507488669</c:v>
                </c:pt>
                <c:pt idx="121">
                  <c:v>5.9980123659434302E-2</c:v>
                </c:pt>
                <c:pt idx="122">
                  <c:v>-6.8946073890798999E-3</c:v>
                </c:pt>
                <c:pt idx="123">
                  <c:v>1.93488305847547E-2</c:v>
                </c:pt>
                <c:pt idx="124">
                  <c:v>2.7147118799806701E-2</c:v>
                </c:pt>
                <c:pt idx="125">
                  <c:v>-8.5719883038828E-3</c:v>
                </c:pt>
                <c:pt idx="126">
                  <c:v>5.3461331776518503E-2</c:v>
                </c:pt>
                <c:pt idx="127">
                  <c:v>-7.4890556286183003E-3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0-4268-8F9F-6D2B398B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1284976"/>
        <c:axId val="691284648"/>
      </c:lineChart>
      <c:catAx>
        <c:axId val="69128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284648"/>
        <c:crosses val="autoZero"/>
        <c:auto val="1"/>
        <c:lblAlgn val="ctr"/>
        <c:lblOffset val="100"/>
        <c:noMultiLvlLbl val="0"/>
      </c:catAx>
      <c:valAx>
        <c:axId val="69128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28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'Solutions_J (2)'!$K$1</c:f>
              <c:strCache>
                <c:ptCount val="1"/>
                <c:pt idx="0">
                  <c:v>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'Solutions_J (2)'!$K$2:$K$129</c:f>
              <c:numCache>
                <c:formatCode>General</c:formatCode>
                <c:ptCount val="128"/>
                <c:pt idx="0">
                  <c:v>0.67658701048293601</c:v>
                </c:pt>
                <c:pt idx="1">
                  <c:v>0.66494986160671399</c:v>
                </c:pt>
                <c:pt idx="2">
                  <c:v>0.45274232324140201</c:v>
                </c:pt>
                <c:pt idx="3">
                  <c:v>0.78196787741366702</c:v>
                </c:pt>
                <c:pt idx="4">
                  <c:v>0.59371646293153801</c:v>
                </c:pt>
                <c:pt idx="5">
                  <c:v>0.79213837088490002</c:v>
                </c:pt>
                <c:pt idx="6">
                  <c:v>0.76193506304580205</c:v>
                </c:pt>
                <c:pt idx="7">
                  <c:v>0.65609166652963502</c:v>
                </c:pt>
                <c:pt idx="8">
                  <c:v>0.73791240761073096</c:v>
                </c:pt>
                <c:pt idx="9">
                  <c:v>0.75560109684582899</c:v>
                </c:pt>
                <c:pt idx="10">
                  <c:v>0.743434586178499</c:v>
                </c:pt>
                <c:pt idx="11">
                  <c:v>0.68889134528085805</c:v>
                </c:pt>
                <c:pt idx="12">
                  <c:v>0.757787800326157</c:v>
                </c:pt>
                <c:pt idx="13">
                  <c:v>0.67590724188559503</c:v>
                </c:pt>
                <c:pt idx="14">
                  <c:v>0.66129422270919602</c:v>
                </c:pt>
                <c:pt idx="15">
                  <c:v>0.78285262703532099</c:v>
                </c:pt>
                <c:pt idx="16">
                  <c:v>0.79672674673904698</c:v>
                </c:pt>
                <c:pt idx="17">
                  <c:v>0.79634570687887296</c:v>
                </c:pt>
                <c:pt idx="18">
                  <c:v>0.86429193132377602</c:v>
                </c:pt>
                <c:pt idx="19">
                  <c:v>0.81147448029492797</c:v>
                </c:pt>
                <c:pt idx="20">
                  <c:v>0.57383352273092403</c:v>
                </c:pt>
                <c:pt idx="21">
                  <c:v>0.72559528402916595</c:v>
                </c:pt>
                <c:pt idx="22">
                  <c:v>0.65335951031397599</c:v>
                </c:pt>
                <c:pt idx="23">
                  <c:v>0.86236214636275799</c:v>
                </c:pt>
                <c:pt idx="24">
                  <c:v>0.76567791392459805</c:v>
                </c:pt>
                <c:pt idx="25">
                  <c:v>0.73688588214294104</c:v>
                </c:pt>
                <c:pt idx="26">
                  <c:v>0.65260525932573799</c:v>
                </c:pt>
                <c:pt idx="27">
                  <c:v>0.71996904147514096</c:v>
                </c:pt>
                <c:pt idx="28">
                  <c:v>0.74865617330404099</c:v>
                </c:pt>
                <c:pt idx="29">
                  <c:v>0.75265717798237397</c:v>
                </c:pt>
                <c:pt idx="30">
                  <c:v>0.80057459556361599</c:v>
                </c:pt>
                <c:pt idx="31">
                  <c:v>0.87655910332859399</c:v>
                </c:pt>
                <c:pt idx="32">
                  <c:v>0.90437817732780401</c:v>
                </c:pt>
                <c:pt idx="33">
                  <c:v>0.77631962608106098</c:v>
                </c:pt>
                <c:pt idx="34">
                  <c:v>0.6956839145814</c:v>
                </c:pt>
                <c:pt idx="35">
                  <c:v>0.812892571008617</c:v>
                </c:pt>
                <c:pt idx="36">
                  <c:v>0.68849426002455105</c:v>
                </c:pt>
                <c:pt idx="37">
                  <c:v>0.77155482069387105</c:v>
                </c:pt>
                <c:pt idx="38">
                  <c:v>0.72228557400211402</c:v>
                </c:pt>
                <c:pt idx="39">
                  <c:v>0.70957258386158195</c:v>
                </c:pt>
                <c:pt idx="40">
                  <c:v>0.90122909716040001</c:v>
                </c:pt>
                <c:pt idx="41">
                  <c:v>0.70790549868360098</c:v>
                </c:pt>
                <c:pt idx="42">
                  <c:v>0.88376050311837895</c:v>
                </c:pt>
                <c:pt idx="43">
                  <c:v>0.83614487565556195</c:v>
                </c:pt>
                <c:pt idx="44">
                  <c:v>0.806889336432696</c:v>
                </c:pt>
                <c:pt idx="45">
                  <c:v>0.86098117736180202</c:v>
                </c:pt>
                <c:pt idx="46">
                  <c:v>0.87816873567751896</c:v>
                </c:pt>
                <c:pt idx="47">
                  <c:v>0.75796242328623598</c:v>
                </c:pt>
                <c:pt idx="48">
                  <c:v>0.76774678011998498</c:v>
                </c:pt>
                <c:pt idx="49">
                  <c:v>0.78122730505222904</c:v>
                </c:pt>
                <c:pt idx="50">
                  <c:v>0.69358692225797303</c:v>
                </c:pt>
                <c:pt idx="51">
                  <c:v>0.67174476116516402</c:v>
                </c:pt>
                <c:pt idx="52">
                  <c:v>0.76972373350420498</c:v>
                </c:pt>
                <c:pt idx="53">
                  <c:v>0.77622514771114903</c:v>
                </c:pt>
                <c:pt idx="54">
                  <c:v>0.80002700745632604</c:v>
                </c:pt>
                <c:pt idx="55">
                  <c:v>0.791800834106413</c:v>
                </c:pt>
                <c:pt idx="56">
                  <c:v>0.739121544345827</c:v>
                </c:pt>
                <c:pt idx="57">
                  <c:v>0.80238076732309704</c:v>
                </c:pt>
                <c:pt idx="58">
                  <c:v>0.72728353577020499</c:v>
                </c:pt>
                <c:pt idx="59">
                  <c:v>0.76388222285731799</c:v>
                </c:pt>
                <c:pt idx="60">
                  <c:v>0.76092151620259396</c:v>
                </c:pt>
                <c:pt idx="61">
                  <c:v>0.86126640143443201</c:v>
                </c:pt>
                <c:pt idx="62">
                  <c:v>0.86018116734169203</c:v>
                </c:pt>
                <c:pt idx="63">
                  <c:v>0.74635571698042802</c:v>
                </c:pt>
                <c:pt idx="64">
                  <c:v>0.77929749367656698</c:v>
                </c:pt>
                <c:pt idx="65">
                  <c:v>0.84291357756792895</c:v>
                </c:pt>
                <c:pt idx="66">
                  <c:v>0.72178535290319201</c:v>
                </c:pt>
                <c:pt idx="67">
                  <c:v>0.80238735310807296</c:v>
                </c:pt>
                <c:pt idx="68">
                  <c:v>0.86955786611512498</c:v>
                </c:pt>
                <c:pt idx="69">
                  <c:v>0.78901203597612601</c:v>
                </c:pt>
                <c:pt idx="70">
                  <c:v>0.72612382679119802</c:v>
                </c:pt>
                <c:pt idx="71">
                  <c:v>0.77003156098515102</c:v>
                </c:pt>
                <c:pt idx="72">
                  <c:v>0.77312649221268404</c:v>
                </c:pt>
                <c:pt idx="73">
                  <c:v>0.78041800269988004</c:v>
                </c:pt>
                <c:pt idx="74">
                  <c:v>0.74740915039177502</c:v>
                </c:pt>
                <c:pt idx="75">
                  <c:v>0.80489062759919605</c:v>
                </c:pt>
                <c:pt idx="76">
                  <c:v>0.833793246847919</c:v>
                </c:pt>
                <c:pt idx="77">
                  <c:v>0.84951029378892895</c:v>
                </c:pt>
                <c:pt idx="78">
                  <c:v>0.85358802688844804</c:v>
                </c:pt>
                <c:pt idx="79">
                  <c:v>0.757138565438225</c:v>
                </c:pt>
                <c:pt idx="80">
                  <c:v>0.78766087521432104</c:v>
                </c:pt>
                <c:pt idx="81">
                  <c:v>0.68197764375588399</c:v>
                </c:pt>
                <c:pt idx="82">
                  <c:v>0.81057297061786804</c:v>
                </c:pt>
                <c:pt idx="83">
                  <c:v>0.74435840520744401</c:v>
                </c:pt>
                <c:pt idx="84">
                  <c:v>0.85106794488729398</c:v>
                </c:pt>
                <c:pt idx="85">
                  <c:v>0.82282934944335495</c:v>
                </c:pt>
                <c:pt idx="86">
                  <c:v>0.80042228591373299</c:v>
                </c:pt>
                <c:pt idx="87">
                  <c:v>0.766116363112464</c:v>
                </c:pt>
                <c:pt idx="88">
                  <c:v>0.88843462700735498</c:v>
                </c:pt>
                <c:pt idx="89">
                  <c:v>0.76983328248681104</c:v>
                </c:pt>
                <c:pt idx="90">
                  <c:v>0.88536006491618802</c:v>
                </c:pt>
                <c:pt idx="91">
                  <c:v>0.762951725308048</c:v>
                </c:pt>
                <c:pt idx="92">
                  <c:v>0.87908454813768599</c:v>
                </c:pt>
                <c:pt idx="93">
                  <c:v>0.79932087321267398</c:v>
                </c:pt>
                <c:pt idx="94">
                  <c:v>0.66541820884395597</c:v>
                </c:pt>
                <c:pt idx="95">
                  <c:v>0.85135869024127298</c:v>
                </c:pt>
                <c:pt idx="96">
                  <c:v>0.85904887089169901</c:v>
                </c:pt>
                <c:pt idx="97">
                  <c:v>0.74465424493791998</c:v>
                </c:pt>
                <c:pt idx="98">
                  <c:v>0.87400538184968002</c:v>
                </c:pt>
                <c:pt idx="99">
                  <c:v>0.83112527361772404</c:v>
                </c:pt>
                <c:pt idx="100">
                  <c:v>0.673885413424261</c:v>
                </c:pt>
                <c:pt idx="101">
                  <c:v>0.89477433020158903</c:v>
                </c:pt>
                <c:pt idx="102">
                  <c:v>0.82073912872090404</c:v>
                </c:pt>
                <c:pt idx="103">
                  <c:v>0.76222345985073803</c:v>
                </c:pt>
                <c:pt idx="104">
                  <c:v>0.86570913175578201</c:v>
                </c:pt>
                <c:pt idx="105">
                  <c:v>0.86896250111808504</c:v>
                </c:pt>
                <c:pt idx="106">
                  <c:v>0.77626032739623396</c:v>
                </c:pt>
                <c:pt idx="107">
                  <c:v>0.65515706383926797</c:v>
                </c:pt>
                <c:pt idx="108">
                  <c:v>0.88618366932862402</c:v>
                </c:pt>
                <c:pt idx="109">
                  <c:v>0.826909417024138</c:v>
                </c:pt>
                <c:pt idx="110">
                  <c:v>0.78998385554879702</c:v>
                </c:pt>
                <c:pt idx="111">
                  <c:v>0.85462612429030105</c:v>
                </c:pt>
                <c:pt idx="112">
                  <c:v>0.66470417748968302</c:v>
                </c:pt>
                <c:pt idx="113">
                  <c:v>0.81879969986585399</c:v>
                </c:pt>
                <c:pt idx="114">
                  <c:v>0.777729237452636</c:v>
                </c:pt>
                <c:pt idx="115">
                  <c:v>0.89970865913982301</c:v>
                </c:pt>
                <c:pt idx="116">
                  <c:v>0.88222878204681798</c:v>
                </c:pt>
                <c:pt idx="117">
                  <c:v>0.86633918255930897</c:v>
                </c:pt>
                <c:pt idx="118">
                  <c:v>0.81783401158215596</c:v>
                </c:pt>
                <c:pt idx="119">
                  <c:v>0.72508530963017204</c:v>
                </c:pt>
                <c:pt idx="120">
                  <c:v>0.75104536351347895</c:v>
                </c:pt>
                <c:pt idx="121">
                  <c:v>0.81555778770776599</c:v>
                </c:pt>
                <c:pt idx="122">
                  <c:v>0.86042527990247397</c:v>
                </c:pt>
                <c:pt idx="123">
                  <c:v>0.749450338185359</c:v>
                </c:pt>
                <c:pt idx="124">
                  <c:v>0.77737170016621304</c:v>
                </c:pt>
                <c:pt idx="125">
                  <c:v>0.84628669050907501</c:v>
                </c:pt>
                <c:pt idx="126">
                  <c:v>0.822517203761299</c:v>
                </c:pt>
                <c:pt idx="127">
                  <c:v>0.76910331832560097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6B-4386-8FF2-6A49C1AB7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573728"/>
        <c:axId val="767569792"/>
      </c:lineChart>
      <c:catAx>
        <c:axId val="76757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569792"/>
        <c:crosses val="autoZero"/>
        <c:auto val="1"/>
        <c:lblAlgn val="ctr"/>
        <c:lblOffset val="100"/>
        <c:noMultiLvlLbl val="0"/>
      </c:catAx>
      <c:valAx>
        <c:axId val="7675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57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333374</xdr:colOff>
      <xdr:row>0</xdr:row>
      <xdr:rowOff>111125</xdr:rowOff>
    </xdr:from>
    <xdr:to>
      <xdr:col>10</xdr:col>
      <xdr:colOff>374649</xdr:colOff>
      <xdr:row>17</xdr:row>
      <xdr:rowOff>98425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523875</xdr:colOff>
      <xdr:row>15</xdr:row>
      <xdr:rowOff>152400</xdr:rowOff>
    </xdr:from>
    <xdr:to>
      <xdr:col>20</xdr:col>
      <xdr:colOff>904875</xdr:colOff>
      <xdr:row>30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504825</xdr:colOff>
      <xdr:row>4</xdr:row>
      <xdr:rowOff>161925</xdr:rowOff>
    </xdr:from>
    <xdr:to>
      <xdr:col>26</xdr:col>
      <xdr:colOff>114300</xdr:colOff>
      <xdr:row>28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4</xdr:row>
      <xdr:rowOff>114300</xdr:rowOff>
    </xdr:from>
    <xdr:to>
      <xdr:col>10</xdr:col>
      <xdr:colOff>447675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ctor Guadarrama Vilchis" refreshedDate="45478.456704861113" createdVersion="6" refreshedVersion="6" minRefreshableVersion="3" recordCount="853">
  <cacheSource type="worksheet">
    <worksheetSource ref="A1:C854" sheet="by variable"/>
  </cacheSource>
  <cacheFields count="3">
    <cacheField name="EmploymentRate" numFmtId="0">
      <sharedItems count="15">
        <s v="EmploymentRate"/>
        <s v="Exports"/>
        <s v="FDI"/>
        <s v="GDP"/>
        <s v="GovernmentSpending"/>
        <s v="HealthExpenditure"/>
        <s v="Imports"/>
        <s v="Inflation"/>
        <s v="LifeExpectancy"/>
        <s v="LongInterestRate"/>
        <s v="PandemicGrowth"/>
        <s v="PrivateSpending"/>
        <s v="ProductionPrices"/>
        <s v="RecoveryRate"/>
        <s v="ShortInterestRate"/>
      </sharedItems>
    </cacheField>
    <cacheField name="-0.456962069" numFmtId="0">
      <sharedItems containsSemiMixedTypes="0" containsString="0" containsNumber="1" minValue="-16.38986519013347" maxValue="8.0323881681884686"/>
    </cacheField>
    <cacheField name="0.22870846" numFmtId="0">
      <sharedItems containsSemiMixedTypes="0" containsString="0" containsNumber="1" minValue="0.1000450754234999" maxValue="0.99696668917794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3">
  <r>
    <x v="0"/>
    <n v="-0.74749899254574081"/>
    <n v="0.45541967084629342"/>
  </r>
  <r>
    <x v="0"/>
    <n v="-1.5581219972256539"/>
    <n v="0.49507328748030371"/>
  </r>
  <r>
    <x v="0"/>
    <n v="-0.59896323234112292"/>
    <n v="0.45483383074542522"/>
  </r>
  <r>
    <x v="0"/>
    <n v="-1.1487812989509181"/>
    <n v="0.59529622921894798"/>
  </r>
  <r>
    <x v="0"/>
    <n v="-2.2374106342486999"/>
    <n v="0.81618489217664858"/>
  </r>
  <r>
    <x v="0"/>
    <n v="-0.83667616101502773"/>
    <n v="0.1899297237265645"/>
  </r>
  <r>
    <x v="0"/>
    <n v="-0.31102325633392558"/>
    <n v="0.56996931103138504"/>
  </r>
  <r>
    <x v="0"/>
    <n v="-0.76490813049210404"/>
    <n v="0.7960755495187013"/>
  </r>
  <r>
    <x v="0"/>
    <n v="-0.3256959593048952"/>
    <n v="0.21869162198824671"/>
  </r>
  <r>
    <x v="0"/>
    <n v="-0.66187798820525734"/>
    <n v="0.16241031752135329"/>
  </r>
  <r>
    <x v="0"/>
    <n v="-0.2407050269126508"/>
    <n v="0.20311040955114479"/>
  </r>
  <r>
    <x v="0"/>
    <n v="-0.76521965285913018"/>
    <n v="0.21844847365283029"/>
  </r>
  <r>
    <x v="0"/>
    <n v="-0.41123220716338388"/>
    <n v="0.1304210889068497"/>
  </r>
  <r>
    <x v="0"/>
    <n v="-0.73037351008144613"/>
    <n v="0.1158538748540241"/>
  </r>
  <r>
    <x v="0"/>
    <n v="-1.647159436597311"/>
    <n v="0.1192093376137723"/>
  </r>
  <r>
    <x v="0"/>
    <n v="-0.31990222524818063"/>
    <n v="0.20296775667489009"/>
  </r>
  <r>
    <x v="0"/>
    <n v="-1.408426295215631"/>
    <n v="0.28070261930077622"/>
  </r>
  <r>
    <x v="0"/>
    <n v="-0.64954597186176577"/>
    <n v="0.40433955316321268"/>
  </r>
  <r>
    <x v="0"/>
    <n v="-1.3909032519785021"/>
    <n v="0.92948158652986834"/>
  </r>
  <r>
    <x v="0"/>
    <n v="-0.87020845926520329"/>
    <n v="0.35397557954965891"/>
  </r>
  <r>
    <x v="0"/>
    <n v="-0.73250849547157448"/>
    <n v="0.1705724192823794"/>
  </r>
  <r>
    <x v="0"/>
    <n v="-2.1866337269569249"/>
    <n v="0.92366180927910158"/>
  </r>
  <r>
    <x v="0"/>
    <n v="-0.73322068438001775"/>
    <n v="0.44835388907017598"/>
  </r>
  <r>
    <x v="0"/>
    <n v="-0.58176155556886089"/>
    <n v="0.60240763309890277"/>
  </r>
  <r>
    <x v="0"/>
    <n v="-1.0099431466971349"/>
    <n v="0.20949723418173821"/>
  </r>
  <r>
    <x v="0"/>
    <n v="-0.91213094160824937"/>
    <n v="0.7506286660757433"/>
  </r>
  <r>
    <x v="0"/>
    <n v="-0.93140767622855969"/>
    <n v="0.20400464726331169"/>
  </r>
  <r>
    <x v="0"/>
    <n v="-0.63903903323138711"/>
    <n v="0.1010331424755098"/>
  </r>
  <r>
    <x v="0"/>
    <n v="-0.66037619758483312"/>
    <n v="0.19526767279405"/>
  </r>
  <r>
    <x v="0"/>
    <n v="-1.190958419430141"/>
    <n v="0.83440471082587475"/>
  </r>
  <r>
    <x v="0"/>
    <n v="-0.79757900592470321"/>
    <n v="0.43627892152177872"/>
  </r>
  <r>
    <x v="0"/>
    <n v="-0.44005032982808728"/>
    <n v="0.1978391265072644"/>
  </r>
  <r>
    <x v="0"/>
    <n v="-0.69062507381534877"/>
    <n v="0.18887930360487901"/>
  </r>
  <r>
    <x v="0"/>
    <n v="-1.2415952678354829"/>
    <n v="0.68576777898227115"/>
  </r>
  <r>
    <x v="0"/>
    <n v="-0.34162165533001582"/>
    <n v="0.1638220643998623"/>
  </r>
  <r>
    <x v="0"/>
    <n v="-0.98775579125705493"/>
    <n v="0.80244896685013978"/>
  </r>
  <r>
    <x v="0"/>
    <n v="-0.84155727388848134"/>
    <n v="0.2583057538052474"/>
  </r>
  <r>
    <x v="0"/>
    <n v="-1.206060609499769"/>
    <n v="0.70372975816672356"/>
  </r>
  <r>
    <x v="0"/>
    <n v="-0.45102966091577251"/>
    <n v="0.72306967803544064"/>
  </r>
  <r>
    <x v="0"/>
    <n v="-3.446168606598135"/>
    <n v="0.84362216814941771"/>
  </r>
  <r>
    <x v="0"/>
    <n v="-0.36415934192658661"/>
    <n v="0.63601653754895393"/>
  </r>
  <r>
    <x v="0"/>
    <n v="-0.70055464623294972"/>
    <n v="0.96526539046505389"/>
  </r>
  <r>
    <x v="0"/>
    <n v="-0.35021671956357597"/>
    <n v="0.181922126752776"/>
  </r>
  <r>
    <x v="0"/>
    <n v="-0.77068670635682235"/>
    <n v="0.1073546372966605"/>
  </r>
  <r>
    <x v="0"/>
    <n v="-0.3260600099995602"/>
    <n v="0.68064192853901861"/>
  </r>
  <r>
    <x v="0"/>
    <n v="-0.36162701626899652"/>
    <n v="0.67582937002005616"/>
  </r>
  <r>
    <x v="0"/>
    <n v="-0.74837499433096122"/>
    <n v="0.6507664077012254"/>
  </r>
  <r>
    <x v="1"/>
    <n v="4.8581010217361253"/>
    <n v="0.99696668917794118"/>
  </r>
  <r>
    <x v="1"/>
    <n v="-1.6158465972369991"/>
    <n v="0.22870846034528461"/>
  </r>
  <r>
    <x v="1"/>
    <n v="-1.9928627763415661"/>
    <n v="0.45541967084629342"/>
  </r>
  <r>
    <x v="1"/>
    <n v="2.5685960040933078"/>
    <n v="0.59529622921894798"/>
  </r>
  <r>
    <x v="1"/>
    <n v="-0.87890582239760517"/>
    <n v="0.1899297237265645"/>
  </r>
  <r>
    <x v="1"/>
    <n v="-1.8186255967980409"/>
    <n v="0.93425399770073236"/>
  </r>
  <r>
    <x v="1"/>
    <n v="2.66991905427383"/>
    <n v="0.71053418806234436"/>
  </r>
  <r>
    <x v="1"/>
    <n v="2.157073798179113"/>
    <n v="0.7960755495187013"/>
  </r>
  <r>
    <x v="1"/>
    <n v="1.343202393250374"/>
    <n v="0.25494149402139399"/>
  </r>
  <r>
    <x v="1"/>
    <n v="-2.758512635527028"/>
    <n v="0.79241537964468156"/>
  </r>
  <r>
    <x v="1"/>
    <n v="1.834699001277829"/>
    <n v="0.20311040955114479"/>
  </r>
  <r>
    <x v="1"/>
    <n v="-1.121545954731296"/>
    <n v="0.21844847365283029"/>
  </r>
  <r>
    <x v="1"/>
    <n v="2.355440279753362"/>
    <n v="0.25219406014368551"/>
  </r>
  <r>
    <x v="1"/>
    <n v="0.90644048870351968"/>
    <n v="0.31548093049619752"/>
  </r>
  <r>
    <x v="1"/>
    <n v="-1.9420952355224601"/>
    <n v="0.1158538748540241"/>
  </r>
  <r>
    <x v="1"/>
    <n v="2.7609524533078562"/>
    <n v="0.76150808817919846"/>
  </r>
  <r>
    <x v="1"/>
    <n v="4.1351000613131834"/>
    <n v="0.35471954646808929"/>
  </r>
  <r>
    <x v="1"/>
    <n v="2.9571640171637821"/>
    <n v="0.28070261930077622"/>
  </r>
  <r>
    <x v="1"/>
    <n v="-2.5153009546808738"/>
    <n v="0.70283952218119539"/>
  </r>
  <r>
    <x v="1"/>
    <n v="-2.1384849878990049"/>
    <n v="0.1705724192823794"/>
  </r>
  <r>
    <x v="1"/>
    <n v="2.4750668577976258"/>
    <n v="0.41291969695462732"/>
  </r>
  <r>
    <x v="1"/>
    <n v="-1.46345838880066"/>
    <n v="0.72601770791125975"/>
  </r>
  <r>
    <x v="1"/>
    <n v="-1.8005800565280949"/>
    <n v="0.85070183091983609"/>
  </r>
  <r>
    <x v="1"/>
    <n v="-1.2949722105155539"/>
    <n v="0.20949723418173821"/>
  </r>
  <r>
    <x v="1"/>
    <n v="-1.11926200519912"/>
    <n v="0.7506286660757433"/>
  </r>
  <r>
    <x v="1"/>
    <n v="-3.481409613499451"/>
    <n v="0.8951374050705958"/>
  </r>
  <r>
    <x v="1"/>
    <n v="-1.162895736490362"/>
    <n v="0.20400464726331169"/>
  </r>
  <r>
    <x v="1"/>
    <n v="1.6844802925957201"/>
    <n v="0.2364424124269455"/>
  </r>
  <r>
    <x v="1"/>
    <n v="3.530203322431575"/>
    <n v="0.50267152671410242"/>
  </r>
  <r>
    <x v="1"/>
    <n v="1.6081205376294549"/>
    <n v="0.42773429932738999"/>
  </r>
  <r>
    <x v="1"/>
    <n v="2.0025495524589449"/>
    <n v="0.1749443239595754"/>
  </r>
  <r>
    <x v="1"/>
    <n v="-2.1745025166645622"/>
    <n v="0.43627892152177872"/>
  </r>
  <r>
    <x v="1"/>
    <n v="3.1719590508239981"/>
    <n v="0.19513326784232321"/>
  </r>
  <r>
    <x v="1"/>
    <n v="-1.4746509379895689"/>
    <n v="0.1978391265072644"/>
  </r>
  <r>
    <x v="1"/>
    <n v="-1.5794026907586161"/>
    <n v="0.1000450754234999"/>
  </r>
  <r>
    <x v="1"/>
    <n v="-2.0076450439883722"/>
    <n v="0.18887930360487901"/>
  </r>
  <r>
    <x v="1"/>
    <n v="2.6893539118761849"/>
    <n v="0.68576777898227115"/>
  </r>
  <r>
    <x v="1"/>
    <n v="1.5642955175964639"/>
    <n v="0.86655857869174824"/>
  </r>
  <r>
    <x v="1"/>
    <n v="-1.2455286124193621"/>
    <n v="0.80244896685013978"/>
  </r>
  <r>
    <x v="1"/>
    <n v="2.3705731887112069"/>
    <n v="0.87576732752300213"/>
  </r>
  <r>
    <x v="1"/>
    <n v="-0.46997538912630182"/>
    <n v="0.2583057538052474"/>
  </r>
  <r>
    <x v="1"/>
    <n v="2.8507204443726262"/>
    <n v="0.48663727550552088"/>
  </r>
  <r>
    <x v="1"/>
    <n v="1.471637494261169"/>
    <n v="0.70372975816672356"/>
  </r>
  <r>
    <x v="1"/>
    <n v="2.183603499883803"/>
    <n v="0.51882396988385682"/>
  </r>
  <r>
    <x v="1"/>
    <n v="2.0883794437564629"/>
    <n v="0.1236564146965753"/>
  </r>
  <r>
    <x v="1"/>
    <n v="1.492485963437592"/>
    <n v="0.78980888511177938"/>
  </r>
  <r>
    <x v="1"/>
    <n v="1.286220476837111"/>
    <n v="0.756197264055957"/>
  </r>
  <r>
    <x v="1"/>
    <n v="2.3381491315343421"/>
    <n v="0.59667636451878903"/>
  </r>
  <r>
    <x v="1"/>
    <n v="1.5806205503656861"/>
    <n v="0.22522084232072309"/>
  </r>
  <r>
    <x v="1"/>
    <n v="2.5822718427162932"/>
    <n v="0.93273414114997388"/>
  </r>
  <r>
    <x v="1"/>
    <n v="5.093523883755581"/>
    <n v="0.99475080767461654"/>
  </r>
  <r>
    <x v="1"/>
    <n v="1.2635676070222479"/>
    <n v="0.1200003797312796"/>
  </r>
  <r>
    <x v="1"/>
    <n v="0.92002006282437065"/>
    <n v="0.32853801032222513"/>
  </r>
  <r>
    <x v="1"/>
    <n v="-1.819647889867922"/>
    <n v="0.76946225597381357"/>
  </r>
  <r>
    <x v="1"/>
    <n v="2.804497198598209"/>
    <n v="0.59400519878475677"/>
  </r>
  <r>
    <x v="1"/>
    <n v="-0.94979942931811145"/>
    <n v="0.96526539046505389"/>
  </r>
  <r>
    <x v="1"/>
    <n v="-2.083843840130585"/>
    <n v="0.1073546372966605"/>
  </r>
  <r>
    <x v="1"/>
    <n v="1.670903916069661"/>
    <n v="0.96690021995709474"/>
  </r>
  <r>
    <x v="1"/>
    <n v="-1.9241907093666839"/>
    <n v="0.17383620142765499"/>
  </r>
  <r>
    <x v="1"/>
    <n v="-1.265580340003011"/>
    <n v="0.84735875113702974"/>
  </r>
  <r>
    <x v="1"/>
    <n v="1.230933798418373"/>
    <n v="0.71871414594590854"/>
  </r>
  <r>
    <x v="1"/>
    <n v="-1.1355944097306001"/>
    <n v="0.6507664077012254"/>
  </r>
  <r>
    <x v="1"/>
    <n v="-2.1165059863442779"/>
    <n v="0.92867123352724268"/>
  </r>
  <r>
    <x v="2"/>
    <n v="-0.90906622008418714"/>
    <n v="0.22870846034528461"/>
  </r>
  <r>
    <x v="2"/>
    <n v="-1.7176338763915959"/>
    <n v="0.17826894991460529"/>
  </r>
  <r>
    <x v="2"/>
    <n v="1.297771398499953"/>
    <n v="0.52528544664079668"/>
  </r>
  <r>
    <x v="2"/>
    <n v="1.0873714192694111"/>
    <n v="0.81618489217664858"/>
  </r>
  <r>
    <x v="2"/>
    <n v="-1.514111659546298"/>
    <n v="0.13939834915146149"/>
  </r>
  <r>
    <x v="2"/>
    <n v="0.93287670897277464"/>
    <n v="0.24638540345356849"/>
  </r>
  <r>
    <x v="2"/>
    <n v="-3.4777382992392281"/>
    <n v="0.93425399770073236"/>
  </r>
  <r>
    <x v="2"/>
    <n v="-2.642346940243816"/>
    <n v="0.25494149402139399"/>
  </r>
  <r>
    <x v="2"/>
    <n v="-2.5016550672056201"/>
    <n v="0.46643423991917787"/>
  </r>
  <r>
    <x v="2"/>
    <n v="0.59466117137108399"/>
    <n v="0.16241031752135329"/>
  </r>
  <r>
    <x v="2"/>
    <n v="-1.90467452957335"/>
    <n v="0.1304210889068497"/>
  </r>
  <r>
    <x v="2"/>
    <n v="-2.0336250361467298"/>
    <n v="0.25219406014368551"/>
  </r>
  <r>
    <x v="2"/>
    <n v="-2.056983559712164"/>
    <n v="0.24155574839601629"/>
  </r>
  <r>
    <x v="2"/>
    <n v="-1.8277207479290849"/>
    <n v="0.31548093049619752"/>
  </r>
  <r>
    <x v="2"/>
    <n v="-1.278315834400336"/>
    <n v="0.76150808817919846"/>
  </r>
  <r>
    <x v="2"/>
    <n v="-0.90093467472811217"/>
    <n v="0.35397557954965891"/>
  </r>
  <r>
    <x v="2"/>
    <n v="-2.486823972775313"/>
    <n v="0.70283952218119539"/>
  </r>
  <r>
    <x v="2"/>
    <n v="-3.1435229582389241"/>
    <n v="0.67250802584224512"/>
  </r>
  <r>
    <x v="2"/>
    <n v="1.5676701182677539"/>
    <n v="0.92366180927910158"/>
  </r>
  <r>
    <x v="2"/>
    <n v="-1.2375822724402219"/>
    <n v="0.41291969695462732"/>
  </r>
  <r>
    <x v="2"/>
    <n v="-2.0612478245125581"/>
    <n v="0.1322829447055649"/>
  </r>
  <r>
    <x v="2"/>
    <n v="-1.2982486574328489"/>
    <n v="0.60240763309890277"/>
  </r>
  <r>
    <x v="2"/>
    <n v="0.70286967341414297"/>
    <n v="0.20949723418173821"/>
  </r>
  <r>
    <x v="2"/>
    <n v="0.67448176685802352"/>
    <n v="0.7506286660757433"/>
  </r>
  <r>
    <x v="2"/>
    <n v="-2.0140094470209808"/>
    <n v="0.98296832098831999"/>
  </r>
  <r>
    <x v="2"/>
    <n v="0.67853873014918065"/>
    <n v="0.20400464726331169"/>
  </r>
  <r>
    <x v="2"/>
    <n v="-1.782431618095883"/>
    <n v="0.50267152671410242"/>
  </r>
  <r>
    <x v="2"/>
    <n v="-2.4989999814530601"/>
    <n v="0.77288106209373775"/>
  </r>
  <r>
    <x v="2"/>
    <n v="0.5862119769804871"/>
    <n v="0.19526767279405"/>
  </r>
  <r>
    <x v="2"/>
    <n v="-1.992817647870246"/>
    <n v="0.42773429932738999"/>
  </r>
  <r>
    <x v="2"/>
    <n v="-2.4485270721194499"/>
    <n v="0.61717013705295098"/>
  </r>
  <r>
    <x v="2"/>
    <n v="-3.1425392474715532"/>
    <n v="0.26821316439900922"/>
  </r>
  <r>
    <x v="2"/>
    <n v="-1.4793565064624199"/>
    <n v="0.19513326784232321"/>
  </r>
  <r>
    <x v="2"/>
    <n v="-0.77633519941327678"/>
    <n v="0.1978391265072644"/>
  </r>
  <r>
    <x v="2"/>
    <n v="-2.61397835874256"/>
    <n v="0.1000450754234999"/>
  </r>
  <r>
    <x v="2"/>
    <n v="-2.0035498212688112"/>
    <n v="0.74244149323312658"/>
  </r>
  <r>
    <x v="2"/>
    <n v="0.69742061884220874"/>
    <n v="0.80244896685013978"/>
  </r>
  <r>
    <x v="2"/>
    <n v="0.74463539930373235"/>
    <n v="0.1089686379392189"/>
  </r>
  <r>
    <x v="2"/>
    <n v="-2.229852260695095"/>
    <n v="0.93008937672037084"/>
  </r>
  <r>
    <x v="2"/>
    <n v="-0.80560401933906567"/>
    <n v="0.87576732752300213"/>
  </r>
  <r>
    <x v="2"/>
    <n v="0.83723372929280637"/>
    <n v="0.2583057538052474"/>
  </r>
  <r>
    <x v="2"/>
    <n v="-2.0949185545414521"/>
    <n v="0.48663727550552088"/>
  </r>
  <r>
    <x v="2"/>
    <n v="-2.0724133176784858"/>
    <n v="0.68096930218422058"/>
  </r>
  <r>
    <x v="2"/>
    <n v="-0.84609035318214598"/>
    <n v="0.51882396988385682"/>
  </r>
  <r>
    <x v="2"/>
    <n v="-2.1814224288676329"/>
    <n v="0.26488058793287189"/>
  </r>
  <r>
    <x v="2"/>
    <n v="-1.3905662846404701"/>
    <n v="0.72306967803544064"/>
  </r>
  <r>
    <x v="2"/>
    <n v="4.2867321612888798"/>
    <n v="0.84362216814941771"/>
  </r>
  <r>
    <x v="2"/>
    <n v="-1.7925614148491971"/>
    <n v="0.756197264055957"/>
  </r>
  <r>
    <x v="2"/>
    <n v="-0.95806926571439166"/>
    <n v="0.59667636451878903"/>
  </r>
  <r>
    <x v="2"/>
    <n v="-0.92241106591437605"/>
    <n v="0.93273414114997388"/>
  </r>
  <r>
    <x v="2"/>
    <n v="-1.431110210410508"/>
    <n v="0.1079884377822322"/>
  </r>
  <r>
    <x v="2"/>
    <n v="-2.1252218283772981"/>
    <n v="0.23641414744620209"/>
  </r>
  <r>
    <x v="2"/>
    <n v="-1.9319494418404699"/>
    <n v="0.63601653754895393"/>
  </r>
  <r>
    <x v="2"/>
    <n v="-1.899903329892541"/>
    <n v="0.32853801032222513"/>
  </r>
  <r>
    <x v="2"/>
    <n v="-2.9583634717612179"/>
    <n v="0.76946225597381357"/>
  </r>
  <r>
    <x v="2"/>
    <n v="-1.791327799475132"/>
    <n v="0.99142877280429653"/>
  </r>
  <r>
    <x v="2"/>
    <n v="1.244060229565215"/>
    <n v="0.57852574224514441"/>
  </r>
  <r>
    <x v="2"/>
    <n v="-1.049491194013203"/>
    <n v="0.96526539046505389"/>
  </r>
  <r>
    <x v="2"/>
    <n v="-1.746466027597096"/>
    <n v="0.17383620142765499"/>
  </r>
  <r>
    <x v="2"/>
    <n v="0.72750270892301927"/>
    <n v="0.1850378219080894"/>
  </r>
  <r>
    <x v="2"/>
    <n v="-1.8411024182976721"/>
    <n v="0.67582937002005616"/>
  </r>
  <r>
    <x v="2"/>
    <n v="-1.6883080517394231"/>
    <n v="0.71871414594590854"/>
  </r>
  <r>
    <x v="2"/>
    <n v="-2.399770964031402"/>
    <n v="0.84972860740667733"/>
  </r>
  <r>
    <x v="3"/>
    <n v="2.237518399194474"/>
    <n v="0.22870846034528461"/>
  </r>
  <r>
    <x v="3"/>
    <n v="2.2927592666720482"/>
    <n v="0.17826894991460529"/>
  </r>
  <r>
    <x v="3"/>
    <n v="0.89072927117190537"/>
    <n v="0.1184825353029758"/>
  </r>
  <r>
    <x v="3"/>
    <n v="1.1572844529361019"/>
    <n v="0.41318683633122649"/>
  </r>
  <r>
    <x v="3"/>
    <n v="1.975859481571274"/>
    <n v="0.45541967084629342"/>
  </r>
  <r>
    <x v="3"/>
    <n v="2.042783465842601"/>
    <n v="0.49507328748030371"/>
  </r>
  <r>
    <x v="3"/>
    <n v="1.1813747745860641"/>
    <n v="0.1899297237265645"/>
  </r>
  <r>
    <x v="3"/>
    <n v="2.097775054108951"/>
    <n v="0.13939834915146149"/>
  </r>
  <r>
    <x v="3"/>
    <n v="2.5820829363854698"/>
    <n v="0.56996931103138504"/>
  </r>
  <r>
    <x v="3"/>
    <n v="4.5888591971096986"/>
    <n v="0.93425399770073236"/>
  </r>
  <r>
    <x v="3"/>
    <n v="2.0257029654388128"/>
    <n v="0.25494149402139399"/>
  </r>
  <r>
    <x v="3"/>
    <n v="3.3150203899875241"/>
    <n v="0.46643423991917787"/>
  </r>
  <r>
    <x v="3"/>
    <n v="1.448141674792319"/>
    <n v="0.79241537964468156"/>
  </r>
  <r>
    <x v="3"/>
    <n v="0.74169140218991736"/>
    <n v="0.20311040955114479"/>
  </r>
  <r>
    <x v="3"/>
    <n v="1.291086225137333"/>
    <n v="0.21844847365283029"/>
  </r>
  <r>
    <x v="3"/>
    <n v="2.366858493952182"/>
    <n v="0.1304210889068497"/>
  </r>
  <r>
    <x v="3"/>
    <n v="0.93769256122473732"/>
    <n v="0.25219406014368551"/>
  </r>
  <r>
    <x v="3"/>
    <n v="2.081304470981014"/>
    <n v="0.24155574839601629"/>
  </r>
  <r>
    <x v="3"/>
    <n v="1.389539114899438"/>
    <n v="0.31548093049619752"/>
  </r>
  <r>
    <x v="3"/>
    <n v="0.91545469065448359"/>
    <n v="0.15383559011563189"/>
  </r>
  <r>
    <x v="3"/>
    <n v="1.9323212516740551"/>
    <n v="0.1158538748540241"/>
  </r>
  <r>
    <x v="3"/>
    <n v="1.1019670962416901"/>
    <n v="0.35397557954965891"/>
  </r>
  <r>
    <x v="3"/>
    <n v="4.0756628565449171"/>
    <n v="0.70283952218119539"/>
  </r>
  <r>
    <x v="3"/>
    <n v="2.0252217480813721"/>
    <n v="0.1705724192823794"/>
  </r>
  <r>
    <x v="3"/>
    <n v="3.2530936155538179"/>
    <n v="0.67250802584224512"/>
  </r>
  <r>
    <x v="3"/>
    <n v="2.8180983349826292"/>
    <n v="0.1322829447055649"/>
  </r>
  <r>
    <x v="3"/>
    <n v="2.235600452483399"/>
    <n v="0.60240763309890277"/>
  </r>
  <r>
    <x v="3"/>
    <n v="0.66212050717150506"/>
    <n v="0.72601770791125975"/>
  </r>
  <r>
    <x v="3"/>
    <n v="0.9895306252128141"/>
    <n v="0.85070183091983609"/>
  </r>
  <r>
    <x v="3"/>
    <n v="1.1016009286910149"/>
    <n v="0.20949723418173821"/>
  </r>
  <r>
    <x v="3"/>
    <n v="2.0840488878192232"/>
    <n v="0.54298250440673823"/>
  </r>
  <r>
    <x v="3"/>
    <n v="1.0169135159423921"/>
    <n v="0.7506286660757433"/>
  </r>
  <r>
    <x v="3"/>
    <n v="3.345061419082783"/>
    <n v="0.98296832098831999"/>
  </r>
  <r>
    <x v="3"/>
    <n v="1.735349131222375"/>
    <n v="0.8951374050705958"/>
  </r>
  <r>
    <x v="3"/>
    <n v="1.02624444073106"/>
    <n v="0.20400464726331169"/>
  </r>
  <r>
    <x v="3"/>
    <n v="1.570884489442631"/>
    <n v="0.2364424124269455"/>
  </r>
  <r>
    <x v="3"/>
    <n v="0.88370529162556299"/>
    <n v="0.77288106209373775"/>
  </r>
  <r>
    <x v="3"/>
    <n v="2.6789841251700741"/>
    <n v="0.42773429932738999"/>
  </r>
  <r>
    <x v="3"/>
    <n v="1.1873294074351499"/>
    <n v="0.61717013705295098"/>
  </r>
  <r>
    <x v="3"/>
    <n v="3.216489173873192"/>
    <n v="0.26821316439900922"/>
  </r>
  <r>
    <x v="3"/>
    <n v="0.62922523907160932"/>
    <n v="0.1749443239595754"/>
  </r>
  <r>
    <x v="3"/>
    <n v="2.1094732313818811"/>
    <n v="0.43627892152177872"/>
  </r>
  <r>
    <x v="3"/>
    <n v="2.0645328583823441"/>
    <n v="0.1978391265072644"/>
  </r>
  <r>
    <x v="3"/>
    <n v="3.6279776996200881"/>
    <n v="0.1000450754234999"/>
  </r>
  <r>
    <x v="3"/>
    <n v="2.0201668750995321"/>
    <n v="0.74244149323312658"/>
  </r>
  <r>
    <x v="3"/>
    <n v="1.9256399371499859"/>
    <n v="0.18887930360487901"/>
  </r>
  <r>
    <x v="3"/>
    <n v="1.4875136816744501"/>
    <n v="0.86655857869174824"/>
  </r>
  <r>
    <x v="3"/>
    <n v="2.0389309890535592"/>
    <n v="0.65469998820211983"/>
  </r>
  <r>
    <x v="3"/>
    <n v="0.8869809184437385"/>
    <n v="0.34793509357718172"/>
  </r>
  <r>
    <x v="3"/>
    <n v="1.0878720776016131"/>
    <n v="0.80244896685013978"/>
  </r>
  <r>
    <x v="3"/>
    <n v="2.5060430121030008"/>
    <n v="0.93008937672037084"/>
  </r>
  <r>
    <x v="3"/>
    <n v="1.0370575775122779"/>
    <n v="0.87576732752300213"/>
  </r>
  <r>
    <x v="3"/>
    <n v="0.41363275379395292"/>
    <n v="0.2583057538052474"/>
  </r>
  <r>
    <x v="3"/>
    <n v="0.67197070236373047"/>
    <n v="0.48663727550552088"/>
  </r>
  <r>
    <x v="3"/>
    <n v="2.0746472446654929"/>
    <n v="0.68096930218422058"/>
  </r>
  <r>
    <x v="3"/>
    <n v="0.81427723044613598"/>
    <n v="0.70372975816672356"/>
  </r>
  <r>
    <x v="3"/>
    <n v="1.673105812877369"/>
    <n v="0.51882396988385682"/>
  </r>
  <r>
    <x v="3"/>
    <n v="0.65654487742231216"/>
    <n v="0.1236564146965753"/>
  </r>
  <r>
    <x v="3"/>
    <n v="0.69520931682527043"/>
    <n v="0.26488058793287189"/>
  </r>
  <r>
    <x v="3"/>
    <n v="2.7033798393636741"/>
    <n v="0.72306967803544064"/>
  </r>
  <r>
    <x v="3"/>
    <n v="2.9682907573908879"/>
    <n v="0.78980888511177938"/>
  </r>
  <r>
    <x v="3"/>
    <n v="0.98571906738449655"/>
    <n v="0.756197264055957"/>
  </r>
  <r>
    <x v="3"/>
    <n v="1.8096803614967869"/>
    <n v="0.59667636451878903"/>
  </r>
  <r>
    <x v="3"/>
    <n v="1.4404629561315909"/>
    <n v="0.22522084232072309"/>
  </r>
  <r>
    <x v="3"/>
    <n v="1.0980676772481519"/>
    <n v="0.93273414114997388"/>
  </r>
  <r>
    <x v="3"/>
    <n v="2.1345456529218532"/>
    <n v="0.23641414744620209"/>
  </r>
  <r>
    <x v="3"/>
    <n v="2.345706332055066"/>
    <n v="0.63601653754895393"/>
  </r>
  <r>
    <x v="3"/>
    <n v="2.44889915789989"/>
    <n v="0.1200003797312796"/>
  </r>
  <r>
    <x v="3"/>
    <n v="1.4300925283058861"/>
    <n v="0.32853801032222513"/>
  </r>
  <r>
    <x v="3"/>
    <n v="4.0535533485628727"/>
    <n v="0.76946225597381357"/>
  </r>
  <r>
    <x v="3"/>
    <n v="4.2234409652971854"/>
    <n v="0.99142877280429653"/>
  </r>
  <r>
    <x v="3"/>
    <n v="2.6949433853835272"/>
    <n v="0.96526539046505389"/>
  </r>
  <r>
    <x v="3"/>
    <n v="0.90894540413292346"/>
    <n v="0.42578094499293179"/>
  </r>
  <r>
    <x v="3"/>
    <n v="2.0397008922208908"/>
    <n v="0.1073546372966605"/>
  </r>
  <r>
    <x v="3"/>
    <n v="1.6405100800396351"/>
    <n v="0.96690021995709474"/>
  </r>
  <r>
    <x v="3"/>
    <n v="3.0566260452937248"/>
    <n v="0.17383620142765499"/>
  </r>
  <r>
    <x v="3"/>
    <n v="3.0098855180818789"/>
    <n v="0.68064192853901861"/>
  </r>
  <r>
    <x v="3"/>
    <n v="0.64523559282320575"/>
    <n v="0.84735875113702974"/>
  </r>
  <r>
    <x v="3"/>
    <n v="2.2714071795980399"/>
    <n v="0.67582937002005616"/>
  </r>
  <r>
    <x v="3"/>
    <n v="0.959889747970051"/>
    <n v="0.71871414594590854"/>
  </r>
  <r>
    <x v="3"/>
    <n v="3.05741423013894"/>
    <n v="0.84972860740667733"/>
  </r>
  <r>
    <x v="3"/>
    <n v="1.3370104847940161"/>
    <n v="0.6507664077012254"/>
  </r>
  <r>
    <x v="3"/>
    <n v="1.076645224086362"/>
    <n v="0.92867123352724268"/>
  </r>
  <r>
    <x v="4"/>
    <n v="0.97147471897005921"/>
    <n v="0.17826894991460529"/>
  </r>
  <r>
    <x v="4"/>
    <n v="-1.8746300695398079"/>
    <n v="0.3056650509059145"/>
  </r>
  <r>
    <x v="4"/>
    <n v="-2.499590213630186"/>
    <n v="0.1184825353029758"/>
  </r>
  <r>
    <x v="4"/>
    <n v="-2.6693672376371511"/>
    <n v="0.54644476446835677"/>
  </r>
  <r>
    <x v="4"/>
    <n v="-2.0670503185883602"/>
    <n v="0.41318683633122649"/>
  </r>
  <r>
    <x v="4"/>
    <n v="5.1253951469858086"/>
    <n v="0.49507328748030371"/>
  </r>
  <r>
    <x v="4"/>
    <n v="-1.9106780677456161"/>
    <n v="0.38861666717650928"/>
  </r>
  <r>
    <x v="4"/>
    <n v="-4.3380368186383844"/>
    <n v="0.52528544664079668"/>
  </r>
  <r>
    <x v="4"/>
    <n v="4.221813267361572"/>
    <n v="0.59529622921894798"/>
  </r>
  <r>
    <x v="4"/>
    <n v="5.6713539716436099"/>
    <n v="0.81618489217664858"/>
  </r>
  <r>
    <x v="4"/>
    <n v="0.87435407856128888"/>
    <n v="0.13939834915146149"/>
  </r>
  <r>
    <x v="4"/>
    <n v="-3.3366234062581941"/>
    <n v="0.24638540345356849"/>
  </r>
  <r>
    <x v="4"/>
    <n v="1.806037002924634"/>
    <n v="0.93425399770073236"/>
  </r>
  <r>
    <x v="4"/>
    <n v="1.5056967467517881"/>
    <n v="0.7960755495187013"/>
  </r>
  <r>
    <x v="4"/>
    <n v="2.1295232586751691"/>
    <n v="0.25494149402139399"/>
  </r>
  <r>
    <x v="4"/>
    <n v="1.247358907182025"/>
    <n v="0.46643423991917787"/>
  </r>
  <r>
    <x v="4"/>
    <n v="-3.3458078898459052"/>
    <n v="0.79241537964468156"/>
  </r>
  <r>
    <x v="4"/>
    <n v="1.669095387648885"/>
    <n v="0.1304210889068497"/>
  </r>
  <r>
    <x v="4"/>
    <n v="1.912883925896667"/>
    <n v="0.25219406014368551"/>
  </r>
  <r>
    <x v="4"/>
    <n v="-2.740974263134011"/>
    <n v="0.15383559011563189"/>
  </r>
  <r>
    <x v="4"/>
    <n v="-2.5616072755166912"/>
    <n v="0.30349608001371869"/>
  </r>
  <r>
    <x v="4"/>
    <n v="3.64343463355564"/>
    <n v="0.1192093376137723"/>
  </r>
  <r>
    <x v="4"/>
    <n v="-1.9233400183041161"/>
    <n v="0.20779136981902099"/>
  </r>
  <r>
    <x v="4"/>
    <n v="5.7109314564582991"/>
    <n v="0.28070261930077622"/>
  </r>
  <r>
    <x v="4"/>
    <n v="2.471743068988896"/>
    <n v="0.92948158652986834"/>
  </r>
  <r>
    <x v="4"/>
    <n v="-3.101419944375444"/>
    <n v="0.3885011523872004"/>
  </r>
  <r>
    <x v="4"/>
    <n v="2.1158664032526819"/>
    <n v="0.35397557954965891"/>
  </r>
  <r>
    <x v="4"/>
    <n v="2.1275413104731848"/>
    <n v="0.67250802584224512"/>
  </r>
  <r>
    <x v="4"/>
    <n v="4.4147969578487336"/>
    <n v="0.92366180927910158"/>
  </r>
  <r>
    <x v="4"/>
    <n v="0.9993727479983977"/>
    <n v="0.1322829447055649"/>
  </r>
  <r>
    <x v="4"/>
    <n v="1.4676175818530111"/>
    <n v="0.60240763309890277"/>
  </r>
  <r>
    <x v="4"/>
    <n v="-3.4993543395315472"/>
    <n v="0.72601770791125975"/>
  </r>
  <r>
    <x v="4"/>
    <n v="-3.4610209919401922"/>
    <n v="0.85070183091983609"/>
  </r>
  <r>
    <x v="4"/>
    <n v="-3.2836561033790921"/>
    <n v="0.3924030271803659"/>
  </r>
  <r>
    <x v="4"/>
    <n v="-1.9622351626360961"/>
    <n v="0.22935240254124639"/>
  </r>
  <r>
    <x v="4"/>
    <n v="-1.4967734229191001"/>
    <n v="0.54298250440673823"/>
  </r>
  <r>
    <x v="4"/>
    <n v="-4.0717224865513844"/>
    <n v="0.8951374050705958"/>
  </r>
  <r>
    <x v="4"/>
    <n v="-1.0552788552238059"/>
    <n v="0.2364424124269455"/>
  </r>
  <r>
    <x v="4"/>
    <n v="2.0897555139899628"/>
    <n v="0.50267152671410242"/>
  </r>
  <r>
    <x v="4"/>
    <n v="2.2256329795251029"/>
    <n v="0.83440471082587475"/>
  </r>
  <r>
    <x v="4"/>
    <n v="1.1160195872013161"/>
    <n v="0.42773429932738999"/>
  </r>
  <r>
    <x v="4"/>
    <n v="2.164669276126117"/>
    <n v="0.26821316439900922"/>
  </r>
  <r>
    <x v="4"/>
    <n v="1.689982466206116"/>
    <n v="0.19513326784232321"/>
  </r>
  <r>
    <x v="4"/>
    <n v="1.2523222216592651"/>
    <n v="0.1000450754234999"/>
  </r>
  <r>
    <x v="4"/>
    <n v="3.891025323394969"/>
    <n v="0.68576777898227115"/>
  </r>
  <r>
    <x v="4"/>
    <n v="-1.067635886968276"/>
    <n v="0.86655857869174824"/>
  </r>
  <r>
    <x v="4"/>
    <n v="-1.4367319369574321"/>
    <n v="0.65469998820211983"/>
  </r>
  <r>
    <x v="4"/>
    <n v="-2.5080888775867232"/>
    <n v="0.34793509357718172"/>
  </r>
  <r>
    <x v="4"/>
    <n v="-2.587809893826396"/>
    <n v="0.1089686379392189"/>
  </r>
  <r>
    <x v="4"/>
    <n v="2.1502914008274101"/>
    <n v="0.48663727550552088"/>
  </r>
  <r>
    <x v="4"/>
    <n v="3.7760389527069149"/>
    <n v="0.70372975816672356"/>
  </r>
  <r>
    <x v="4"/>
    <n v="1.1117872621937059"/>
    <n v="0.72306967803544064"/>
  </r>
  <r>
    <x v="4"/>
    <n v="8.0323881681884686"/>
    <n v="0.84362216814941771"/>
  </r>
  <r>
    <x v="4"/>
    <n v="-0.92221099841495136"/>
    <n v="0.22522084232072309"/>
  </r>
  <r>
    <x v="4"/>
    <n v="1.659149954922347"/>
    <n v="0.63601653754895393"/>
  </r>
  <r>
    <x v="4"/>
    <n v="-3.182258334402043"/>
    <n v="0.96724011899471685"/>
  </r>
  <r>
    <x v="4"/>
    <n v="1.433974066793833"/>
    <n v="0.76946225597381357"/>
  </r>
  <r>
    <x v="4"/>
    <n v="-3.9092935752510578"/>
    <n v="0.57852574224514441"/>
  </r>
  <r>
    <x v="4"/>
    <n v="1.09877707987258"/>
    <n v="0.96526539046505389"/>
  </r>
  <r>
    <x v="4"/>
    <n v="-3.3740940652783449"/>
    <n v="0.99035256236056901"/>
  </r>
  <r>
    <x v="4"/>
    <n v="-2.735050885622174"/>
    <n v="0.42578094499293179"/>
  </r>
  <r>
    <x v="4"/>
    <n v="-1.2506517545089459"/>
    <n v="0.96690021995709474"/>
  </r>
  <r>
    <x v="4"/>
    <n v="-3.1110370414801261"/>
    <n v="0.84735875113702974"/>
  </r>
  <r>
    <x v="4"/>
    <n v="-2.5561754175663709"/>
    <n v="0.1850378219080894"/>
  </r>
  <r>
    <x v="4"/>
    <n v="1.600160174125409"/>
    <n v="0.67582937002005616"/>
  </r>
  <r>
    <x v="4"/>
    <n v="1.206592419056034"/>
    <n v="0.84972860740667733"/>
  </r>
  <r>
    <x v="4"/>
    <n v="-3.9306981582156268"/>
    <n v="0.92867123352724268"/>
  </r>
  <r>
    <x v="5"/>
    <n v="-3.67659214588044"/>
    <n v="0.99696668917794118"/>
  </r>
  <r>
    <x v="5"/>
    <n v="-0.75233803455089909"/>
    <n v="0.17826894991460529"/>
  </r>
  <r>
    <x v="5"/>
    <n v="-1.7129890925390709"/>
    <n v="0.1184825353029758"/>
  </r>
  <r>
    <x v="5"/>
    <n v="-1.5687975156010661"/>
    <n v="0.41318683633122649"/>
  </r>
  <r>
    <x v="5"/>
    <n v="-1.9975704633239439"/>
    <n v="0.52528544664079668"/>
  </r>
  <r>
    <x v="5"/>
    <n v="0.80291245765880781"/>
    <n v="0.45483383074542522"/>
  </r>
  <r>
    <x v="5"/>
    <n v="2.4494442411844868"/>
    <n v="0.81618489217664858"/>
  </r>
  <r>
    <x v="5"/>
    <n v="-0.68184134347409908"/>
    <n v="0.13939834915146149"/>
  </r>
  <r>
    <x v="5"/>
    <n v="-1.5868430017176789"/>
    <n v="0.24638540345356849"/>
  </r>
  <r>
    <x v="5"/>
    <n v="-3.3971217230658199"/>
    <n v="0.56996931103138504"/>
  </r>
  <r>
    <x v="5"/>
    <n v="-2.3139624241295889"/>
    <n v="0.71053418806234436"/>
  </r>
  <r>
    <x v="5"/>
    <n v="-0.98274913440982825"/>
    <n v="0.46643423991917787"/>
  </r>
  <r>
    <x v="5"/>
    <n v="-1.887508952129956"/>
    <n v="0.20311040955114479"/>
  </r>
  <r>
    <x v="5"/>
    <n v="-1.8971068269744671"/>
    <n v="0.15383559011563189"/>
  </r>
  <r>
    <x v="5"/>
    <n v="2.131185271553715"/>
    <n v="0.1192093376137723"/>
  </r>
  <r>
    <x v="5"/>
    <n v="-2.8547383922917069"/>
    <n v="0.35471954646808929"/>
  </r>
  <r>
    <x v="5"/>
    <n v="0.78398315001304442"/>
    <n v="0.40433955316321268"/>
  </r>
  <r>
    <x v="5"/>
    <n v="2.6243257885800322"/>
    <n v="0.92948158652986834"/>
  </r>
  <r>
    <x v="5"/>
    <n v="1.457838700303298"/>
    <n v="0.35397557954965891"/>
  </r>
  <r>
    <x v="5"/>
    <n v="1.7790576048985629"/>
    <n v="0.92366180927910158"/>
  </r>
  <r>
    <x v="5"/>
    <n v="1.6992493701738289"/>
    <n v="0.44835388907017598"/>
  </r>
  <r>
    <x v="5"/>
    <n v="-0.87713752912501552"/>
    <n v="0.1322829447055649"/>
  </r>
  <r>
    <x v="5"/>
    <n v="-3.071232862873968"/>
    <n v="0.54298250440673823"/>
  </r>
  <r>
    <x v="5"/>
    <n v="-1.4163890424090451"/>
    <n v="0.98296832098831999"/>
  </r>
  <r>
    <x v="5"/>
    <n v="-3.73363461626065"/>
    <n v="0.2364424124269455"/>
  </r>
  <r>
    <x v="5"/>
    <n v="1.519387790181109"/>
    <n v="0.1010331424755098"/>
  </r>
  <r>
    <x v="5"/>
    <n v="2.6063924597651611"/>
    <n v="0.77288106209373775"/>
  </r>
  <r>
    <x v="5"/>
    <n v="2.3511753135305038"/>
    <n v="0.83440471082587475"/>
  </r>
  <r>
    <x v="5"/>
    <n v="-1.839364613331046"/>
    <n v="0.42773429932738999"/>
  </r>
  <r>
    <x v="5"/>
    <n v="2.1302915643808591"/>
    <n v="0.61717013705295098"/>
  </r>
  <r>
    <x v="5"/>
    <n v="-2.0316330743377549"/>
    <n v="0.1749443239595754"/>
  </r>
  <r>
    <x v="5"/>
    <n v="-3.5345529869705552"/>
    <n v="0.86655857869174824"/>
  </r>
  <r>
    <x v="5"/>
    <n v="-2.9817457107622021"/>
    <n v="0.65469998820211983"/>
  </r>
  <r>
    <x v="5"/>
    <n v="-1.6459143377110059"/>
    <n v="0.34793509357718172"/>
  </r>
  <r>
    <x v="5"/>
    <n v="-1.3343012070466791"/>
    <n v="0.1089686379392189"/>
  </r>
  <r>
    <x v="5"/>
    <n v="-2.483819302921678"/>
    <n v="0.87576732752300213"/>
  </r>
  <r>
    <x v="5"/>
    <n v="-3.0507237884645639"/>
    <n v="0.51882396988385682"/>
  </r>
  <r>
    <x v="5"/>
    <n v="-2.134654388387986"/>
    <n v="0.1236564146965753"/>
  </r>
  <r>
    <x v="5"/>
    <n v="2.7151484083429129"/>
    <n v="0.26488058793287189"/>
  </r>
  <r>
    <x v="5"/>
    <n v="-0.70456406784123515"/>
    <n v="0.72306967803544064"/>
  </r>
  <r>
    <x v="5"/>
    <n v="-5.7829556296621742"/>
    <n v="0.78980888511177938"/>
  </r>
  <r>
    <x v="5"/>
    <n v="-3.322085199315179"/>
    <n v="0.59667636451878903"/>
  </r>
  <r>
    <x v="5"/>
    <n v="-3.3568277979685321"/>
    <n v="0.22522084232072309"/>
  </r>
  <r>
    <x v="5"/>
    <n v="-2.711690424912633"/>
    <n v="0.93273414114997388"/>
  </r>
  <r>
    <x v="5"/>
    <n v="2.7675681642708989"/>
    <n v="0.1079884377822322"/>
  </r>
  <r>
    <x v="5"/>
    <n v="-3.8774023670226239"/>
    <n v="0.99475080767461654"/>
  </r>
  <r>
    <x v="5"/>
    <n v="-4.6237463375664074"/>
    <n v="0.1200003797312796"/>
  </r>
  <r>
    <x v="5"/>
    <n v="-2.9011474490714049"/>
    <n v="0.99142877280429653"/>
  </r>
  <r>
    <x v="5"/>
    <n v="-1.776864754107673"/>
    <n v="0.57852574224514441"/>
  </r>
  <r>
    <x v="5"/>
    <n v="-2.446767602336235"/>
    <n v="0.59400519878475677"/>
  </r>
  <r>
    <x v="5"/>
    <n v="-1.8071652371020051"/>
    <n v="0.42578094499293179"/>
  </r>
  <r>
    <x v="5"/>
    <n v="-3.991185691620772"/>
    <n v="0.96690021995709474"/>
  </r>
  <r>
    <x v="5"/>
    <n v="-4.1776959938453304"/>
    <n v="0.68064192853901861"/>
  </r>
  <r>
    <x v="5"/>
    <n v="-1.2209094869000181"/>
    <n v="0.1850378219080894"/>
  </r>
  <r>
    <x v="5"/>
    <n v="-1.0232208618729219"/>
    <n v="0.84972860740667733"/>
  </r>
  <r>
    <x v="6"/>
    <n v="-2.058200867080894"/>
    <n v="0.3056650509059145"/>
  </r>
  <r>
    <x v="6"/>
    <n v="-2.5826898752123819"/>
    <n v="0.54644476446835677"/>
  </r>
  <r>
    <x v="6"/>
    <n v="0.76649361341592614"/>
    <n v="0.45541967084629342"/>
  </r>
  <r>
    <x v="6"/>
    <n v="2.4983834554146069"/>
    <n v="0.49507328748030371"/>
  </r>
  <r>
    <x v="6"/>
    <n v="-1.9704719784599609"/>
    <n v="0.38861666717650928"/>
  </r>
  <r>
    <x v="6"/>
    <n v="-2.0142065437827101"/>
    <n v="0.45483383074542522"/>
  </r>
  <r>
    <x v="6"/>
    <n v="3.9020666153238008"/>
    <n v="0.56996931103138504"/>
  </r>
  <r>
    <x v="6"/>
    <n v="-1.924612288090312"/>
    <n v="0.7960755495187013"/>
  </r>
  <r>
    <x v="6"/>
    <n v="-1.6011070173768649"/>
    <n v="0.25494149402139399"/>
  </r>
  <r>
    <x v="6"/>
    <n v="-0.93414647445689636"/>
    <n v="0.1304210889068497"/>
  </r>
  <r>
    <x v="6"/>
    <n v="-1.822426226626626"/>
    <n v="0.25219406014368551"/>
  </r>
  <r>
    <x v="6"/>
    <n v="-1.9548918620467799"/>
    <n v="0.24155574839601629"/>
  </r>
  <r>
    <x v="6"/>
    <n v="-2.6897908879972041"/>
    <n v="0.31548093049619752"/>
  </r>
  <r>
    <x v="6"/>
    <n v="0.76734677898000647"/>
    <n v="0.1158538748540241"/>
  </r>
  <r>
    <x v="6"/>
    <n v="-2.6043127192123752"/>
    <n v="0.30349608001371869"/>
  </r>
  <r>
    <x v="6"/>
    <n v="-3.760884080662247"/>
    <n v="0.76150808817919846"/>
  </r>
  <r>
    <x v="6"/>
    <n v="-2.1348707032685512"/>
    <n v="0.20779136981902099"/>
  </r>
  <r>
    <x v="6"/>
    <n v="1.4176796081305161"/>
    <n v="0.28070261930077622"/>
  </r>
  <r>
    <x v="6"/>
    <n v="-2.036522245919056"/>
    <n v="0.40433955316321268"/>
  </r>
  <r>
    <x v="6"/>
    <n v="-3.0603521708761598"/>
    <n v="0.92948158652986834"/>
  </r>
  <r>
    <x v="6"/>
    <n v="-2.862050089736258"/>
    <n v="0.3885011523872004"/>
  </r>
  <r>
    <x v="6"/>
    <n v="-2.1259300532170591"/>
    <n v="0.35397557954965891"/>
  </r>
  <r>
    <x v="6"/>
    <n v="0.85423822223108203"/>
    <n v="0.1705724192823794"/>
  </r>
  <r>
    <x v="6"/>
    <n v="-1.006542556117044"/>
    <n v="0.67250802584224512"/>
  </r>
  <r>
    <x v="6"/>
    <n v="-3.2948336817533859"/>
    <n v="0.44835388907017598"/>
  </r>
  <r>
    <x v="6"/>
    <n v="-3.30235845230388"/>
    <n v="0.41291969695462732"/>
  </r>
  <r>
    <x v="6"/>
    <n v="-0.68778627951620841"/>
    <n v="0.60240763309890277"/>
  </r>
  <r>
    <x v="6"/>
    <n v="-1.783324851501189"/>
    <n v="0.72601770791125975"/>
  </r>
  <r>
    <x v="6"/>
    <n v="-1.3947119462253461"/>
    <n v="0.85070183091983609"/>
  </r>
  <r>
    <x v="6"/>
    <n v="-3.072575797151063"/>
    <n v="0.3924030271803659"/>
  </r>
  <r>
    <x v="6"/>
    <n v="-2.0359037723943829"/>
    <n v="0.22935240254124639"/>
  </r>
  <r>
    <x v="6"/>
    <n v="0.49360769906571877"/>
    <n v="0.20949723418173821"/>
  </r>
  <r>
    <x v="6"/>
    <n v="2.6637124176740539"/>
    <n v="0.54298250440673823"/>
  </r>
  <r>
    <x v="6"/>
    <n v="0.39278356726217051"/>
    <n v="0.7506286660757433"/>
  </r>
  <r>
    <x v="6"/>
    <n v="0.43272183158170158"/>
    <n v="0.20400464726331169"/>
  </r>
  <r>
    <x v="6"/>
    <n v="2.033062810831781"/>
    <n v="0.2364424124269455"/>
  </r>
  <r>
    <x v="6"/>
    <n v="-2.8468984518997931"/>
    <n v="0.1010331424755098"/>
  </r>
  <r>
    <x v="6"/>
    <n v="-2.518675388326761"/>
    <n v="0.50267152671410242"/>
  </r>
  <r>
    <x v="6"/>
    <n v="-5.814523110402825"/>
    <n v="0.77288106209373775"/>
  </r>
  <r>
    <x v="6"/>
    <n v="-2.914814806996294"/>
    <n v="0.83440471082587475"/>
  </r>
  <r>
    <x v="6"/>
    <n v="-5.1483644666520796"/>
    <n v="0.61717013705295098"/>
  </r>
  <r>
    <x v="6"/>
    <n v="-1.1566943026028209"/>
    <n v="0.26821316439900922"/>
  </r>
  <r>
    <x v="6"/>
    <n v="0.82511072963327847"/>
    <n v="0.43627892152177872"/>
  </r>
  <r>
    <x v="6"/>
    <n v="-1.974070672356133"/>
    <n v="0.19513326784232321"/>
  </r>
  <r>
    <x v="6"/>
    <n v="-1.8667268018982699"/>
    <n v="0.74244149323312658"/>
  </r>
  <r>
    <x v="6"/>
    <n v="0.81098607483515062"/>
    <n v="0.18887930360487901"/>
  </r>
  <r>
    <x v="6"/>
    <n v="2.038945219585274"/>
    <n v="0.86655857869174824"/>
  </r>
  <r>
    <x v="6"/>
    <n v="2.5777373734875741"/>
    <n v="0.65469998820211983"/>
  </r>
  <r>
    <x v="6"/>
    <n v="0.45126854917551468"/>
    <n v="0.80244896685013978"/>
  </r>
  <r>
    <x v="6"/>
    <n v="-2.0765820205605712"/>
    <n v="0.93008937672037084"/>
  </r>
  <r>
    <x v="6"/>
    <n v="-2.265138693038558"/>
    <n v="0.48663727550552088"/>
  </r>
  <r>
    <x v="6"/>
    <n v="-1.916390778113066"/>
    <n v="0.68096930218422058"/>
  </r>
  <r>
    <x v="6"/>
    <n v="0.86876845738674346"/>
    <n v="0.51882396988385682"/>
  </r>
  <r>
    <x v="6"/>
    <n v="-5.2540902808404972"/>
    <n v="0.26488058793287189"/>
  </r>
  <r>
    <x v="6"/>
    <n v="6.2043676731075124"/>
    <n v="0.84362216814941771"/>
  </r>
  <r>
    <x v="6"/>
    <n v="5.9597465098419313"/>
    <n v="0.78980888511177938"/>
  </r>
  <r>
    <x v="6"/>
    <n v="-3.0739901205946292"/>
    <n v="0.756197264055957"/>
  </r>
  <r>
    <x v="6"/>
    <n v="0.97753148467450646"/>
    <n v="0.59667636451878903"/>
  </r>
  <r>
    <x v="6"/>
    <n v="1.7820160169415951"/>
    <n v="0.22522084232072309"/>
  </r>
  <r>
    <x v="6"/>
    <n v="-4.6156937103161484"/>
    <n v="0.1079884377822322"/>
  </r>
  <r>
    <x v="6"/>
    <n v="-2.0037270651334129"/>
    <n v="0.23641414744620209"/>
  </r>
  <r>
    <x v="6"/>
    <n v="-0.89482236305720586"/>
    <n v="0.63601653754895393"/>
  </r>
  <r>
    <x v="6"/>
    <n v="4.5083678965988074"/>
    <n v="0.1200003797312796"/>
  </r>
  <r>
    <x v="6"/>
    <n v="-2.7637772729551551"/>
    <n v="0.32853801032222513"/>
  </r>
  <r>
    <x v="6"/>
    <n v="-2.8347903831453269"/>
    <n v="0.96724011899471685"/>
  </r>
  <r>
    <x v="6"/>
    <n v="2.2157160726498861"/>
    <n v="0.99142877280429653"/>
  </r>
  <r>
    <x v="6"/>
    <n v="-3.0458407714993498"/>
    <n v="0.99035256236056901"/>
  </r>
  <r>
    <x v="6"/>
    <n v="0.81278543007098603"/>
    <n v="0.1073546372966605"/>
  </r>
  <r>
    <x v="6"/>
    <n v="2.3818903552689461"/>
    <n v="0.96690021995709474"/>
  </r>
  <r>
    <x v="6"/>
    <n v="4.9038310821157696"/>
    <n v="0.68064192853901861"/>
  </r>
  <r>
    <x v="6"/>
    <n v="-1.645986644176781"/>
    <n v="0.84735875113702974"/>
  </r>
  <r>
    <x v="6"/>
    <n v="-0.86743505966503698"/>
    <n v="0.67582937002005616"/>
  </r>
  <r>
    <x v="6"/>
    <n v="-2.9325941145249641"/>
    <n v="0.71871414594590854"/>
  </r>
  <r>
    <x v="6"/>
    <n v="-1.4892148595936261"/>
    <n v="0.92867123352724268"/>
  </r>
  <r>
    <x v="7"/>
    <n v="3.027895043816923"/>
    <n v="0.99696668917794118"/>
  </r>
  <r>
    <x v="7"/>
    <n v="-1.4279103745033179"/>
    <n v="0.3056650509059145"/>
  </r>
  <r>
    <x v="7"/>
    <n v="0.97612179714258906"/>
    <n v="0.41318683633122649"/>
  </r>
  <r>
    <x v="7"/>
    <n v="-1.3649401393591409"/>
    <n v="0.38861666717650928"/>
  </r>
  <r>
    <x v="7"/>
    <n v="2.4067440019626538"/>
    <n v="0.52528544664079668"/>
  </r>
  <r>
    <x v="7"/>
    <n v="-1.228084811350366"/>
    <n v="0.45483383074542522"/>
  </r>
  <r>
    <x v="7"/>
    <n v="-1.4048866553675461"/>
    <n v="0.59529622921894798"/>
  </r>
  <r>
    <x v="7"/>
    <n v="1.541442802781857"/>
    <n v="0.1899297237265645"/>
  </r>
  <r>
    <x v="7"/>
    <n v="-1.70524204254713"/>
    <n v="0.71053418806234436"/>
  </r>
  <r>
    <x v="7"/>
    <n v="2.111281252782597"/>
    <n v="0.7960755495187013"/>
  </r>
  <r>
    <x v="7"/>
    <n v="-3.601884332604151"/>
    <n v="0.21869162198824671"/>
  </r>
  <r>
    <x v="7"/>
    <n v="0.90521508836895459"/>
    <n v="0.25219406014368551"/>
  </r>
  <r>
    <x v="7"/>
    <n v="0.95595086808616825"/>
    <n v="0.31548093049619752"/>
  </r>
  <r>
    <x v="7"/>
    <n v="1.957506674704691"/>
    <n v="0.76150808817919846"/>
  </r>
  <r>
    <x v="7"/>
    <n v="-3.569380229196748"/>
    <n v="0.20296775667489009"/>
  </r>
  <r>
    <x v="7"/>
    <n v="-1.466259228665149"/>
    <n v="0.20779136981902099"/>
  </r>
  <r>
    <x v="7"/>
    <n v="1.7674540055336601"/>
    <n v="0.35471954646808929"/>
  </r>
  <r>
    <x v="7"/>
    <n v="-1.2467727503342529"/>
    <n v="0.40433955316321268"/>
  </r>
  <r>
    <x v="7"/>
    <n v="2.1465497631064498"/>
    <n v="0.92948158652986834"/>
  </r>
  <r>
    <x v="7"/>
    <n v="2.3418118111130179"/>
    <n v="0.3885011523872004"/>
  </r>
  <r>
    <x v="7"/>
    <n v="0.92794735973057674"/>
    <n v="0.35397557954965891"/>
  </r>
  <r>
    <x v="7"/>
    <n v="2.2984117854619841"/>
    <n v="0.92366180927910158"/>
  </r>
  <r>
    <x v="7"/>
    <n v="1.5738110794135181"/>
    <n v="0.44835388907017598"/>
  </r>
  <r>
    <x v="7"/>
    <n v="-1.2091351932073"/>
    <n v="0.1322829447055649"/>
  </r>
  <r>
    <x v="7"/>
    <n v="3.3060535291409718"/>
    <n v="0.60240763309890277"/>
  </r>
  <r>
    <x v="7"/>
    <n v="0.79754736305857676"/>
    <n v="0.85070183091983609"/>
  </r>
  <r>
    <x v="7"/>
    <n v="2.5158000051623879"/>
    <n v="0.3924030271803659"/>
  </r>
  <r>
    <x v="7"/>
    <n v="-1.3995799144225149"/>
    <n v="0.22935240254124639"/>
  </r>
  <r>
    <x v="7"/>
    <n v="1.400105364595452"/>
    <n v="0.20949723418173821"/>
  </r>
  <r>
    <x v="7"/>
    <n v="1.191343592476984"/>
    <n v="0.7506286660757433"/>
  </r>
  <r>
    <x v="7"/>
    <n v="5.3779634491501076"/>
    <n v="0.98296832098831999"/>
  </r>
  <r>
    <x v="7"/>
    <n v="1.2449408257617081"/>
    <n v="0.20400464726331169"/>
  </r>
  <r>
    <x v="7"/>
    <n v="1.4801071066238149"/>
    <n v="0.2364424124269455"/>
  </r>
  <r>
    <x v="7"/>
    <n v="3.7497859274602598"/>
    <n v="0.42773429932738999"/>
  </r>
  <r>
    <x v="7"/>
    <n v="0.65166039549449772"/>
    <n v="0.61717013705295098"/>
  </r>
  <r>
    <x v="7"/>
    <n v="-1.1344672831837139"/>
    <n v="0.26821316439900922"/>
  </r>
  <r>
    <x v="7"/>
    <n v="1.655651700324279"/>
    <n v="0.19513326784232321"/>
  </r>
  <r>
    <x v="7"/>
    <n v="-2.157348934664773"/>
    <n v="0.1000450754234999"/>
  </r>
  <r>
    <x v="7"/>
    <n v="2.3128227093848399"/>
    <n v="0.68576777898227115"/>
  </r>
  <r>
    <x v="7"/>
    <n v="-3.6114253000889369"/>
    <n v="0.1638220643998623"/>
  </r>
  <r>
    <x v="7"/>
    <n v="1.2670722198883531"/>
    <n v="0.86655857869174824"/>
  </r>
  <r>
    <x v="7"/>
    <n v="1.3429726275456839"/>
    <n v="0.80244896685013978"/>
  </r>
  <r>
    <x v="7"/>
    <n v="-1.0394991208626549"/>
    <n v="0.1089686379392189"/>
  </r>
  <r>
    <x v="7"/>
    <n v="3.5200304194460852"/>
    <n v="0.93008937672037084"/>
  </r>
  <r>
    <x v="7"/>
    <n v="1.321370033003173"/>
    <n v="0.51882396988385682"/>
  </r>
  <r>
    <x v="7"/>
    <n v="4.2131709565250031"/>
    <n v="0.72306967803544064"/>
  </r>
  <r>
    <x v="7"/>
    <n v="1.500985602958101"/>
    <n v="0.59667636451878903"/>
  </r>
  <r>
    <x v="7"/>
    <n v="1.2737032781306989"/>
    <n v="0.22522084232072309"/>
  </r>
  <r>
    <x v="7"/>
    <n v="3.2209295792421262"/>
    <n v="0.99475080767461654"/>
  </r>
  <r>
    <x v="7"/>
    <n v="1.011493611075871"/>
    <n v="0.32853801032222513"/>
  </r>
  <r>
    <x v="7"/>
    <n v="2.173506726738748"/>
    <n v="0.96724011899471685"/>
  </r>
  <r>
    <x v="7"/>
    <n v="-2.5629953364310758"/>
    <n v="0.76946225597381357"/>
  </r>
  <r>
    <x v="7"/>
    <n v="7.3893931669528206"/>
    <n v="0.99142877280429653"/>
  </r>
  <r>
    <x v="7"/>
    <n v="2.0644200499947809"/>
    <n v="0.57852574224514441"/>
  </r>
  <r>
    <x v="7"/>
    <n v="-1.761794199652803"/>
    <n v="0.59400519878475677"/>
  </r>
  <r>
    <x v="7"/>
    <n v="4.5361586050482199"/>
    <n v="0.96526539046505389"/>
  </r>
  <r>
    <x v="7"/>
    <n v="2.3335692514935902"/>
    <n v="0.99035256236056901"/>
  </r>
  <r>
    <x v="7"/>
    <n v="-3.6412835687649689"/>
    <n v="0.181922126752776"/>
  </r>
  <r>
    <x v="7"/>
    <n v="1.4949518308740919"/>
    <n v="0.96690021995709474"/>
  </r>
  <r>
    <x v="7"/>
    <n v="-2.1223877766152839"/>
    <n v="0.17383620142765499"/>
  </r>
  <r>
    <x v="7"/>
    <n v="-0.98055729718203322"/>
    <n v="0.1850378219080894"/>
  </r>
  <r>
    <x v="7"/>
    <n v="-0.72911203510825306"/>
    <n v="0.84972860740667733"/>
  </r>
  <r>
    <x v="7"/>
    <n v="0.96009794132486714"/>
    <n v="0.92867123352724268"/>
  </r>
  <r>
    <x v="8"/>
    <n v="3.5885753933825688"/>
    <n v="0.99696668917794118"/>
  </r>
  <r>
    <x v="8"/>
    <n v="-2.35420734255933"/>
    <n v="0.22870846034528461"/>
  </r>
  <r>
    <x v="8"/>
    <n v="-2.5946221247782688"/>
    <n v="0.17826894991460529"/>
  </r>
  <r>
    <x v="8"/>
    <n v="1.1384375600764041"/>
    <n v="0.54644476446835677"/>
  </r>
  <r>
    <x v="8"/>
    <n v="-2.0450744340448379"/>
    <n v="0.45541967084629342"/>
  </r>
  <r>
    <x v="8"/>
    <n v="-2.4999934196170162"/>
    <n v="0.49507328748030371"/>
  </r>
  <r>
    <x v="8"/>
    <n v="2.5207870672035368"/>
    <n v="0.52528544664079668"/>
  </r>
  <r>
    <x v="8"/>
    <n v="-2.372677319630569"/>
    <n v="0.13939834915146149"/>
  </r>
  <r>
    <x v="8"/>
    <n v="0.80512602415322365"/>
    <n v="0.24638540345356849"/>
  </r>
  <r>
    <x v="8"/>
    <n v="-2.658774561154289"/>
    <n v="0.56996931103138504"/>
  </r>
  <r>
    <x v="8"/>
    <n v="-5.510845123921702"/>
    <n v="0.93425399770073236"/>
  </r>
  <r>
    <x v="8"/>
    <n v="2.771611635050065"/>
    <n v="0.7960755495187013"/>
  </r>
  <r>
    <x v="8"/>
    <n v="-1.873183257526883"/>
    <n v="0.25494149402139399"/>
  </r>
  <r>
    <x v="8"/>
    <n v="-3.2551188328708118"/>
    <n v="0.46643423991917787"/>
  </r>
  <r>
    <x v="8"/>
    <n v="-2.2086709541321712"/>
    <n v="0.21869162198824671"/>
  </r>
  <r>
    <x v="8"/>
    <n v="-1.644301265285673"/>
    <n v="0.79241537964468156"/>
  </r>
  <r>
    <x v="8"/>
    <n v="-1.0601096578564271"/>
    <n v="0.21844847365283029"/>
  </r>
  <r>
    <x v="8"/>
    <n v="-2.1955847564244468"/>
    <n v="0.1304210889068497"/>
  </r>
  <r>
    <x v="8"/>
    <n v="-1.650710180813753"/>
    <n v="0.24155574839601629"/>
  </r>
  <r>
    <x v="8"/>
    <n v="-2.0100822810442902"/>
    <n v="0.1158538748540241"/>
  </r>
  <r>
    <x v="8"/>
    <n v="1.118769237513398"/>
    <n v="0.30349608001371869"/>
  </r>
  <r>
    <x v="8"/>
    <n v="2.8273040203171722"/>
    <n v="0.76150808817919846"/>
  </r>
  <r>
    <x v="8"/>
    <n v="-2.1791662750212581"/>
    <n v="0.20296775667489009"/>
  </r>
  <r>
    <x v="8"/>
    <n v="3.0413249359702381"/>
    <n v="0.35471954646808929"/>
  </r>
  <r>
    <x v="8"/>
    <n v="2.1027194739648771"/>
    <n v="0.92948158652986834"/>
  </r>
  <r>
    <x v="8"/>
    <n v="2.5893478890830091"/>
    <n v="0.3885011523872004"/>
  </r>
  <r>
    <x v="8"/>
    <n v="-4.5626886846769423"/>
    <n v="0.70283952218119539"/>
  </r>
  <r>
    <x v="8"/>
    <n v="-2.2191618855721842"/>
    <n v="0.1705724192823794"/>
  </r>
  <r>
    <x v="8"/>
    <n v="-3.5637210517804299"/>
    <n v="0.67250802584224512"/>
  </r>
  <r>
    <x v="8"/>
    <n v="1.971062601610565"/>
    <n v="0.92366180927910158"/>
  </r>
  <r>
    <x v="8"/>
    <n v="2.2181882511610622"/>
    <n v="0.44835388907017598"/>
  </r>
  <r>
    <x v="8"/>
    <n v="1.591873501980986"/>
    <n v="0.41291969695462732"/>
  </r>
  <r>
    <x v="8"/>
    <n v="-3.30523354964566"/>
    <n v="0.1322829447055649"/>
  </r>
  <r>
    <x v="8"/>
    <n v="2.7751278147843359"/>
    <n v="0.3924030271803659"/>
  </r>
  <r>
    <x v="8"/>
    <n v="-1.9312549263099179"/>
    <n v="0.54298250440673823"/>
  </r>
  <r>
    <x v="8"/>
    <n v="-1.998229514994738"/>
    <n v="0.8951374050705958"/>
  </r>
  <r>
    <x v="8"/>
    <n v="1.1294706782686541"/>
    <n v="0.1010331424755098"/>
  </r>
  <r>
    <x v="8"/>
    <n v="0.87445351246940628"/>
    <n v="0.50267152671410242"/>
  </r>
  <r>
    <x v="8"/>
    <n v="0.89868083630225193"/>
    <n v="0.83440471082587475"/>
  </r>
  <r>
    <x v="8"/>
    <n v="-4.0655531222762944"/>
    <n v="0.26821316439900922"/>
  </r>
  <r>
    <x v="8"/>
    <n v="-2.2027429210855249"/>
    <n v="0.43627892152177872"/>
  </r>
  <r>
    <x v="8"/>
    <n v="1.5405186137800171"/>
    <n v="0.19513326784232321"/>
  </r>
  <r>
    <x v="8"/>
    <n v="-2.135437859565728"/>
    <n v="0.1978391265072644"/>
  </r>
  <r>
    <x v="8"/>
    <n v="-5.4682309669090436"/>
    <n v="0.1000450754234999"/>
  </r>
  <r>
    <x v="8"/>
    <n v="-1.617296425855224"/>
    <n v="0.74244149323312658"/>
  </r>
  <r>
    <x v="8"/>
    <n v="-2.1050522367290929"/>
    <n v="0.18887930360487901"/>
  </r>
  <r>
    <x v="8"/>
    <n v="2.0837164872305531"/>
    <n v="0.68576777898227115"/>
  </r>
  <r>
    <x v="8"/>
    <n v="-2.1968798874685258"/>
    <n v="0.1638220643998623"/>
  </r>
  <r>
    <x v="8"/>
    <n v="-1.856648489250704"/>
    <n v="0.65469998820211983"/>
  </r>
  <r>
    <x v="8"/>
    <n v="-1.6636720351787311"/>
    <n v="0.68096930218422058"/>
  </r>
  <r>
    <x v="8"/>
    <n v="-2.9607066014470762"/>
    <n v="0.78980888511177938"/>
  </r>
  <r>
    <x v="8"/>
    <n v="3.7742479030274509"/>
    <n v="0.99475080767461654"/>
  </r>
  <r>
    <x v="8"/>
    <n v="-1.695231727327142"/>
    <n v="0.23641414744620209"/>
  </r>
  <r>
    <x v="8"/>
    <n v="-2.2420375551886589"/>
    <n v="0.63601653754895393"/>
  </r>
  <r>
    <x v="8"/>
    <n v="-2.4666828095300288"/>
    <n v="0.1200003797312796"/>
  </r>
  <r>
    <x v="8"/>
    <n v="2.510024995788934"/>
    <n v="0.96724011899471685"/>
  </r>
  <r>
    <x v="8"/>
    <n v="-6.1170460512076534"/>
    <n v="0.76946225597381357"/>
  </r>
  <r>
    <x v="8"/>
    <n v="2.2477393035365778"/>
    <n v="0.57852574224514441"/>
  </r>
  <r>
    <x v="8"/>
    <n v="2.689787086175218"/>
    <n v="0.99035256236056901"/>
  </r>
  <r>
    <x v="8"/>
    <n v="-2.2278169207116192"/>
    <n v="0.181922126752776"/>
  </r>
  <r>
    <x v="8"/>
    <n v="-2.1330864018397988"/>
    <n v="0.1073546372966605"/>
  </r>
  <r>
    <x v="8"/>
    <n v="-4.5002722082727651"/>
    <n v="0.17383620142765499"/>
  </r>
  <r>
    <x v="8"/>
    <n v="-3.2150975702835431"/>
    <n v="0.68064192853901861"/>
  </r>
  <r>
    <x v="8"/>
    <n v="-2.1539581733519539"/>
    <n v="0.67582937002005616"/>
  </r>
  <r>
    <x v="8"/>
    <n v="-3.5799803053485082"/>
    <n v="0.84972860740667733"/>
  </r>
  <r>
    <x v="8"/>
    <n v="-1.0987968494390721"/>
    <n v="0.6507664077012254"/>
  </r>
  <r>
    <x v="9"/>
    <n v="-1.0974496881624889"/>
    <n v="0.22870846034528461"/>
  </r>
  <r>
    <x v="9"/>
    <n v="-0.91230769523204946"/>
    <n v="0.17826894991460529"/>
  </r>
  <r>
    <x v="9"/>
    <n v="-1.5474770374231761"/>
    <n v="0.54644476446835677"/>
  </r>
  <r>
    <x v="9"/>
    <n v="-1.4771265743058939"/>
    <n v="0.41318683633122649"/>
  </r>
  <r>
    <x v="9"/>
    <n v="-2.289757017921167"/>
    <n v="0.52528544664079668"/>
  </r>
  <r>
    <x v="9"/>
    <n v="-1.430372237191464"/>
    <n v="0.1899297237265645"/>
  </r>
  <r>
    <x v="9"/>
    <n v="-2.2407267316790609"/>
    <n v="0.24638540345356849"/>
  </r>
  <r>
    <x v="9"/>
    <n v="-1.6754513607867321"/>
    <n v="0.16241031752135329"/>
  </r>
  <r>
    <x v="9"/>
    <n v="-1.342422074640107"/>
    <n v="0.20311040955114479"/>
  </r>
  <r>
    <x v="9"/>
    <n v="-1.5053305904204459"/>
    <n v="0.21844847365283029"/>
  </r>
  <r>
    <x v="9"/>
    <n v="-0.41780856773318448"/>
    <n v="0.1304210889068497"/>
  </r>
  <r>
    <x v="9"/>
    <n v="-2.2806107104968198"/>
    <n v="0.15383559011563189"/>
  </r>
  <r>
    <x v="9"/>
    <n v="-1.618757416401309"/>
    <n v="0.30349608001371869"/>
  </r>
  <r>
    <x v="9"/>
    <n v="-1.6255195757471821"/>
    <n v="0.20779136981902099"/>
  </r>
  <r>
    <x v="9"/>
    <n v="-1.527729352059825"/>
    <n v="0.40433955316321268"/>
  </r>
  <r>
    <x v="9"/>
    <n v="-1.087069619297562"/>
    <n v="0.1705724192823794"/>
  </r>
  <r>
    <x v="9"/>
    <n v="-1.9254692964147031"/>
    <n v="0.72601770791125975"/>
  </r>
  <r>
    <x v="9"/>
    <n v="-1.6330950280561709"/>
    <n v="0.3924030271803659"/>
  </r>
  <r>
    <x v="9"/>
    <n v="-1.5557157298582329"/>
    <n v="0.22935240254124639"/>
  </r>
  <r>
    <x v="9"/>
    <n v="-1.358271247057645"/>
    <n v="0.20949723418173821"/>
  </r>
  <r>
    <x v="9"/>
    <n v="-1.5363650465700609"/>
    <n v="0.54298250440673823"/>
  </r>
  <r>
    <x v="9"/>
    <n v="-2.081104535778135"/>
    <n v="0.8951374050705958"/>
  </r>
  <r>
    <x v="9"/>
    <n v="-1.882465875265199"/>
    <n v="0.2364424124269455"/>
  </r>
  <r>
    <x v="9"/>
    <n v="-1.6771730843449231"/>
    <n v="0.19526767279405"/>
  </r>
  <r>
    <x v="9"/>
    <n v="-1.0898799176862819"/>
    <n v="0.43627892152177872"/>
  </r>
  <r>
    <x v="9"/>
    <n v="-1.588376558964691"/>
    <n v="0.1638220643998623"/>
  </r>
  <r>
    <x v="9"/>
    <n v="-1.3117608546468491"/>
    <n v="0.80244896685013978"/>
  </r>
  <r>
    <x v="9"/>
    <n v="-1.323994948879949"/>
    <n v="0.2583057538052474"/>
  </r>
  <r>
    <x v="9"/>
    <n v="-0.55352382402112255"/>
    <n v="0.68096930218422058"/>
  </r>
  <r>
    <x v="9"/>
    <n v="-1.3718464661703731"/>
    <n v="0.1236564146965753"/>
  </r>
  <r>
    <x v="9"/>
    <n v="0.68219792658801559"/>
    <n v="0.26488058793287189"/>
  </r>
  <r>
    <x v="9"/>
    <n v="-0.96903017080281861"/>
    <n v="0.756197264055957"/>
  </r>
  <r>
    <x v="9"/>
    <n v="-1.484414693075065"/>
    <n v="0.59667636451878903"/>
  </r>
  <r>
    <x v="9"/>
    <n v="-1.677935867221215"/>
    <n v="0.93273414114997388"/>
  </r>
  <r>
    <x v="9"/>
    <n v="-1.230157576539584"/>
    <n v="0.99475080767461654"/>
  </r>
  <r>
    <x v="9"/>
    <n v="-0.52550089711801917"/>
    <n v="0.23641414744620209"/>
  </r>
  <r>
    <x v="9"/>
    <n v="-0.48165201761595139"/>
    <n v="0.63601653754895393"/>
  </r>
  <r>
    <x v="9"/>
    <n v="-0.61902379625556936"/>
    <n v="0.32853801032222513"/>
  </r>
  <r>
    <x v="9"/>
    <n v="-1.918681058644661"/>
    <n v="0.59400519878475677"/>
  </r>
  <r>
    <x v="9"/>
    <n v="-1.5583513617724549"/>
    <n v="0.99035256236056901"/>
  </r>
  <r>
    <x v="9"/>
    <n v="-1.632047850432462"/>
    <n v="0.181922126752776"/>
  </r>
  <r>
    <x v="9"/>
    <n v="-2.1056771566676491"/>
    <n v="0.42578094499293179"/>
  </r>
  <r>
    <x v="9"/>
    <n v="-1.0242315849636621"/>
    <n v="0.1073546372966605"/>
  </r>
  <r>
    <x v="9"/>
    <n v="-1.9803603690131639"/>
    <n v="0.96690021995709474"/>
  </r>
  <r>
    <x v="9"/>
    <n v="-1.987727853356257"/>
    <n v="0.68064192853901861"/>
  </r>
  <r>
    <x v="9"/>
    <n v="-1.415302180733955"/>
    <n v="0.6507664077012254"/>
  </r>
  <r>
    <x v="9"/>
    <n v="-1.8483404018130101"/>
    <n v="0.92867123352724268"/>
  </r>
  <r>
    <x v="10"/>
    <n v="-0.2357474246101339"/>
    <n v="0.22870846034528461"/>
  </r>
  <r>
    <x v="10"/>
    <n v="-0.21854313999542949"/>
    <n v="0.17826894991460529"/>
  </r>
  <r>
    <x v="10"/>
    <n v="-0.21832103798777139"/>
    <n v="0.13939834915146149"/>
  </r>
  <r>
    <x v="10"/>
    <n v="-0.44706341626981078"/>
    <n v="0.93425399770073236"/>
  </r>
  <r>
    <x v="10"/>
    <n v="-0.30240703826270532"/>
    <n v="0.46643423991917787"/>
  </r>
  <r>
    <x v="10"/>
    <n v="-0.45956762010466029"/>
    <n v="0.70283952218119539"/>
  </r>
  <r>
    <x v="10"/>
    <n v="-0.213065450692945"/>
    <n v="0.1705724192823794"/>
  </r>
  <r>
    <x v="10"/>
    <n v="-0.30884379477084989"/>
    <n v="0.67250802584224512"/>
  </r>
  <r>
    <x v="10"/>
    <n v="-0.25379337006433289"/>
    <n v="0.1322829447055649"/>
  </r>
  <r>
    <x v="10"/>
    <n v="-0.28779546337066719"/>
    <n v="0.60240763309890277"/>
  </r>
  <r>
    <x v="10"/>
    <n v="-0.45385839496753949"/>
    <n v="0.98296832098831999"/>
  </r>
  <r>
    <x v="10"/>
    <n v="-0.31025289764972819"/>
    <n v="0.42773429932738999"/>
  </r>
  <r>
    <x v="10"/>
    <n v="-0.22812127442205099"/>
    <n v="0.1978391265072644"/>
  </r>
  <r>
    <x v="10"/>
    <n v="-0.21827705970027511"/>
    <n v="0.74244149323312658"/>
  </r>
  <r>
    <x v="10"/>
    <n v="-0.20946287149178611"/>
    <n v="0.18887930360487901"/>
  </r>
  <r>
    <x v="10"/>
    <n v="-0.35411937455045239"/>
    <n v="0.93008937672037084"/>
  </r>
  <r>
    <x v="10"/>
    <n v="-0.21846709896690511"/>
    <n v="0.68096930218422058"/>
  </r>
  <r>
    <x v="10"/>
    <n v="-0.34728058023226732"/>
    <n v="0.72306967803544064"/>
  </r>
  <r>
    <x v="10"/>
    <n v="-0.20608812183672059"/>
    <n v="0.63601653754895393"/>
  </r>
  <r>
    <x v="10"/>
    <n v="-0.26709523250466949"/>
    <n v="0.1200003797312796"/>
  </r>
  <r>
    <x v="10"/>
    <n v="-0.36015393358388192"/>
    <n v="0.76946225597381357"/>
  </r>
  <r>
    <x v="10"/>
    <n v="-0.56575731660484163"/>
    <n v="0.99142877280429653"/>
  </r>
  <r>
    <x v="10"/>
    <n v="-0.37706060046454049"/>
    <n v="0.96526539046505389"/>
  </r>
  <r>
    <x v="10"/>
    <n v="-0.3485099936262781"/>
    <n v="0.17383620142765499"/>
  </r>
  <r>
    <x v="10"/>
    <n v="-0.20491190142881599"/>
    <n v="0.67582937002005616"/>
  </r>
  <r>
    <x v="10"/>
    <n v="-0.24813344676963059"/>
    <n v="0.84972860740667733"/>
  </r>
  <r>
    <x v="11"/>
    <n v="1.057062595641554"/>
    <n v="0.22870846034528461"/>
  </r>
  <r>
    <x v="11"/>
    <n v="4.2117000407472931"/>
    <n v="0.3056650509059145"/>
  </r>
  <r>
    <x v="11"/>
    <n v="3.575261251577063"/>
    <n v="0.1184825353029758"/>
  </r>
  <r>
    <x v="11"/>
    <n v="5.7153887864091262"/>
    <n v="0.54644476446835677"/>
  </r>
  <r>
    <x v="11"/>
    <n v="2.919188381079183"/>
    <n v="0.41318683633122649"/>
  </r>
  <r>
    <x v="11"/>
    <n v="-7.984914733646443"/>
    <n v="0.49507328748030371"/>
  </r>
  <r>
    <x v="11"/>
    <n v="4.1523168535088768"/>
    <n v="0.38861666717650928"/>
  </r>
  <r>
    <x v="11"/>
    <n v="5.2734506064755804"/>
    <n v="0.52528544664079668"/>
  </r>
  <r>
    <x v="11"/>
    <n v="1.9453612397871569"/>
    <n v="0.45483383074542522"/>
  </r>
  <r>
    <x v="11"/>
    <n v="-5.2808386260393974"/>
    <n v="0.59529622921894798"/>
  </r>
  <r>
    <x v="11"/>
    <n v="-7.1591617925057598"/>
    <n v="0.81618489217664858"/>
  </r>
  <r>
    <x v="11"/>
    <n v="0.71080044440910073"/>
    <n v="0.1899297237265645"/>
  </r>
  <r>
    <x v="11"/>
    <n v="3.9976075479904152"/>
    <n v="0.24638540345356849"/>
  </r>
  <r>
    <x v="11"/>
    <n v="-2.7301119852740601"/>
    <n v="0.56996931103138504"/>
  </r>
  <r>
    <x v="11"/>
    <n v="4.6858643701682272"/>
    <n v="0.79241537964468156"/>
  </r>
  <r>
    <x v="11"/>
    <n v="0.61150493903829528"/>
    <n v="0.21844847365283029"/>
  </r>
  <r>
    <x v="11"/>
    <n v="2.8932450074439311"/>
    <n v="0.24155574839601629"/>
  </r>
  <r>
    <x v="11"/>
    <n v="3.3807099689686742"/>
    <n v="0.31548093049619752"/>
  </r>
  <r>
    <x v="11"/>
    <n v="3.9179060677760531"/>
    <n v="0.15383559011563189"/>
  </r>
  <r>
    <x v="11"/>
    <n v="5.6419120778594136"/>
    <n v="0.30349608001371869"/>
  </r>
  <r>
    <x v="11"/>
    <n v="3.761541070965396"/>
    <n v="0.76150808817919846"/>
  </r>
  <r>
    <x v="11"/>
    <n v="-4.1115075869756863"/>
    <n v="0.1192093376137723"/>
  </r>
  <r>
    <x v="11"/>
    <n v="4.3375304583240659"/>
    <n v="0.20779136981902099"/>
  </r>
  <r>
    <x v="11"/>
    <n v="-8.3309875057339227"/>
    <n v="0.28070261930077622"/>
  </r>
  <r>
    <x v="11"/>
    <n v="1.9894373172813471"/>
    <n v="0.40433955316321268"/>
  </r>
  <r>
    <x v="11"/>
    <n v="6.7164804514002707"/>
    <n v="0.3885011523872004"/>
  </r>
  <r>
    <x v="11"/>
    <n v="1.799529550716328"/>
    <n v="0.70283952218119539"/>
  </r>
  <r>
    <x v="11"/>
    <n v="-5.5213332242099789"/>
    <n v="0.92366180927910158"/>
  </r>
  <r>
    <x v="11"/>
    <n v="3.1322030136881529"/>
    <n v="0.44835388907017598"/>
  </r>
  <r>
    <x v="11"/>
    <n v="3.2405584181098939"/>
    <n v="0.41291969695462732"/>
  </r>
  <r>
    <x v="11"/>
    <n v="6.2874874367196201"/>
    <n v="0.72601770791125975"/>
  </r>
  <r>
    <x v="11"/>
    <n v="5.982404616976809"/>
    <n v="0.85070183091983609"/>
  </r>
  <r>
    <x v="11"/>
    <n v="7.1378200041384856"/>
    <n v="0.3924030271803659"/>
  </r>
  <r>
    <x v="11"/>
    <n v="4.2695001889084132"/>
    <n v="0.22935240254124639"/>
  </r>
  <r>
    <x v="11"/>
    <n v="1.731785247623727"/>
    <n v="0.98296832098831999"/>
  </r>
  <r>
    <x v="11"/>
    <n v="5.7147840565179653"/>
    <n v="0.8951374050705958"/>
  </r>
  <r>
    <x v="11"/>
    <n v="2.5812464862393809"/>
    <n v="0.1010331424755098"/>
  </r>
  <r>
    <x v="11"/>
    <n v="6.1827508158226117"/>
    <n v="0.77288106209373775"/>
  </r>
  <r>
    <x v="11"/>
    <n v="5.6802403728037456"/>
    <n v="0.61717013705295098"/>
  </r>
  <r>
    <x v="11"/>
    <n v="0.95257834942715569"/>
    <n v="0.1978391265072644"/>
  </r>
  <r>
    <x v="11"/>
    <n v="2.7988688025391482"/>
    <n v="0.74244149323312658"/>
  </r>
  <r>
    <x v="11"/>
    <n v="-4.6058966764619846"/>
    <n v="0.68576777898227115"/>
  </r>
  <r>
    <x v="11"/>
    <n v="3.5270917424235888"/>
    <n v="0.34793509357718172"/>
  </r>
  <r>
    <x v="11"/>
    <n v="3.1227211697394068"/>
    <n v="0.1089686379392189"/>
  </r>
  <r>
    <x v="11"/>
    <n v="3.3493630876447398"/>
    <n v="0.93008937672037084"/>
  </r>
  <r>
    <x v="11"/>
    <n v="0.56943746562461117"/>
    <n v="0.87576732752300213"/>
  </r>
  <r>
    <x v="11"/>
    <n v="2.875132517818678"/>
    <n v="0.68096930218422058"/>
  </r>
  <r>
    <x v="11"/>
    <n v="-4.3820417974802357"/>
    <n v="0.70372975816672356"/>
  </r>
  <r>
    <x v="11"/>
    <n v="5.4205504388920778"/>
    <n v="0.26488058793287189"/>
  </r>
  <r>
    <x v="11"/>
    <n v="-16.38986519013347"/>
    <n v="0.84362216814941771"/>
  </r>
  <r>
    <x v="11"/>
    <n v="-4.5412595972753049"/>
    <n v="0.78980888511177938"/>
  </r>
  <r>
    <x v="11"/>
    <n v="3.603738255866392"/>
    <n v="0.756197264055957"/>
  </r>
  <r>
    <x v="11"/>
    <n v="0.64102350823563892"/>
    <n v="0.93273414114997388"/>
  </r>
  <r>
    <x v="11"/>
    <n v="4.431713672176965"/>
    <n v="0.1079884377822322"/>
  </r>
  <r>
    <x v="11"/>
    <n v="2.9688615073999962"/>
    <n v="0.23641414744620209"/>
  </r>
  <r>
    <x v="11"/>
    <n v="-3.3883377316870611"/>
    <n v="0.1200003797312796"/>
  </r>
  <r>
    <x v="11"/>
    <n v="3.488097242589816"/>
    <n v="0.32853801032222513"/>
  </r>
  <r>
    <x v="11"/>
    <n v="6.7351723589370547"/>
    <n v="0.96724011899471685"/>
  </r>
  <r>
    <x v="11"/>
    <n v="4.707234967181499"/>
    <n v="0.57852574224514441"/>
  </r>
  <r>
    <x v="11"/>
    <n v="7.16445780143939"/>
    <n v="0.99035256236056901"/>
  </r>
  <r>
    <x v="11"/>
    <n v="3.841432535527495"/>
    <n v="0.42578094499293179"/>
  </r>
  <r>
    <x v="11"/>
    <n v="1.1699729404775061"/>
    <n v="0.17383620142765499"/>
  </r>
  <r>
    <x v="11"/>
    <n v="-3.483713719559383"/>
    <n v="0.68064192853901861"/>
  </r>
  <r>
    <x v="11"/>
    <n v="5.6434424038592939"/>
    <n v="0.84735875113702974"/>
  </r>
  <r>
    <x v="11"/>
    <n v="3.019093893929929"/>
    <n v="0.1850378219080894"/>
  </r>
  <r>
    <x v="11"/>
    <n v="3.4279246744935938"/>
    <n v="0.71871414594590854"/>
  </r>
  <r>
    <x v="11"/>
    <n v="0.58286574765536947"/>
    <n v="0.6507664077012254"/>
  </r>
  <r>
    <x v="11"/>
    <n v="6.7196220584397226"/>
    <n v="0.92867123352724268"/>
  </r>
  <r>
    <x v="12"/>
    <n v="2.2208090005790879"/>
    <n v="0.3056650509059145"/>
  </r>
  <r>
    <x v="12"/>
    <n v="1.0804123012190749"/>
    <n v="0.1184825353029758"/>
  </r>
  <r>
    <x v="12"/>
    <n v="1.3632180028209699"/>
    <n v="0.54644476446835677"/>
  </r>
  <r>
    <x v="12"/>
    <n v="2.102020932463005"/>
    <n v="0.38861666717650928"/>
  </r>
  <r>
    <x v="12"/>
    <n v="2.2828353761119691"/>
    <n v="0.45483383074542522"/>
  </r>
  <r>
    <x v="12"/>
    <n v="2.1907385501412668"/>
    <n v="0.59529622921894798"/>
  </r>
  <r>
    <x v="12"/>
    <n v="1.338559804520558"/>
    <n v="0.81618489217664858"/>
  </r>
  <r>
    <x v="12"/>
    <n v="1.4224295926250989"/>
    <n v="0.24638540345356849"/>
  </r>
  <r>
    <x v="12"/>
    <n v="-1.730827700761195"/>
    <n v="0.93425399770073236"/>
  </r>
  <r>
    <x v="12"/>
    <n v="2.8694395366465528"/>
    <n v="0.71053418806234436"/>
  </r>
  <r>
    <x v="12"/>
    <n v="-0.92485938447402027"/>
    <n v="0.46643423991917787"/>
  </r>
  <r>
    <x v="12"/>
    <n v="3.4238420025469019"/>
    <n v="0.21869162198824671"/>
  </r>
  <r>
    <x v="12"/>
    <n v="1.421776440482361"/>
    <n v="0.16241031752135329"/>
  </r>
  <r>
    <x v="12"/>
    <n v="1.1452502299902649"/>
    <n v="0.20311040955114479"/>
  </r>
  <r>
    <x v="12"/>
    <n v="0.84173382419129172"/>
    <n v="0.21844847365283029"/>
  </r>
  <r>
    <x v="12"/>
    <n v="1.3002021675015241"/>
    <n v="0.15383559011563189"/>
  </r>
  <r>
    <x v="12"/>
    <n v="1.4582030197845499"/>
    <n v="0.30349608001371869"/>
  </r>
  <r>
    <x v="12"/>
    <n v="1.0699701661494689"/>
    <n v="0.1192093376137723"/>
  </r>
  <r>
    <x v="12"/>
    <n v="3.3737577428200449"/>
    <n v="0.20296775667489009"/>
  </r>
  <r>
    <x v="12"/>
    <n v="2.311620212573283"/>
    <n v="0.20779136981902099"/>
  </r>
  <r>
    <x v="12"/>
    <n v="1.30709786264368"/>
    <n v="0.28070261930077622"/>
  </r>
  <r>
    <x v="12"/>
    <n v="2.4464158535423182"/>
    <n v="0.40433955316321268"/>
  </r>
  <r>
    <x v="12"/>
    <n v="-1.7547124815194539"/>
    <n v="0.70283952218119539"/>
  </r>
  <r>
    <x v="12"/>
    <n v="-0.78612954221469089"/>
    <n v="0.67250802584224512"/>
  </r>
  <r>
    <x v="12"/>
    <n v="1.058440350411739"/>
    <n v="0.41291969695462732"/>
  </r>
  <r>
    <x v="12"/>
    <n v="-2.177170305609192"/>
    <n v="0.60240763309890277"/>
  </r>
  <r>
    <x v="12"/>
    <n v="0.94706885983687272"/>
    <n v="0.72601770791125975"/>
  </r>
  <r>
    <x v="12"/>
    <n v="2.1728830832507868"/>
    <n v="0.22935240254124639"/>
  </r>
  <r>
    <x v="12"/>
    <n v="-4.2072738553350284"/>
    <n v="0.98296832098831999"/>
  </r>
  <r>
    <x v="12"/>
    <n v="0.78427791305035599"/>
    <n v="0.1010331424755098"/>
  </r>
  <r>
    <x v="12"/>
    <n v="1.1716791826616531"/>
    <n v="0.50267152671410242"/>
  </r>
  <r>
    <x v="12"/>
    <n v="0.57449617928635355"/>
    <n v="0.77288106209373775"/>
  </r>
  <r>
    <x v="12"/>
    <n v="1.4141915815403989"/>
    <n v="0.19526767279405"/>
  </r>
  <r>
    <x v="12"/>
    <n v="1.1597026836384361"/>
    <n v="0.83440471082587475"/>
  </r>
  <r>
    <x v="12"/>
    <n v="-2.645041506014445"/>
    <n v="0.42773429932738999"/>
  </r>
  <r>
    <x v="12"/>
    <n v="1.096241208902059"/>
    <n v="0.1749443239595754"/>
  </r>
  <r>
    <x v="12"/>
    <n v="3.4252977580511779"/>
    <n v="0.1638220643998623"/>
  </r>
  <r>
    <x v="12"/>
    <n v="0.96974039381912314"/>
    <n v="0.34793509357718172"/>
  </r>
  <r>
    <x v="12"/>
    <n v="2.036903623607992"/>
    <n v="0.1089686379392189"/>
  </r>
  <r>
    <x v="12"/>
    <n v="-2.566548336257032"/>
    <n v="0.93008937672037084"/>
  </r>
  <r>
    <x v="12"/>
    <n v="1.240367924162723"/>
    <n v="0.87576732752300213"/>
  </r>
  <r>
    <x v="12"/>
    <n v="1.116578150372372"/>
    <n v="0.2583057538052474"/>
  </r>
  <r>
    <x v="12"/>
    <n v="0.81170314477862626"/>
    <n v="0.48663727550552088"/>
  </r>
  <r>
    <x v="12"/>
    <n v="0.92880420874570546"/>
    <n v="0.70372975816672356"/>
  </r>
  <r>
    <x v="12"/>
    <n v="1.154909129616156"/>
    <n v="0.1236564146965753"/>
  </r>
  <r>
    <x v="12"/>
    <n v="-3.0317311904490478"/>
    <n v="0.72306967803544064"/>
  </r>
  <r>
    <x v="12"/>
    <n v="1.37352250531691"/>
    <n v="0.84362216814941771"/>
  </r>
  <r>
    <x v="12"/>
    <n v="1.0860179320829639"/>
    <n v="0.756197264055957"/>
  </r>
  <r>
    <x v="12"/>
    <n v="1.41625636515027"/>
    <n v="0.93273414114997388"/>
  </r>
  <r>
    <x v="12"/>
    <n v="0.42723531896055938"/>
    <n v="0.1079884377822322"/>
  </r>
  <r>
    <x v="12"/>
    <n v="-5.9801367690983893"/>
    <n v="0.99142877280429653"/>
  </r>
  <r>
    <x v="12"/>
    <n v="3.020799034709023"/>
    <n v="0.59400519878475677"/>
  </r>
  <r>
    <x v="12"/>
    <n v="-3.299572780226125"/>
    <n v="0.96526539046505389"/>
  </r>
  <r>
    <x v="12"/>
    <n v="3.486335274539607"/>
    <n v="0.181922126752776"/>
  </r>
  <r>
    <x v="12"/>
    <n v="1.149707048593114"/>
    <n v="0.42578094499293179"/>
  </r>
  <r>
    <x v="12"/>
    <n v="0.79510638111332044"/>
    <n v="0.84735875113702974"/>
  </r>
  <r>
    <x v="12"/>
    <n v="1.8497594074844601"/>
    <n v="0.1850378219080894"/>
  </r>
  <r>
    <x v="12"/>
    <n v="0.9986061731015432"/>
    <n v="0.71871414594590854"/>
  </r>
  <r>
    <x v="12"/>
    <n v="0.74312421776213999"/>
    <n v="0.6507664077012254"/>
  </r>
  <r>
    <x v="13"/>
    <n v="-0.28908817875356752"/>
    <n v="0.54644476446835677"/>
  </r>
  <r>
    <x v="13"/>
    <n v="-0.36251182739635518"/>
    <n v="0.41318683633122649"/>
  </r>
  <r>
    <x v="13"/>
    <n v="-0.34943267876718398"/>
    <n v="0.45541967084629342"/>
  </r>
  <r>
    <x v="13"/>
    <n v="-0.25046036390740972"/>
    <n v="0.38861666717650928"/>
  </r>
  <r>
    <x v="13"/>
    <n v="-0.50423776928089925"/>
    <n v="0.52528544664079668"/>
  </r>
  <r>
    <x v="13"/>
    <n v="-0.4358309286460883"/>
    <n v="0.24638540345356849"/>
  </r>
  <r>
    <x v="13"/>
    <n v="-0.35506735358816988"/>
    <n v="0.56996931103138504"/>
  </r>
  <r>
    <x v="13"/>
    <n v="-0.58072886888512054"/>
    <n v="0.79241537964468156"/>
  </r>
  <r>
    <x v="13"/>
    <n v="-0.19678766353304819"/>
    <n v="0.20296775667489009"/>
  </r>
  <r>
    <x v="13"/>
    <n v="-0.43568200474520419"/>
    <n v="0.72601770791125975"/>
  </r>
  <r>
    <x v="13"/>
    <n v="-0.47881861977491169"/>
    <n v="0.85070183091983609"/>
  </r>
  <r>
    <x v="13"/>
    <n v="-0.25073041765736331"/>
    <n v="0.22935240254124639"/>
  </r>
  <r>
    <x v="13"/>
    <n v="-0.43545174741881781"/>
    <n v="0.54298250440673823"/>
  </r>
  <r>
    <x v="13"/>
    <n v="-0.28686399169123622"/>
    <n v="0.7506286660757433"/>
  </r>
  <r>
    <x v="13"/>
    <n v="-0.64893982081852497"/>
    <n v="0.8951374050705958"/>
  </r>
  <r>
    <x v="13"/>
    <n v="-0.21607312278012031"/>
    <n v="0.19526767279405"/>
  </r>
  <r>
    <x v="13"/>
    <n v="-0.35529925817948588"/>
    <n v="0.43627892152177872"/>
  </r>
  <r>
    <x v="13"/>
    <n v="-0.19821775508252429"/>
    <n v="0.1638220643998623"/>
  </r>
  <r>
    <x v="13"/>
    <n v="-0.27964346541637358"/>
    <n v="0.86655857869174824"/>
  </r>
  <r>
    <x v="13"/>
    <n v="-0.42461601324349241"/>
    <n v="0.65469998820211983"/>
  </r>
  <r>
    <x v="13"/>
    <n v="-0.36905792115927821"/>
    <n v="0.34793509357718172"/>
  </r>
  <r>
    <x v="13"/>
    <n v="-0.29018051774785181"/>
    <n v="0.80244896685013978"/>
  </r>
  <r>
    <x v="13"/>
    <n v="-0.35478541263240132"/>
    <n v="0.78980888511177938"/>
  </r>
  <r>
    <x v="13"/>
    <n v="-0.31571872111444682"/>
    <n v="0.96724011899471685"/>
  </r>
  <r>
    <x v="13"/>
    <n v="-0.4817739185223357"/>
    <n v="0.57852574224514441"/>
  </r>
  <r>
    <x v="13"/>
    <n v="-0.31913236573739823"/>
    <n v="0.99035256236056901"/>
  </r>
  <r>
    <x v="13"/>
    <n v="-0.37414861789226589"/>
    <n v="0.42578094499293179"/>
  </r>
  <r>
    <x v="13"/>
    <n v="-0.2858043189804203"/>
    <n v="0.96690021995709474"/>
  </r>
  <r>
    <x v="13"/>
    <n v="-0.37820564991414241"/>
    <n v="0.68064192853901861"/>
  </r>
  <r>
    <x v="13"/>
    <n v="-0.41363253360950991"/>
    <n v="0.84735875113702974"/>
  </r>
  <r>
    <x v="13"/>
    <n v="-0.37930349583454931"/>
    <n v="0.1850378219080894"/>
  </r>
  <r>
    <x v="13"/>
    <n v="-0.25703450026517022"/>
    <n v="0.6507664077012254"/>
  </r>
  <r>
    <x v="13"/>
    <n v="-0.51257467259060541"/>
    <n v="0.92867123352724268"/>
  </r>
  <r>
    <x v="14"/>
    <n v="-1.1328236025340239"/>
    <n v="0.99696668917794118"/>
  </r>
  <r>
    <x v="14"/>
    <n v="-1.572101964350912"/>
    <n v="0.3056650509059145"/>
  </r>
  <r>
    <x v="14"/>
    <n v="-1.9457279367442899"/>
    <n v="0.1184825353029758"/>
  </r>
  <r>
    <x v="14"/>
    <n v="-1.0179953666219399"/>
    <n v="0.45541967084629342"/>
  </r>
  <r>
    <x v="14"/>
    <n v="-1.520709976397616"/>
    <n v="0.38861666717650928"/>
  </r>
  <r>
    <x v="14"/>
    <n v="-1.3572543953210821"/>
    <n v="0.45483383074542522"/>
  </r>
  <r>
    <x v="14"/>
    <n v="-0.83317327495335802"/>
    <n v="0.13939834915146149"/>
  </r>
  <r>
    <x v="14"/>
    <n v="-1.61826408907029"/>
    <n v="0.56996931103138504"/>
  </r>
  <r>
    <x v="14"/>
    <n v="-1.800813888411996"/>
    <n v="0.71053418806234436"/>
  </r>
  <r>
    <x v="14"/>
    <n v="-1.617616413483038"/>
    <n v="0.21869162198824671"/>
  </r>
  <r>
    <x v="14"/>
    <n v="-1.7010038085152901"/>
    <n v="0.79241537964468156"/>
  </r>
  <r>
    <x v="14"/>
    <n v="-0.51455027374249895"/>
    <n v="0.24155574839601629"/>
  </r>
  <r>
    <x v="14"/>
    <n v="-0.57590515402794007"/>
    <n v="0.31548093049619752"/>
  </r>
  <r>
    <x v="14"/>
    <n v="-0.97483699674040514"/>
    <n v="0.1158538748540241"/>
  </r>
  <r>
    <x v="14"/>
    <n v="-1.589833577817326"/>
    <n v="0.20296775667489009"/>
  </r>
  <r>
    <x v="14"/>
    <n v="-1.536832754898005"/>
    <n v="0.3885011523872004"/>
  </r>
  <r>
    <x v="14"/>
    <n v="-1.5669327879299479"/>
    <n v="0.85070183091983609"/>
  </r>
  <r>
    <x v="14"/>
    <n v="-1.158439720527578"/>
    <n v="0.7506286660757433"/>
  </r>
  <r>
    <x v="14"/>
    <n v="-1.202698302399527"/>
    <n v="0.20400464726331169"/>
  </r>
  <r>
    <x v="14"/>
    <n v="-1.305106177631207"/>
    <n v="0.1749443239595754"/>
  </r>
  <r>
    <x v="14"/>
    <n v="-0.99118982673287392"/>
    <n v="0.1978391265072644"/>
  </r>
  <r>
    <x v="14"/>
    <n v="-0.54170426796481985"/>
    <n v="0.74244149323312658"/>
  </r>
  <r>
    <x v="14"/>
    <n v="-1.0414847199584001"/>
    <n v="0.18887930360487901"/>
  </r>
  <r>
    <x v="14"/>
    <n v="-1.674034517907778"/>
    <n v="0.86655857869174824"/>
  </r>
  <r>
    <x v="14"/>
    <n v="-1.4930636590393109"/>
    <n v="0.65469998820211983"/>
  </r>
  <r>
    <x v="14"/>
    <n v="-1.8243432671418871"/>
    <n v="0.34793509357718172"/>
  </r>
  <r>
    <x v="14"/>
    <n v="-2.1579334328948119"/>
    <n v="0.1089686379392189"/>
  </r>
  <r>
    <x v="14"/>
    <n v="-1.4636638165552951"/>
    <n v="0.87576732752300213"/>
  </r>
  <r>
    <x v="14"/>
    <n v="-1.302099364708758"/>
    <n v="0.51882396988385682"/>
  </r>
  <r>
    <x v="14"/>
    <n v="-1.961437802447479"/>
    <n v="0.78980888511177938"/>
  </r>
  <r>
    <x v="14"/>
    <n v="-1.6188413928389009"/>
    <n v="0.22522084232072309"/>
  </r>
  <r>
    <x v="14"/>
    <n v="-1.6098584385178489"/>
    <n v="0.1200003797312796"/>
  </r>
  <r>
    <x v="14"/>
    <n v="-1.4676321336406271"/>
    <n v="0.96724011899471685"/>
  </r>
  <r>
    <x v="14"/>
    <n v="-1.9706897766851641"/>
    <n v="0.57852574224514441"/>
  </r>
  <r>
    <x v="14"/>
    <n v="-1.64658575582704"/>
    <n v="0.84735875113702974"/>
  </r>
  <r>
    <x v="14"/>
    <n v="-1.983345961628999"/>
    <n v="0.1850378219080894"/>
  </r>
  <r>
    <x v="14"/>
    <n v="-0.46063329460024788"/>
    <n v="0.67582937002005616"/>
  </r>
  <r>
    <x v="14"/>
    <n v="-0.87726487204493209"/>
    <n v="0.71871414594590854"/>
  </r>
  <r>
    <x v="14"/>
    <n v="-0.64301349618955461"/>
    <n v="0.849728607406677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8" firstHeaderRow="1" firstDataRow="1" firstDataCol="1"/>
  <pivotFields count="3">
    <pivotField axis="axisRow" dataField="1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Count of EmploymentRat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L47"/>
  <sheetViews>
    <sheetView zoomScale="80" zoomScaleNormal="80" workbookViewId="0">
      <selection activeCell="B1" sqref="A1:AT18"/>
    </sheetView>
  </sheetViews>
  <sheetFormatPr defaultRowHeight="15" x14ac:dyDescent="0.25"/>
  <cols>
    <col min="1" max="1" width="22.5703125" bestFit="1" customWidth="1"/>
    <col min="48" max="48" width="20.42578125" bestFit="1" customWidth="1"/>
  </cols>
  <sheetData>
    <row r="1" spans="1:64" x14ac:dyDescent="0.25">
      <c r="B1" s="15" t="s">
        <v>557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</row>
    <row r="2" spans="1:64" x14ac:dyDescent="0.25">
      <c r="A2" s="14" t="s">
        <v>558</v>
      </c>
      <c r="B2" t="s">
        <v>511</v>
      </c>
      <c r="C2" t="s">
        <v>511</v>
      </c>
      <c r="D2" t="s">
        <v>511</v>
      </c>
      <c r="E2" t="s">
        <v>514</v>
      </c>
      <c r="F2" t="s">
        <v>514</v>
      </c>
      <c r="G2" t="s">
        <v>514</v>
      </c>
      <c r="H2" t="s">
        <v>547</v>
      </c>
      <c r="I2" t="s">
        <v>547</v>
      </c>
      <c r="J2" t="s">
        <v>547</v>
      </c>
      <c r="K2" t="s">
        <v>548</v>
      </c>
      <c r="L2" t="s">
        <v>548</v>
      </c>
      <c r="M2" t="s">
        <v>548</v>
      </c>
      <c r="N2" t="s">
        <v>549</v>
      </c>
      <c r="O2" t="s">
        <v>549</v>
      </c>
      <c r="P2" t="s">
        <v>549</v>
      </c>
      <c r="Q2" t="s">
        <v>509</v>
      </c>
      <c r="R2" t="s">
        <v>509</v>
      </c>
      <c r="S2" t="s">
        <v>509</v>
      </c>
      <c r="T2" t="s">
        <v>510</v>
      </c>
      <c r="U2" t="s">
        <v>510</v>
      </c>
      <c r="V2" t="s">
        <v>510</v>
      </c>
      <c r="W2" t="s">
        <v>515</v>
      </c>
      <c r="X2" t="s">
        <v>515</v>
      </c>
      <c r="Y2" t="s">
        <v>515</v>
      </c>
      <c r="Z2" t="s">
        <v>550</v>
      </c>
      <c r="AA2" t="s">
        <v>550</v>
      </c>
      <c r="AB2" t="s">
        <v>550</v>
      </c>
      <c r="AC2" t="s">
        <v>551</v>
      </c>
      <c r="AD2" t="s">
        <v>551</v>
      </c>
      <c r="AE2" t="s">
        <v>551</v>
      </c>
      <c r="AF2" t="s">
        <v>552</v>
      </c>
      <c r="AG2" t="s">
        <v>552</v>
      </c>
      <c r="AH2" t="s">
        <v>552</v>
      </c>
      <c r="AI2" t="s">
        <v>553</v>
      </c>
      <c r="AJ2" t="s">
        <v>553</v>
      </c>
      <c r="AK2" t="s">
        <v>553</v>
      </c>
      <c r="AL2" t="s">
        <v>554</v>
      </c>
      <c r="AM2" t="s">
        <v>554</v>
      </c>
      <c r="AN2" t="s">
        <v>554</v>
      </c>
      <c r="AO2" t="s">
        <v>555</v>
      </c>
      <c r="AP2" t="s">
        <v>555</v>
      </c>
      <c r="AQ2" t="s">
        <v>555</v>
      </c>
      <c r="AR2" t="s">
        <v>556</v>
      </c>
      <c r="AS2" t="s">
        <v>556</v>
      </c>
      <c r="AT2" t="s">
        <v>556</v>
      </c>
      <c r="AW2" t="s">
        <v>524</v>
      </c>
      <c r="AX2" t="s">
        <v>511</v>
      </c>
      <c r="AY2" t="s">
        <v>514</v>
      </c>
      <c r="AZ2" t="s">
        <v>547</v>
      </c>
      <c r="BA2" t="s">
        <v>548</v>
      </c>
      <c r="BB2" t="s">
        <v>549</v>
      </c>
      <c r="BC2" t="s">
        <v>509</v>
      </c>
      <c r="BD2" t="s">
        <v>510</v>
      </c>
      <c r="BE2" t="s">
        <v>515</v>
      </c>
      <c r="BF2" t="s">
        <v>550</v>
      </c>
      <c r="BG2" t="s">
        <v>551</v>
      </c>
      <c r="BH2" t="s">
        <v>552</v>
      </c>
      <c r="BI2" t="s">
        <v>553</v>
      </c>
      <c r="BJ2" t="s">
        <v>554</v>
      </c>
      <c r="BK2" t="s">
        <v>555</v>
      </c>
      <c r="BL2" t="s">
        <v>556</v>
      </c>
    </row>
    <row r="3" spans="1:64" x14ac:dyDescent="0.25">
      <c r="A3" t="s">
        <v>524</v>
      </c>
      <c r="B3" t="s">
        <v>526</v>
      </c>
      <c r="C3" t="s">
        <v>527</v>
      </c>
      <c r="D3" t="s">
        <v>528</v>
      </c>
      <c r="E3" t="s">
        <v>526</v>
      </c>
      <c r="F3" t="s">
        <v>527</v>
      </c>
      <c r="G3" t="s">
        <v>528</v>
      </c>
      <c r="H3" t="s">
        <v>526</v>
      </c>
      <c r="I3" t="s">
        <v>527</v>
      </c>
      <c r="J3" t="s">
        <v>528</v>
      </c>
      <c r="K3" t="s">
        <v>526</v>
      </c>
      <c r="L3" t="s">
        <v>527</v>
      </c>
      <c r="M3" t="s">
        <v>528</v>
      </c>
      <c r="N3" t="s">
        <v>526</v>
      </c>
      <c r="O3" t="s">
        <v>527</v>
      </c>
      <c r="P3" t="s">
        <v>528</v>
      </c>
      <c r="Q3" t="s">
        <v>526</v>
      </c>
      <c r="R3" t="s">
        <v>527</v>
      </c>
      <c r="S3" t="s">
        <v>528</v>
      </c>
      <c r="T3" t="s">
        <v>526</v>
      </c>
      <c r="U3" t="s">
        <v>527</v>
      </c>
      <c r="V3" t="s">
        <v>528</v>
      </c>
      <c r="W3" t="s">
        <v>526</v>
      </c>
      <c r="X3" t="s">
        <v>527</v>
      </c>
      <c r="Y3" t="s">
        <v>528</v>
      </c>
      <c r="Z3" t="s">
        <v>526</v>
      </c>
      <c r="AA3" t="s">
        <v>527</v>
      </c>
      <c r="AB3" t="s">
        <v>528</v>
      </c>
      <c r="AC3" t="s">
        <v>526</v>
      </c>
      <c r="AD3" t="s">
        <v>527</v>
      </c>
      <c r="AE3" t="s">
        <v>528</v>
      </c>
      <c r="AF3" t="s">
        <v>526</v>
      </c>
      <c r="AG3" t="s">
        <v>527</v>
      </c>
      <c r="AH3" t="s">
        <v>528</v>
      </c>
      <c r="AI3" t="s">
        <v>526</v>
      </c>
      <c r="AJ3" t="s">
        <v>527</v>
      </c>
      <c r="AK3" t="s">
        <v>528</v>
      </c>
      <c r="AL3" t="s">
        <v>526</v>
      </c>
      <c r="AM3" t="s">
        <v>527</v>
      </c>
      <c r="AN3" t="s">
        <v>528</v>
      </c>
      <c r="AO3" t="s">
        <v>526</v>
      </c>
      <c r="AP3" t="s">
        <v>527</v>
      </c>
      <c r="AQ3" t="s">
        <v>528</v>
      </c>
      <c r="AR3" t="s">
        <v>526</v>
      </c>
      <c r="AS3" t="s">
        <v>527</v>
      </c>
      <c r="AT3" t="s">
        <v>528</v>
      </c>
      <c r="AV3" t="s">
        <v>511</v>
      </c>
      <c r="AW3" t="s">
        <v>526</v>
      </c>
      <c r="AX3">
        <v>0.41363275379395298</v>
      </c>
      <c r="AY3">
        <v>-5.8145231142830003</v>
      </c>
      <c r="AZ3">
        <v>-7.9849147336464403</v>
      </c>
      <c r="BA3">
        <v>-4.7172248655138</v>
      </c>
      <c r="BB3">
        <v>-6.1174651276500001</v>
      </c>
      <c r="BC3">
        <v>-3.4814961349944999</v>
      </c>
      <c r="BD3">
        <v>-3.4777382992392298</v>
      </c>
      <c r="BE3">
        <v>-2.5629953364318001</v>
      </c>
      <c r="BF3">
        <v>-5.9813676998389997</v>
      </c>
      <c r="BG3">
        <v>-5.7829556296621698</v>
      </c>
      <c r="BH3">
        <v>-1.994314669714</v>
      </c>
      <c r="BI3">
        <v>-2.811453577814</v>
      </c>
      <c r="BJ3">
        <v>-1.9614378244748001</v>
      </c>
      <c r="BK3">
        <v>-0.64893982818524998</v>
      </c>
      <c r="BL3">
        <v>-0.56575731664841999</v>
      </c>
    </row>
    <row r="4" spans="1:64" x14ac:dyDescent="0.25">
      <c r="A4" t="s">
        <v>511</v>
      </c>
      <c r="B4">
        <v>0.41363275379395298</v>
      </c>
      <c r="C4">
        <v>4.7566285654492004</v>
      </c>
      <c r="D4">
        <v>2.0157975492393811</v>
      </c>
      <c r="E4">
        <v>0.64523559282326004</v>
      </c>
      <c r="F4">
        <v>4.2234496529719001</v>
      </c>
      <c r="G4">
        <v>1.9292523580468455</v>
      </c>
      <c r="H4">
        <v>0.64523559282326004</v>
      </c>
      <c r="I4">
        <v>4.7566285654492004</v>
      </c>
      <c r="J4">
        <v>1.822167024241419</v>
      </c>
      <c r="K4">
        <v>0.64523559282326004</v>
      </c>
      <c r="L4">
        <v>4.5888591971970003</v>
      </c>
      <c r="M4">
        <v>2.0810418399781367</v>
      </c>
      <c r="N4">
        <v>1.2918622513733</v>
      </c>
      <c r="O4">
        <v>4.7566285654492004</v>
      </c>
      <c r="P4">
        <v>2.6846621432560545</v>
      </c>
      <c r="Q4">
        <v>0.41363275379395298</v>
      </c>
      <c r="R4">
        <v>4.7566285654492004</v>
      </c>
      <c r="S4">
        <v>1.8179558141764229</v>
      </c>
      <c r="T4">
        <v>0.41363275379395298</v>
      </c>
      <c r="U4">
        <v>4.7566285654492004</v>
      </c>
      <c r="V4">
        <v>2.2933379387104527</v>
      </c>
      <c r="W4">
        <v>0.93769256122473699</v>
      </c>
      <c r="X4">
        <v>4.5355334856287</v>
      </c>
      <c r="Y4">
        <v>2.1293025465655027</v>
      </c>
      <c r="Z4">
        <v>0.41363275379395298</v>
      </c>
      <c r="AA4">
        <v>4.7566285654492004</v>
      </c>
      <c r="AB4">
        <v>1.8045403225091572</v>
      </c>
      <c r="AC4">
        <v>0.62922523971690003</v>
      </c>
      <c r="AD4">
        <v>4.2234496529719001</v>
      </c>
      <c r="AE4">
        <v>1.9723507276621084</v>
      </c>
      <c r="AF4">
        <v>0.41363275379395298</v>
      </c>
      <c r="AG4">
        <v>3.9885518818799999</v>
      </c>
      <c r="AH4">
        <v>1.9120038877283541</v>
      </c>
      <c r="AI4">
        <v>0.41363275379395298</v>
      </c>
      <c r="AJ4">
        <v>3.9885518818799999</v>
      </c>
      <c r="AK4">
        <v>1.6835665738007413</v>
      </c>
      <c r="AL4">
        <v>0.62922523971690003</v>
      </c>
      <c r="AM4">
        <v>3.5741423138939998</v>
      </c>
      <c r="AN4">
        <v>1.8140950995203278</v>
      </c>
      <c r="AO4">
        <v>0.64523559282326004</v>
      </c>
      <c r="AP4">
        <v>3.9885518818799999</v>
      </c>
      <c r="AQ4">
        <v>1.7496588601974812</v>
      </c>
      <c r="AR4">
        <v>1.9256399371499899</v>
      </c>
      <c r="AS4">
        <v>4.7566285654492004</v>
      </c>
      <c r="AT4">
        <v>2.9710325826542956</v>
      </c>
      <c r="AV4" t="s">
        <v>511</v>
      </c>
      <c r="AW4" t="s">
        <v>527</v>
      </c>
      <c r="AX4">
        <v>4.7566285654492004</v>
      </c>
      <c r="AY4">
        <v>5.9597465984192999</v>
      </c>
      <c r="AZ4">
        <v>6.7196225843972002</v>
      </c>
      <c r="BA4">
        <v>5.1253951469858103</v>
      </c>
      <c r="BB4">
        <v>-1.61729642585522</v>
      </c>
      <c r="BC4">
        <v>2.8837944375646001</v>
      </c>
      <c r="BD4">
        <v>0.83723372929286</v>
      </c>
      <c r="BE4">
        <v>7.3893931669528197</v>
      </c>
      <c r="BF4">
        <v>1.9624128926</v>
      </c>
      <c r="BG4">
        <v>2.7151484834291</v>
      </c>
      <c r="BH4">
        <v>-0.24752691265099999</v>
      </c>
      <c r="BI4">
        <v>0.68219792658816003</v>
      </c>
      <c r="BJ4">
        <v>-0.46633294624799998</v>
      </c>
      <c r="BK4">
        <v>-0.25734526517</v>
      </c>
      <c r="BL4">
        <v>-0.2136545692945</v>
      </c>
    </row>
    <row r="5" spans="1:64" x14ac:dyDescent="0.25">
      <c r="A5" t="s">
        <v>514</v>
      </c>
      <c r="B5">
        <v>-5.8145231142830003</v>
      </c>
      <c r="C5">
        <v>5.9597465984192999</v>
      </c>
      <c r="D5">
        <v>-0.25675511494086678</v>
      </c>
      <c r="E5">
        <v>-5.8145231142830003</v>
      </c>
      <c r="F5">
        <v>6.243676731751</v>
      </c>
      <c r="G5">
        <v>-0.91434460620603764</v>
      </c>
      <c r="H5">
        <v>-5.8145231142830003</v>
      </c>
      <c r="I5">
        <v>6.243676731751</v>
      </c>
      <c r="J5">
        <v>-1.6370652610163465</v>
      </c>
      <c r="K5">
        <v>-3.7257579715159999</v>
      </c>
      <c r="L5">
        <v>6.243676731751</v>
      </c>
      <c r="M5">
        <v>-0.95184166562095329</v>
      </c>
      <c r="N5">
        <v>-3.7688486622499999</v>
      </c>
      <c r="O5">
        <v>5.9597465984192999</v>
      </c>
      <c r="P5">
        <v>-0.72488038665653376</v>
      </c>
      <c r="Q5">
        <v>-3.7688486622499999</v>
      </c>
      <c r="R5">
        <v>5.9597465984192999</v>
      </c>
      <c r="S5">
        <v>-0.23815992341765468</v>
      </c>
      <c r="T5">
        <v>-5.8145231142830003</v>
      </c>
      <c r="U5">
        <v>6.243676731751</v>
      </c>
      <c r="V5">
        <v>-1.6390367685261673</v>
      </c>
      <c r="W5">
        <v>-5.1483644666527999</v>
      </c>
      <c r="X5">
        <v>2.3894521958527002</v>
      </c>
      <c r="Y5">
        <v>-1.3433859102467058</v>
      </c>
      <c r="Z5">
        <v>-5.8145231142830003</v>
      </c>
      <c r="AA5">
        <v>6.243676731751</v>
      </c>
      <c r="AB5">
        <v>-1.9366989768520537</v>
      </c>
      <c r="AC5">
        <v>-5.8145231142830003</v>
      </c>
      <c r="AD5">
        <v>5.9597465984192999</v>
      </c>
      <c r="AE5">
        <v>-0.10655942231381173</v>
      </c>
      <c r="AF5">
        <v>-3.63521787616</v>
      </c>
      <c r="AG5">
        <v>6.243676731751</v>
      </c>
      <c r="AH5">
        <v>3.7282938792629443E-2</v>
      </c>
      <c r="AI5">
        <v>-5.2549288450000002</v>
      </c>
      <c r="AJ5">
        <v>4.9383182115770001</v>
      </c>
      <c r="AK5">
        <v>-0.91092289960960648</v>
      </c>
      <c r="AL5">
        <v>-2.9325941145249601</v>
      </c>
      <c r="AM5">
        <v>5.9597465984192999</v>
      </c>
      <c r="AN5">
        <v>-2.0097974589619039E-2</v>
      </c>
      <c r="AO5">
        <v>-3.4584771499350002</v>
      </c>
      <c r="AP5">
        <v>5.9597465984192999</v>
      </c>
      <c r="AQ5">
        <v>0.38749443630605168</v>
      </c>
      <c r="AR5">
        <v>-2.7658225657000002</v>
      </c>
      <c r="AS5">
        <v>4.5836789659881001</v>
      </c>
      <c r="AT5">
        <v>-0.19815869264257807</v>
      </c>
      <c r="AV5" t="s">
        <v>511</v>
      </c>
      <c r="AW5" t="s">
        <v>528</v>
      </c>
      <c r="AX5">
        <v>2.0157975492393811</v>
      </c>
      <c r="AY5">
        <v>-0.25675511494086678</v>
      </c>
      <c r="AZ5">
        <v>2.1224563419879723</v>
      </c>
      <c r="BA5">
        <v>-4.0507027262285056E-2</v>
      </c>
      <c r="BB5">
        <v>-2.7533015185116247</v>
      </c>
      <c r="BC5">
        <v>-0.18154315532516085</v>
      </c>
      <c r="BD5">
        <v>-1.7328354954239169</v>
      </c>
      <c r="BE5">
        <v>1.3961827935807383</v>
      </c>
      <c r="BF5">
        <v>-0.25462613069320772</v>
      </c>
      <c r="BG5">
        <v>-1.9682012487510308</v>
      </c>
      <c r="BH5">
        <v>-0.74689267943769333</v>
      </c>
      <c r="BI5">
        <v>-1.4049547197224517</v>
      </c>
      <c r="BJ5">
        <v>-1.2706002556442233</v>
      </c>
      <c r="BK5">
        <v>-0.39229711551757723</v>
      </c>
      <c r="BL5">
        <v>-0.31396537795266621</v>
      </c>
    </row>
    <row r="6" spans="1:64" x14ac:dyDescent="0.25">
      <c r="A6" t="s">
        <v>547</v>
      </c>
      <c r="B6">
        <v>-7.9849147336464403</v>
      </c>
      <c r="C6">
        <v>6.7196225843972002</v>
      </c>
      <c r="D6">
        <v>2.1224563419879723</v>
      </c>
      <c r="E6">
        <v>-16.389865191335002</v>
      </c>
      <c r="F6">
        <v>7.1644578143939004</v>
      </c>
      <c r="G6">
        <v>2.5265468729304259</v>
      </c>
      <c r="H6">
        <v>-16.389865191335002</v>
      </c>
      <c r="I6">
        <v>7.1644578143939004</v>
      </c>
      <c r="J6">
        <v>1.8947308717915987</v>
      </c>
      <c r="K6">
        <v>-16.389865191335002</v>
      </c>
      <c r="L6">
        <v>7.1644578143939004</v>
      </c>
      <c r="M6">
        <v>1.8693390602891742</v>
      </c>
      <c r="N6">
        <v>-7.9849147336464403</v>
      </c>
      <c r="O6">
        <v>7.1644578143939004</v>
      </c>
      <c r="P6">
        <v>1.9435997986159834</v>
      </c>
      <c r="Q6">
        <v>-8.3398755733919998</v>
      </c>
      <c r="R6">
        <v>6.7196225843972002</v>
      </c>
      <c r="S6">
        <v>1.2594696123091345</v>
      </c>
      <c r="T6">
        <v>-16.389865191335002</v>
      </c>
      <c r="U6">
        <v>6.1827581582261004</v>
      </c>
      <c r="V6">
        <v>1.9097786394041047</v>
      </c>
      <c r="W6">
        <v>-5.5213332242998003</v>
      </c>
      <c r="X6">
        <v>7.1644578143939004</v>
      </c>
      <c r="Y6">
        <v>3.1587272168387952</v>
      </c>
      <c r="Z6">
        <v>-16.389865191335002</v>
      </c>
      <c r="AA6">
        <v>6.2874874367196201</v>
      </c>
      <c r="AB6">
        <v>1.5693779448658025</v>
      </c>
      <c r="AC6">
        <v>-7.1591617925576001</v>
      </c>
      <c r="AD6">
        <v>6.1827581582261004</v>
      </c>
      <c r="AE6">
        <v>1.4830016034755649</v>
      </c>
      <c r="AF6">
        <v>-16.389865191335002</v>
      </c>
      <c r="AG6">
        <v>3.1322313688149999</v>
      </c>
      <c r="AH6">
        <v>-2.798067850119355</v>
      </c>
      <c r="AI6">
        <v>-3.4837137195593799</v>
      </c>
      <c r="AJ6">
        <v>7.1644578143939004</v>
      </c>
      <c r="AK6">
        <v>3.6142393458491782</v>
      </c>
      <c r="AL6">
        <v>-4.5412595972753103</v>
      </c>
      <c r="AM6">
        <v>6.7351723589376</v>
      </c>
      <c r="AN6">
        <v>2.8018095047443508</v>
      </c>
      <c r="AO6">
        <v>-4.5412595972753103</v>
      </c>
      <c r="AP6">
        <v>7.1644578143939004</v>
      </c>
      <c r="AQ6">
        <v>3.6558492904590594</v>
      </c>
      <c r="AR6">
        <v>-3.3883377316876002</v>
      </c>
      <c r="AS6">
        <v>3.3493638764473999</v>
      </c>
      <c r="AT6">
        <v>1.4294614612349184</v>
      </c>
      <c r="AV6" t="s">
        <v>514</v>
      </c>
      <c r="AW6" t="s">
        <v>526</v>
      </c>
      <c r="AX6">
        <v>0.64523559282326004</v>
      </c>
      <c r="AY6">
        <v>-5.8145231142830003</v>
      </c>
      <c r="AZ6">
        <v>-16.389865191335002</v>
      </c>
      <c r="BA6">
        <v>-3.9369815821562999</v>
      </c>
      <c r="BB6">
        <v>-4.6555312227629004</v>
      </c>
      <c r="BC6">
        <v>-2.83843841359</v>
      </c>
      <c r="BD6">
        <v>-3.1435229582389201</v>
      </c>
      <c r="BE6">
        <v>-1.4662592286651499</v>
      </c>
      <c r="BF6">
        <v>-5.9813676998389997</v>
      </c>
      <c r="BG6">
        <v>-5.7829556296621698</v>
      </c>
      <c r="BH6">
        <v>-3.4461686659813999</v>
      </c>
      <c r="BI6">
        <v>-1.9877278533562599</v>
      </c>
      <c r="BJ6">
        <v>-1.9614378244748001</v>
      </c>
      <c r="BK6">
        <v>-0.51257467259650003</v>
      </c>
      <c r="BL6">
        <v>-0.56575731664841999</v>
      </c>
    </row>
    <row r="7" spans="1:64" x14ac:dyDescent="0.25">
      <c r="A7" t="s">
        <v>548</v>
      </c>
      <c r="B7">
        <v>-4.7172248655138</v>
      </c>
      <c r="C7">
        <v>5.1253951469858103</v>
      </c>
      <c r="D7">
        <v>-4.0507027262285056E-2</v>
      </c>
      <c r="E7">
        <v>-3.9369815821562999</v>
      </c>
      <c r="F7">
        <v>8.3238816818846999</v>
      </c>
      <c r="G7">
        <v>2.1401762547946755E-2</v>
      </c>
      <c r="H7">
        <v>-4.7172248655138</v>
      </c>
      <c r="I7">
        <v>8.3238816818846999</v>
      </c>
      <c r="J7">
        <v>-0.94882036098893108</v>
      </c>
      <c r="K7">
        <v>-4.7172248655138</v>
      </c>
      <c r="L7">
        <v>8.3238816818846999</v>
      </c>
      <c r="M7">
        <v>3.6303672361205581E-2</v>
      </c>
      <c r="N7">
        <v>-4.7172248655138</v>
      </c>
      <c r="O7">
        <v>5.1253951469858103</v>
      </c>
      <c r="P7">
        <v>0.13423467103490466</v>
      </c>
      <c r="Q7">
        <v>-4.7172248655138</v>
      </c>
      <c r="R7">
        <v>5.7193145645829997</v>
      </c>
      <c r="S7">
        <v>0.40490398778352871</v>
      </c>
      <c r="T7">
        <v>-4.3383681863838</v>
      </c>
      <c r="U7">
        <v>8.3238816818846999</v>
      </c>
      <c r="V7">
        <v>1.2685850229609115</v>
      </c>
      <c r="W7">
        <v>-4.3383681863838</v>
      </c>
      <c r="X7">
        <v>4.4147969578487301</v>
      </c>
      <c r="Y7">
        <v>-0.40316595895758073</v>
      </c>
      <c r="Z7">
        <v>-3.4993543395315498</v>
      </c>
      <c r="AA7">
        <v>8.3238816818846999</v>
      </c>
      <c r="AB7">
        <v>0.35422647474583724</v>
      </c>
      <c r="AC7">
        <v>-4.3383681863838</v>
      </c>
      <c r="AD7">
        <v>5.6713539716436099</v>
      </c>
      <c r="AE7">
        <v>-0.35424912161062883</v>
      </c>
      <c r="AF7">
        <v>1.1117872621937099</v>
      </c>
      <c r="AG7">
        <v>8.3238816818846999</v>
      </c>
      <c r="AH7">
        <v>3.2984370706889279</v>
      </c>
      <c r="AI7">
        <v>-4.7172248655138</v>
      </c>
      <c r="AJ7">
        <v>1.6699538764888999</v>
      </c>
      <c r="AK7">
        <v>-2.188496141997228</v>
      </c>
      <c r="AL7">
        <v>-3.9929357525159999</v>
      </c>
      <c r="AM7">
        <v>1.6161741254099999</v>
      </c>
      <c r="AN7">
        <v>-1.9172656352763735</v>
      </c>
      <c r="AO7">
        <v>-4.7172248655138</v>
      </c>
      <c r="AP7">
        <v>-1.256517545895</v>
      </c>
      <c r="AQ7">
        <v>-2.8758175713102903</v>
      </c>
      <c r="AR7">
        <v>0.87435478561289004</v>
      </c>
      <c r="AS7">
        <v>2.1275413147319</v>
      </c>
      <c r="AT7">
        <v>1.4101738166271107</v>
      </c>
      <c r="AV7" t="s">
        <v>514</v>
      </c>
      <c r="AW7" t="s">
        <v>527</v>
      </c>
      <c r="AX7">
        <v>4.2234496529719001</v>
      </c>
      <c r="AY7">
        <v>6.243676731751</v>
      </c>
      <c r="AZ7">
        <v>7.1644578143939004</v>
      </c>
      <c r="BA7">
        <v>8.3238816818846999</v>
      </c>
      <c r="BB7">
        <v>2.8273423171699998</v>
      </c>
      <c r="BC7">
        <v>3.5323322431580002</v>
      </c>
      <c r="BD7">
        <v>4.2867321612888798</v>
      </c>
      <c r="BE7">
        <v>7.3893931669528197</v>
      </c>
      <c r="BF7">
        <v>2.4464158535423199</v>
      </c>
      <c r="BG7">
        <v>2.767568164279</v>
      </c>
      <c r="BH7">
        <v>-0.31123256333926003</v>
      </c>
      <c r="BI7">
        <v>0.68219792658816003</v>
      </c>
      <c r="BJ7">
        <v>-0.46633294624799998</v>
      </c>
      <c r="BK7">
        <v>-0.25463639740999999</v>
      </c>
      <c r="BL7">
        <v>-0.2136545692945</v>
      </c>
    </row>
    <row r="8" spans="1:64" x14ac:dyDescent="0.25">
      <c r="A8" t="s">
        <v>549</v>
      </c>
      <c r="B8">
        <v>-6.1174651276500001</v>
      </c>
      <c r="C8">
        <v>-1.61729642585522</v>
      </c>
      <c r="D8">
        <v>-2.7533015185116247</v>
      </c>
      <c r="E8">
        <v>-4.6555312227629004</v>
      </c>
      <c r="F8">
        <v>2.8273423171699998</v>
      </c>
      <c r="G8">
        <v>-0.67058115539994267</v>
      </c>
      <c r="H8">
        <v>-4.5626886846769397</v>
      </c>
      <c r="I8">
        <v>2.8371648723549998</v>
      </c>
      <c r="J8">
        <v>-0.32017761883672857</v>
      </c>
      <c r="K8">
        <v>-6.1174651276500001</v>
      </c>
      <c r="L8">
        <v>2.8371648723549998</v>
      </c>
      <c r="M8">
        <v>-0.78276894231504857</v>
      </c>
      <c r="N8">
        <v>-6.1174651276500001</v>
      </c>
      <c r="O8">
        <v>3.7742479327449998</v>
      </c>
      <c r="P8">
        <v>-1.0037831866802791</v>
      </c>
      <c r="Q8">
        <v>-6.1174651276500001</v>
      </c>
      <c r="R8">
        <v>3.7742479327449998</v>
      </c>
      <c r="S8">
        <v>-1.2204544678085671</v>
      </c>
      <c r="T8">
        <v>-6.1174651276500001</v>
      </c>
      <c r="U8">
        <v>2.8273423171699998</v>
      </c>
      <c r="V8">
        <v>-1.8239611754457141</v>
      </c>
      <c r="W8">
        <v>-6.1174651276500001</v>
      </c>
      <c r="X8">
        <v>3.7742479327449998</v>
      </c>
      <c r="Y8">
        <v>0.22405092991801864</v>
      </c>
      <c r="Z8">
        <v>-5.5184512392169998</v>
      </c>
      <c r="AA8">
        <v>1.5918735198989999</v>
      </c>
      <c r="AB8">
        <v>-1.282076689982377</v>
      </c>
      <c r="AC8">
        <v>-3.5799835348509998</v>
      </c>
      <c r="AD8">
        <v>3.7742479327449998</v>
      </c>
      <c r="AE8">
        <v>-0.25016408629646752</v>
      </c>
      <c r="AF8">
        <v>-3.215975728354</v>
      </c>
      <c r="AG8">
        <v>2.8371648723549998</v>
      </c>
      <c r="AH8">
        <v>-1.1620781989780349</v>
      </c>
      <c r="AI8">
        <v>-3.215975728354</v>
      </c>
      <c r="AJ8">
        <v>3.7742479327449998</v>
      </c>
      <c r="AK8">
        <v>-0.85341256555498135</v>
      </c>
      <c r="AL8">
        <v>-3.5799835348509998</v>
      </c>
      <c r="AM8">
        <v>3.5885753933825701</v>
      </c>
      <c r="AN8">
        <v>-1.2716650112547412</v>
      </c>
      <c r="AO8">
        <v>-3.215975728354</v>
      </c>
      <c r="AP8">
        <v>2.6897878617522002</v>
      </c>
      <c r="AQ8">
        <v>-0.85300784215409231</v>
      </c>
      <c r="AR8">
        <v>-6.1174651276500001</v>
      </c>
      <c r="AS8">
        <v>-1.61729642585522</v>
      </c>
      <c r="AT8">
        <v>-3.0764407575099413</v>
      </c>
      <c r="AV8" t="s">
        <v>514</v>
      </c>
      <c r="AW8" t="s">
        <v>528</v>
      </c>
      <c r="AX8">
        <v>1.9292523580468455</v>
      </c>
      <c r="AY8">
        <v>-0.91434460620603764</v>
      </c>
      <c r="AZ8">
        <v>2.5265468729304259</v>
      </c>
      <c r="BA8">
        <v>2.1401762547946755E-2</v>
      </c>
      <c r="BB8">
        <v>-0.67058115539994267</v>
      </c>
      <c r="BC8">
        <v>0.46990193246988737</v>
      </c>
      <c r="BD8">
        <v>-1.4944812708080524</v>
      </c>
      <c r="BE8">
        <v>1.2172705444496366</v>
      </c>
      <c r="BF8">
        <v>0.74984309146013117</v>
      </c>
      <c r="BG8">
        <v>-1.1480774518556265</v>
      </c>
      <c r="BH8">
        <v>-0.92642010828378141</v>
      </c>
      <c r="BI8">
        <v>-1.3188097672997594</v>
      </c>
      <c r="BJ8">
        <v>-1.2917211445653733</v>
      </c>
      <c r="BK8">
        <v>-0.35375685121575418</v>
      </c>
      <c r="BL8">
        <v>-0.30245660232201554</v>
      </c>
    </row>
    <row r="9" spans="1:64" x14ac:dyDescent="0.25">
      <c r="A9" t="s">
        <v>509</v>
      </c>
      <c r="B9">
        <v>-3.4814961349944999</v>
      </c>
      <c r="C9">
        <v>2.8837944375646001</v>
      </c>
      <c r="D9">
        <v>-0.18154315532516085</v>
      </c>
      <c r="E9">
        <v>-2.83843841359</v>
      </c>
      <c r="F9">
        <v>3.5323322431580002</v>
      </c>
      <c r="G9">
        <v>0.46990193246988737</v>
      </c>
      <c r="H9">
        <v>-3.4814961349944999</v>
      </c>
      <c r="I9">
        <v>2.9571641716378001</v>
      </c>
      <c r="J9">
        <v>0.12771365276126428</v>
      </c>
      <c r="K9">
        <v>-3.4814961349944999</v>
      </c>
      <c r="L9">
        <v>3.5323322431580002</v>
      </c>
      <c r="M9">
        <v>0.56754786643761945</v>
      </c>
      <c r="N9">
        <v>-3.4814961349944999</v>
      </c>
      <c r="O9">
        <v>5.9352388375557998</v>
      </c>
      <c r="P9">
        <v>2.5089998884585706E-2</v>
      </c>
      <c r="Q9">
        <v>-3.4814961349944999</v>
      </c>
      <c r="R9">
        <v>5.9352388375557998</v>
      </c>
      <c r="S9">
        <v>0.53473942194835788</v>
      </c>
      <c r="T9">
        <v>-2.51539546887</v>
      </c>
      <c r="U9">
        <v>3.5323322431580002</v>
      </c>
      <c r="V9">
        <v>0.52030496034350071</v>
      </c>
      <c r="W9">
        <v>-2.1165598634428</v>
      </c>
      <c r="X9">
        <v>5.9352388375557998</v>
      </c>
      <c r="Y9">
        <v>1.1229272567452353</v>
      </c>
      <c r="Z9">
        <v>-2.51539546887</v>
      </c>
      <c r="AA9">
        <v>3.5323322431580002</v>
      </c>
      <c r="AB9">
        <v>1.1156594102845137</v>
      </c>
      <c r="AC9">
        <v>1.263567672225</v>
      </c>
      <c r="AD9">
        <v>5.9352388375557998</v>
      </c>
      <c r="AE9">
        <v>2.5183354422118307</v>
      </c>
      <c r="AF9">
        <v>-2.83843841359</v>
      </c>
      <c r="AG9">
        <v>2.9571641716378001</v>
      </c>
      <c r="AH9">
        <v>-0.54963726361030429</v>
      </c>
      <c r="AI9">
        <v>-3.4814961349944999</v>
      </c>
      <c r="AJ9">
        <v>5.9352388375557998</v>
      </c>
      <c r="AK9">
        <v>8.7672544582193646E-2</v>
      </c>
      <c r="AL9">
        <v>-2.7645439883699998</v>
      </c>
      <c r="AM9">
        <v>4.8581121736129997</v>
      </c>
      <c r="AN9">
        <v>0.305645356054219</v>
      </c>
      <c r="AO9">
        <v>-3.4814961349944999</v>
      </c>
      <c r="AP9">
        <v>1.67939166966</v>
      </c>
      <c r="AQ9">
        <v>-1.1339840112010771</v>
      </c>
      <c r="AR9">
        <v>-2.7645439883699998</v>
      </c>
      <c r="AS9">
        <v>1.681253762946</v>
      </c>
      <c r="AT9">
        <v>-1.2796708945230211</v>
      </c>
      <c r="AV9" t="s">
        <v>547</v>
      </c>
      <c r="AW9" t="s">
        <v>526</v>
      </c>
      <c r="AX9">
        <v>0.64523559282326004</v>
      </c>
      <c r="AY9">
        <v>-5.8145231142830003</v>
      </c>
      <c r="AZ9">
        <v>-16.389865191335002</v>
      </c>
      <c r="BA9">
        <v>-4.7172248655138</v>
      </c>
      <c r="BB9">
        <v>-4.5626886846769397</v>
      </c>
      <c r="BC9">
        <v>-3.4814961349944999</v>
      </c>
      <c r="BD9">
        <v>-2.7241331767849002</v>
      </c>
      <c r="BE9">
        <v>-2.1223877766152799</v>
      </c>
      <c r="BF9">
        <v>-4.2727385533530002</v>
      </c>
      <c r="BG9">
        <v>-5.7829556296621698</v>
      </c>
      <c r="BH9">
        <v>-3.4461686659813999</v>
      </c>
      <c r="BI9">
        <v>-2.811453577814</v>
      </c>
      <c r="BJ9">
        <v>-2.1579334328948101</v>
      </c>
      <c r="BK9">
        <v>-0.64893982818524998</v>
      </c>
      <c r="BL9">
        <v>-0.459567621466</v>
      </c>
    </row>
    <row r="10" spans="1:64" x14ac:dyDescent="0.25">
      <c r="A10" t="s">
        <v>510</v>
      </c>
      <c r="B10">
        <v>-3.4777382992392298</v>
      </c>
      <c r="C10">
        <v>0.83723372929286</v>
      </c>
      <c r="D10">
        <v>-1.7328354954239169</v>
      </c>
      <c r="E10">
        <v>-3.1435229582389201</v>
      </c>
      <c r="F10">
        <v>4.2867321612888798</v>
      </c>
      <c r="G10">
        <v>-1.4944812708080524</v>
      </c>
      <c r="H10">
        <v>-2.7241331767849002</v>
      </c>
      <c r="I10">
        <v>4.2867321612888798</v>
      </c>
      <c r="J10">
        <v>-0.91825224522667237</v>
      </c>
      <c r="K10">
        <v>-3.4777382992392298</v>
      </c>
      <c r="L10">
        <v>4.2867321612888798</v>
      </c>
      <c r="M10">
        <v>-1.2098597511212139</v>
      </c>
      <c r="N10">
        <v>-3.4777382992392298</v>
      </c>
      <c r="O10">
        <v>1.5676711826775001</v>
      </c>
      <c r="P10">
        <v>-1.6991344443498824</v>
      </c>
      <c r="Q10">
        <v>-3.4777382992392298</v>
      </c>
      <c r="R10">
        <v>0.83723372929286</v>
      </c>
      <c r="S10">
        <v>-1.3595248135489868</v>
      </c>
      <c r="T10">
        <v>-3.4777382992392298</v>
      </c>
      <c r="U10">
        <v>4.2867321612888798</v>
      </c>
      <c r="V10">
        <v>-1.214737731601492</v>
      </c>
      <c r="W10">
        <v>-3.1425392474715501</v>
      </c>
      <c r="X10">
        <v>1.5676711826775001</v>
      </c>
      <c r="Y10">
        <v>-1.0817326261535507</v>
      </c>
      <c r="Z10">
        <v>-3.4777382992392298</v>
      </c>
      <c r="AA10">
        <v>4.2867321612888798</v>
      </c>
      <c r="AB10">
        <v>-1.0197287945617635</v>
      </c>
      <c r="AC10">
        <v>-2.6124782451256001</v>
      </c>
      <c r="AD10">
        <v>1.8737141926940999</v>
      </c>
      <c r="AE10">
        <v>-0.91355938599358877</v>
      </c>
      <c r="AF10">
        <v>-1.9467452957335001</v>
      </c>
      <c r="AG10">
        <v>4.2867321612888798</v>
      </c>
      <c r="AH10">
        <v>-7.878949717094505E-3</v>
      </c>
      <c r="AI10">
        <v>-2.7241331767849002</v>
      </c>
      <c r="AJ10">
        <v>1.2977713984999499</v>
      </c>
      <c r="AK10">
        <v>-0.75124721841612851</v>
      </c>
      <c r="AL10">
        <v>-2.5698355971216</v>
      </c>
      <c r="AM10">
        <v>1.2446229565219999</v>
      </c>
      <c r="AN10">
        <v>-0.84038859824440737</v>
      </c>
      <c r="AO10">
        <v>0.58621197698487004</v>
      </c>
      <c r="AP10">
        <v>1.2977713984999499</v>
      </c>
      <c r="AQ10">
        <v>0.88013128133353014</v>
      </c>
      <c r="AR10">
        <v>-3.4777382992392298</v>
      </c>
      <c r="AS10">
        <v>-0.776335199413277</v>
      </c>
      <c r="AT10">
        <v>-2.0674300241338366</v>
      </c>
      <c r="AV10" t="s">
        <v>547</v>
      </c>
      <c r="AW10" t="s">
        <v>527</v>
      </c>
      <c r="AX10">
        <v>4.7566285654492004</v>
      </c>
      <c r="AY10">
        <v>6.243676731751</v>
      </c>
      <c r="AZ10">
        <v>7.1644578143939004</v>
      </c>
      <c r="BA10">
        <v>8.3238816818846999</v>
      </c>
      <c r="BB10">
        <v>2.8371648723549998</v>
      </c>
      <c r="BC10">
        <v>2.9571641716378001</v>
      </c>
      <c r="BD10">
        <v>4.2867321612888798</v>
      </c>
      <c r="BE10">
        <v>5.3779634491510997</v>
      </c>
      <c r="BF10">
        <v>2.4464158535423199</v>
      </c>
      <c r="BG10">
        <v>2.767568164279</v>
      </c>
      <c r="BH10">
        <v>-0.31123256333926003</v>
      </c>
      <c r="BI10">
        <v>0.68219792658816003</v>
      </c>
      <c r="BJ10">
        <v>-0.51455273742498997</v>
      </c>
      <c r="BK10">
        <v>-0.25463639740999999</v>
      </c>
      <c r="BL10">
        <v>-0.21827759727500001</v>
      </c>
    </row>
    <row r="11" spans="1:64" x14ac:dyDescent="0.25">
      <c r="A11" t="s">
        <v>515</v>
      </c>
      <c r="B11">
        <v>-2.5629953364318001</v>
      </c>
      <c r="C11">
        <v>7.3893931669528197</v>
      </c>
      <c r="D11">
        <v>1.3961827935807383</v>
      </c>
      <c r="E11">
        <v>-1.4662592286651499</v>
      </c>
      <c r="F11">
        <v>7.3893931669528197</v>
      </c>
      <c r="G11">
        <v>1.2172705444496366</v>
      </c>
      <c r="H11">
        <v>-2.1223877766152799</v>
      </c>
      <c r="I11">
        <v>5.3779634491510997</v>
      </c>
      <c r="J11">
        <v>0.84282134735178482</v>
      </c>
      <c r="K11">
        <v>-2.5629953364318001</v>
      </c>
      <c r="L11">
        <v>4.5361586548219996</v>
      </c>
      <c r="M11">
        <v>0.93455495282143752</v>
      </c>
      <c r="N11">
        <v>-3.6412835687649698</v>
      </c>
      <c r="O11">
        <v>3.2789543816919999</v>
      </c>
      <c r="P11">
        <v>0.47575747371365168</v>
      </c>
      <c r="Q11">
        <v>-2.5629953364318001</v>
      </c>
      <c r="R11">
        <v>4.5361586548219996</v>
      </c>
      <c r="S11">
        <v>1.0566994049432703</v>
      </c>
      <c r="T11">
        <v>-2.5629953364318001</v>
      </c>
      <c r="U11">
        <v>7.3893931669528197</v>
      </c>
      <c r="V11">
        <v>1.4037928321105533</v>
      </c>
      <c r="W11">
        <v>-3.6412835687649698</v>
      </c>
      <c r="X11">
        <v>7.3893931669528197</v>
      </c>
      <c r="Y11">
        <v>0.81852766526298837</v>
      </c>
      <c r="Z11">
        <v>-3.6412835687649698</v>
      </c>
      <c r="AA11">
        <v>7.3893931669528197</v>
      </c>
      <c r="AB11">
        <v>0.10165246065453992</v>
      </c>
      <c r="AC11">
        <v>-1.7617941996527999</v>
      </c>
      <c r="AD11">
        <v>7.3893931669528197</v>
      </c>
      <c r="AE11">
        <v>1.4048074867946012</v>
      </c>
      <c r="AF11">
        <v>-3.6412835687649698</v>
      </c>
      <c r="AG11">
        <v>4.5361586548219996</v>
      </c>
      <c r="AH11">
        <v>0.56457932325887328</v>
      </c>
      <c r="AI11">
        <v>-3.6412835687649698</v>
      </c>
      <c r="AJ11">
        <v>3.2292957924213002</v>
      </c>
      <c r="AK11">
        <v>0.4923635313356064</v>
      </c>
      <c r="AL11">
        <v>-3.618843326415</v>
      </c>
      <c r="AM11">
        <v>3.2789543816919999</v>
      </c>
      <c r="AN11">
        <v>0.12095899668761737</v>
      </c>
      <c r="AO11">
        <v>-3.6114253889399999</v>
      </c>
      <c r="AP11">
        <v>2.64424999478</v>
      </c>
      <c r="AQ11">
        <v>0.42052375415228677</v>
      </c>
      <c r="AR11">
        <v>-2.5629953364318001</v>
      </c>
      <c r="AS11">
        <v>7.3893931669528197</v>
      </c>
      <c r="AT11">
        <v>2.3135823389005581</v>
      </c>
      <c r="AV11" t="s">
        <v>547</v>
      </c>
      <c r="AW11" t="s">
        <v>528</v>
      </c>
      <c r="AX11">
        <v>1.822167024241419</v>
      </c>
      <c r="AY11">
        <v>-1.6370652610163465</v>
      </c>
      <c r="AZ11">
        <v>1.8947308717915987</v>
      </c>
      <c r="BA11">
        <v>-0.94882036098893108</v>
      </c>
      <c r="BB11">
        <v>-0.32017761883672857</v>
      </c>
      <c r="BC11">
        <v>0.12771365276126428</v>
      </c>
      <c r="BD11">
        <v>-0.91825224522667237</v>
      </c>
      <c r="BE11">
        <v>0.84282134735178482</v>
      </c>
      <c r="BF11">
        <v>1.1070535294900967</v>
      </c>
      <c r="BG11">
        <v>-0.70514219008025003</v>
      </c>
      <c r="BH11">
        <v>-1.1364229974077469</v>
      </c>
      <c r="BI11">
        <v>-1.5437654049382159</v>
      </c>
      <c r="BJ11">
        <v>-1.478188236894824</v>
      </c>
      <c r="BK11">
        <v>-0.4002397309588297</v>
      </c>
      <c r="BL11">
        <v>-0.30941243763290999</v>
      </c>
    </row>
    <row r="12" spans="1:64" x14ac:dyDescent="0.25">
      <c r="A12" t="s">
        <v>550</v>
      </c>
      <c r="B12">
        <v>-5.9813676998389997</v>
      </c>
      <c r="C12">
        <v>1.9624128926</v>
      </c>
      <c r="D12">
        <v>-0.25462613069320772</v>
      </c>
      <c r="E12">
        <v>-5.9813676998389997</v>
      </c>
      <c r="F12">
        <v>2.4464158535423199</v>
      </c>
      <c r="G12">
        <v>0.74984309146013117</v>
      </c>
      <c r="H12">
        <v>-4.2727385533530002</v>
      </c>
      <c r="I12">
        <v>2.4464158535423199</v>
      </c>
      <c r="J12">
        <v>1.1070535294900967</v>
      </c>
      <c r="K12">
        <v>-3.3173119449500001</v>
      </c>
      <c r="L12">
        <v>2.36936236799</v>
      </c>
      <c r="M12">
        <v>0.69346382531728645</v>
      </c>
      <c r="N12">
        <v>-1.7547124815194499</v>
      </c>
      <c r="O12">
        <v>3.4863352745396101</v>
      </c>
      <c r="P12">
        <v>1.1196535942048971</v>
      </c>
      <c r="Q12">
        <v>-3.2995727822613001</v>
      </c>
      <c r="R12">
        <v>3.2799347920000002</v>
      </c>
      <c r="S12">
        <v>0.79219133746819048</v>
      </c>
      <c r="T12">
        <v>-5.9813676998389997</v>
      </c>
      <c r="U12">
        <v>2.36936236799</v>
      </c>
      <c r="V12">
        <v>-0.25242712479995671</v>
      </c>
      <c r="W12">
        <v>-5.9813676998389997</v>
      </c>
      <c r="X12">
        <v>3.4863352745396101</v>
      </c>
      <c r="Y12">
        <v>0.70821062986091132</v>
      </c>
      <c r="Z12">
        <v>-5.9813676998389997</v>
      </c>
      <c r="AA12">
        <v>3.4863352745396101</v>
      </c>
      <c r="AB12">
        <v>0.85086044504897396</v>
      </c>
      <c r="AC12">
        <v>-5.9813676998389997</v>
      </c>
      <c r="AD12">
        <v>3.2799347920000002</v>
      </c>
      <c r="AE12">
        <v>0.65066689381629672</v>
      </c>
      <c r="AF12">
        <v>-3.3173119449500001</v>
      </c>
      <c r="AG12">
        <v>3.4863352745396101</v>
      </c>
      <c r="AH12">
        <v>1.1821261261806186</v>
      </c>
      <c r="AI12">
        <v>0.74312421776213999</v>
      </c>
      <c r="AJ12">
        <v>3.4863352745396101</v>
      </c>
      <c r="AK12">
        <v>1.7096046633372091</v>
      </c>
      <c r="AL12">
        <v>0.7951638111332</v>
      </c>
      <c r="AM12">
        <v>3.4238422546899998</v>
      </c>
      <c r="AN12">
        <v>2.0236985743367177</v>
      </c>
      <c r="AO12">
        <v>0.74312421776213999</v>
      </c>
      <c r="AP12">
        <v>3.4252977585118001</v>
      </c>
      <c r="AQ12">
        <v>1.6730743195204463</v>
      </c>
      <c r="AR12">
        <v>-5.9813676998389997</v>
      </c>
      <c r="AS12">
        <v>-0.786129542214691</v>
      </c>
      <c r="AT12">
        <v>-2.678555242700813</v>
      </c>
      <c r="AV12" t="s">
        <v>548</v>
      </c>
      <c r="AW12" t="s">
        <v>526</v>
      </c>
      <c r="AX12">
        <v>0.64523559282326004</v>
      </c>
      <c r="AY12">
        <v>-3.7257579715159999</v>
      </c>
      <c r="AZ12">
        <v>-16.389865191335002</v>
      </c>
      <c r="BA12">
        <v>-4.7172248655138</v>
      </c>
      <c r="BB12">
        <v>-6.1174651276500001</v>
      </c>
      <c r="BC12">
        <v>-3.4814961349944999</v>
      </c>
      <c r="BD12">
        <v>-3.4777382992392298</v>
      </c>
      <c r="BE12">
        <v>-2.5629953364318001</v>
      </c>
      <c r="BF12">
        <v>-3.3173119449500001</v>
      </c>
      <c r="BG12">
        <v>-3.9911856916277002</v>
      </c>
      <c r="BH12">
        <v>-3.4461686659813999</v>
      </c>
      <c r="BI12">
        <v>-2.811453577814</v>
      </c>
      <c r="BJ12">
        <v>-2.1579334328948101</v>
      </c>
      <c r="BK12">
        <v>-0.64893982818524998</v>
      </c>
      <c r="BL12">
        <v>-0.44763416269811002</v>
      </c>
    </row>
    <row r="13" spans="1:64" x14ac:dyDescent="0.25">
      <c r="A13" t="s">
        <v>551</v>
      </c>
      <c r="B13">
        <v>-5.7829556296621698</v>
      </c>
      <c r="C13">
        <v>2.7151484834291</v>
      </c>
      <c r="D13">
        <v>-1.9682012487510308</v>
      </c>
      <c r="E13">
        <v>-5.7829556296621698</v>
      </c>
      <c r="F13">
        <v>2.767568164279</v>
      </c>
      <c r="G13">
        <v>-1.1480774518556265</v>
      </c>
      <c r="H13">
        <v>-5.7829556296621698</v>
      </c>
      <c r="I13">
        <v>2.767568164279</v>
      </c>
      <c r="J13">
        <v>-0.70514219008025003</v>
      </c>
      <c r="K13">
        <v>-3.9911856916277002</v>
      </c>
      <c r="L13">
        <v>2.624325788583</v>
      </c>
      <c r="M13">
        <v>-1.1120744812471395</v>
      </c>
      <c r="N13">
        <v>-5.7829556296621698</v>
      </c>
      <c r="O13">
        <v>2.624325788583</v>
      </c>
      <c r="P13">
        <v>-1.5908303902351342</v>
      </c>
      <c r="Q13">
        <v>-5.7829556296621698</v>
      </c>
      <c r="R13">
        <v>-1.8393646133315</v>
      </c>
      <c r="S13">
        <v>-3.1821619838285793</v>
      </c>
      <c r="T13">
        <v>-3.572378846456</v>
      </c>
      <c r="U13">
        <v>2.767568164279</v>
      </c>
      <c r="V13">
        <v>-0.61956399687020558</v>
      </c>
      <c r="W13">
        <v>-3.9911856916277002</v>
      </c>
      <c r="X13">
        <v>2.624325788583</v>
      </c>
      <c r="Y13">
        <v>-1.4587482694053924</v>
      </c>
      <c r="Z13">
        <v>-2.911474497141</v>
      </c>
      <c r="AA13">
        <v>2.767568164279</v>
      </c>
      <c r="AB13">
        <v>-0.73975873444096463</v>
      </c>
      <c r="AC13">
        <v>-5.7829556296621698</v>
      </c>
      <c r="AD13">
        <v>2.767568164279</v>
      </c>
      <c r="AE13">
        <v>-1.3281282145746698</v>
      </c>
      <c r="AF13">
        <v>-4.1776959938453304</v>
      </c>
      <c r="AG13">
        <v>2.624325788583</v>
      </c>
      <c r="AH13">
        <v>0.52980262189769867</v>
      </c>
      <c r="AI13">
        <v>-4.1776959938453304</v>
      </c>
      <c r="AJ13">
        <v>2.7151484834291</v>
      </c>
      <c r="AK13">
        <v>-2.1206149472480682</v>
      </c>
      <c r="AL13">
        <v>-5.7829556296621698</v>
      </c>
      <c r="AM13">
        <v>0.82912457658880001</v>
      </c>
      <c r="AN13">
        <v>-2.4644775675294044</v>
      </c>
      <c r="AO13">
        <v>-5.7829556296621698</v>
      </c>
      <c r="AP13">
        <v>-1.229948692</v>
      </c>
      <c r="AQ13">
        <v>-2.8039415605609217</v>
      </c>
      <c r="AR13">
        <v>-4.6237463375664101</v>
      </c>
      <c r="AS13">
        <v>-0.68184134347499004</v>
      </c>
      <c r="AT13">
        <v>-1.6062974197092736</v>
      </c>
      <c r="AV13" t="s">
        <v>548</v>
      </c>
      <c r="AW13" t="s">
        <v>527</v>
      </c>
      <c r="AX13">
        <v>4.5888591971970003</v>
      </c>
      <c r="AY13">
        <v>6.243676731751</v>
      </c>
      <c r="AZ13">
        <v>7.1644578143939004</v>
      </c>
      <c r="BA13">
        <v>8.3238816818846999</v>
      </c>
      <c r="BB13">
        <v>2.8371648723549998</v>
      </c>
      <c r="BC13">
        <v>3.5323322431580002</v>
      </c>
      <c r="BD13">
        <v>4.2867321612888798</v>
      </c>
      <c r="BE13">
        <v>4.5361586548219996</v>
      </c>
      <c r="BF13">
        <v>2.36936236799</v>
      </c>
      <c r="BG13">
        <v>2.624325788583</v>
      </c>
      <c r="BH13">
        <v>-0.36162716268997003</v>
      </c>
      <c r="BI13">
        <v>-0.41788567733185</v>
      </c>
      <c r="BJ13">
        <v>-0.46633294624799998</v>
      </c>
      <c r="BK13">
        <v>-0.25463639740999999</v>
      </c>
      <c r="BL13">
        <v>-0.21832137987771</v>
      </c>
    </row>
    <row r="14" spans="1:64" x14ac:dyDescent="0.25">
      <c r="A14" t="s">
        <v>552</v>
      </c>
      <c r="B14">
        <v>-1.994314669714</v>
      </c>
      <c r="C14">
        <v>-0.24752691265099999</v>
      </c>
      <c r="D14">
        <v>-0.74689267943769333</v>
      </c>
      <c r="E14">
        <v>-3.4461686659813999</v>
      </c>
      <c r="F14">
        <v>-0.31123256333926003</v>
      </c>
      <c r="G14">
        <v>-0.92642010828378141</v>
      </c>
      <c r="H14">
        <v>-3.4461686659813999</v>
      </c>
      <c r="I14">
        <v>-0.31123256333926003</v>
      </c>
      <c r="J14">
        <v>-1.1364229974077469</v>
      </c>
      <c r="K14">
        <v>-3.4461686659813999</v>
      </c>
      <c r="L14">
        <v>-0.36162716268997003</v>
      </c>
      <c r="M14">
        <v>-1.230479631604833</v>
      </c>
      <c r="N14">
        <v>-2.1866337269569298</v>
      </c>
      <c r="O14">
        <v>-0.31123256333926003</v>
      </c>
      <c r="P14">
        <v>-0.73102337806452411</v>
      </c>
      <c r="Q14">
        <v>-1.994314669714</v>
      </c>
      <c r="R14">
        <v>-0.24752691265099999</v>
      </c>
      <c r="S14">
        <v>-0.88320166897112717</v>
      </c>
      <c r="T14">
        <v>-3.4461686659813999</v>
      </c>
      <c r="U14">
        <v>-0.36162716268997003</v>
      </c>
      <c r="V14">
        <v>-1.0296727742377159</v>
      </c>
      <c r="W14">
        <v>-2.1866337269569298</v>
      </c>
      <c r="X14">
        <v>-0.31992225248181</v>
      </c>
      <c r="Y14">
        <v>-0.87553293094445872</v>
      </c>
      <c r="Z14">
        <v>-3.4461686659813999</v>
      </c>
      <c r="AA14">
        <v>-0.24752691265099999</v>
      </c>
      <c r="AB14">
        <v>-0.92931387593979142</v>
      </c>
      <c r="AC14">
        <v>-2.2374163424870002</v>
      </c>
      <c r="AD14">
        <v>-0.24752691265099999</v>
      </c>
      <c r="AE14">
        <v>-0.96434645421824217</v>
      </c>
      <c r="AF14">
        <v>-3.4461686659813999</v>
      </c>
      <c r="AG14">
        <v>-0.24752691265099999</v>
      </c>
      <c r="AH14">
        <v>-0.89489749697220045</v>
      </c>
      <c r="AI14">
        <v>-1.994314669714</v>
      </c>
      <c r="AJ14">
        <v>-0.24752691265099999</v>
      </c>
      <c r="AK14">
        <v>-0.68192035419785557</v>
      </c>
      <c r="AL14">
        <v>-0.93147676228559995</v>
      </c>
      <c r="AM14">
        <v>-0.31123256333926003</v>
      </c>
      <c r="AN14">
        <v>-0.58035261215529588</v>
      </c>
      <c r="AO14">
        <v>-0.98775579125754998</v>
      </c>
      <c r="AP14">
        <v>-0.31123256333926003</v>
      </c>
      <c r="AQ14">
        <v>-0.61565872300418012</v>
      </c>
      <c r="AR14">
        <v>-0.75546462329499997</v>
      </c>
      <c r="AS14">
        <v>-0.36162716268997003</v>
      </c>
      <c r="AT14">
        <v>-0.5383826927904054</v>
      </c>
      <c r="AV14" t="s">
        <v>548</v>
      </c>
      <c r="AW14" t="s">
        <v>528</v>
      </c>
      <c r="AX14">
        <v>2.0810418399781367</v>
      </c>
      <c r="AY14">
        <v>-0.95184166562095329</v>
      </c>
      <c r="AZ14">
        <v>1.8693390602891742</v>
      </c>
      <c r="BA14">
        <v>3.6303672361205581E-2</v>
      </c>
      <c r="BB14">
        <v>-0.78276894231504857</v>
      </c>
      <c r="BC14">
        <v>0.56754786643761945</v>
      </c>
      <c r="BD14">
        <v>-1.2098597511212139</v>
      </c>
      <c r="BE14">
        <v>0.93455495282143752</v>
      </c>
      <c r="BF14">
        <v>0.69346382531728645</v>
      </c>
      <c r="BG14">
        <v>-1.1120744812471395</v>
      </c>
      <c r="BH14">
        <v>-1.230479631604833</v>
      </c>
      <c r="BI14">
        <v>-1.6898259281798065</v>
      </c>
      <c r="BJ14">
        <v>-1.5360943657478416</v>
      </c>
      <c r="BK14">
        <v>-0.40385308651731067</v>
      </c>
      <c r="BL14">
        <v>-0.30745337765802505</v>
      </c>
    </row>
    <row r="15" spans="1:64" x14ac:dyDescent="0.25">
      <c r="A15" t="s">
        <v>553</v>
      </c>
      <c r="B15">
        <v>-2.811453577814</v>
      </c>
      <c r="C15">
        <v>0.68219792658816003</v>
      </c>
      <c r="D15">
        <v>-1.4049547197224517</v>
      </c>
      <c r="E15">
        <v>-1.9877278533562599</v>
      </c>
      <c r="F15">
        <v>0.68219792658816003</v>
      </c>
      <c r="G15">
        <v>-1.3188097672997594</v>
      </c>
      <c r="H15">
        <v>-2.811453577814</v>
      </c>
      <c r="I15">
        <v>0.68219792658816003</v>
      </c>
      <c r="J15">
        <v>-1.5437654049382159</v>
      </c>
      <c r="K15">
        <v>-2.811453577814</v>
      </c>
      <c r="L15">
        <v>-0.41788567733185</v>
      </c>
      <c r="M15">
        <v>-1.6898259281798065</v>
      </c>
      <c r="N15">
        <v>-2.811453577814</v>
      </c>
      <c r="O15">
        <v>-0.41788567733185</v>
      </c>
      <c r="P15">
        <v>-1.5015575976849869</v>
      </c>
      <c r="Q15">
        <v>-2.811453577814</v>
      </c>
      <c r="R15">
        <v>-0.61923796255568997</v>
      </c>
      <c r="S15">
        <v>-1.5850354352491638</v>
      </c>
      <c r="T15">
        <v>-2.2897571792117</v>
      </c>
      <c r="U15">
        <v>0.68219792658816003</v>
      </c>
      <c r="V15">
        <v>-1.1565510054920216</v>
      </c>
      <c r="W15">
        <v>-2.2897571792117</v>
      </c>
      <c r="X15">
        <v>-0.61923796255568997</v>
      </c>
      <c r="Y15">
        <v>-1.5769014145145974</v>
      </c>
      <c r="Z15">
        <v>-2.2861714968200002</v>
      </c>
      <c r="AA15">
        <v>-0.96931782819000001</v>
      </c>
      <c r="AB15">
        <v>-1.6493923895381655</v>
      </c>
      <c r="AC15">
        <v>-2.2897571792117</v>
      </c>
      <c r="AD15">
        <v>0.68219792658816003</v>
      </c>
      <c r="AE15">
        <v>-1.5906708747302787</v>
      </c>
      <c r="AF15">
        <v>-1.9877278533562599</v>
      </c>
      <c r="AG15">
        <v>-0.41788567733185</v>
      </c>
      <c r="AH15">
        <v>-1.4589426510526293</v>
      </c>
      <c r="AI15">
        <v>-2.811453577814</v>
      </c>
      <c r="AJ15">
        <v>0.68219792658816003</v>
      </c>
      <c r="AK15">
        <v>-1.4954641884954643</v>
      </c>
      <c r="AL15">
        <v>0</v>
      </c>
      <c r="AM15">
        <v>0</v>
      </c>
      <c r="AN15" t="e">
        <v>#DIV/0!</v>
      </c>
      <c r="AO15">
        <v>-2.811453577814</v>
      </c>
      <c r="AP15">
        <v>-1.3117685464685001</v>
      </c>
      <c r="AQ15">
        <v>-1.8231613549923185</v>
      </c>
      <c r="AR15">
        <v>-1.9744968816249</v>
      </c>
      <c r="AS15">
        <v>-0.48165217615951</v>
      </c>
      <c r="AT15">
        <v>-1.1598023528153281</v>
      </c>
      <c r="AV15" t="s">
        <v>549</v>
      </c>
      <c r="AW15" t="s">
        <v>526</v>
      </c>
      <c r="AX15">
        <v>1.2918622513733</v>
      </c>
      <c r="AY15">
        <v>-3.7688486622499999</v>
      </c>
      <c r="AZ15">
        <v>-7.9849147336464403</v>
      </c>
      <c r="BA15">
        <v>-4.7172248655138</v>
      </c>
      <c r="BB15">
        <v>-6.1174651276500001</v>
      </c>
      <c r="BC15">
        <v>-3.4814961349944999</v>
      </c>
      <c r="BD15">
        <v>-3.4777382992392298</v>
      </c>
      <c r="BE15">
        <v>-3.6412835687649698</v>
      </c>
      <c r="BF15">
        <v>-1.7547124815194499</v>
      </c>
      <c r="BG15">
        <v>-5.7829556296621698</v>
      </c>
      <c r="BH15">
        <v>-2.1866337269569298</v>
      </c>
      <c r="BI15">
        <v>-2.811453577814</v>
      </c>
      <c r="BJ15">
        <v>-1.9768977668515999</v>
      </c>
      <c r="BK15">
        <v>-0.64893982818524998</v>
      </c>
      <c r="BL15">
        <v>-0.459567621466</v>
      </c>
    </row>
    <row r="16" spans="1:64" x14ac:dyDescent="0.25">
      <c r="A16" t="s">
        <v>554</v>
      </c>
      <c r="B16">
        <v>-1.9614378244748001</v>
      </c>
      <c r="C16">
        <v>-0.46633294624799998</v>
      </c>
      <c r="D16">
        <v>-1.2706002556442233</v>
      </c>
      <c r="E16">
        <v>-1.9614378244748001</v>
      </c>
      <c r="F16">
        <v>-0.46633294624799998</v>
      </c>
      <c r="G16">
        <v>-1.2917211445653733</v>
      </c>
      <c r="H16">
        <v>-2.1579334328948101</v>
      </c>
      <c r="I16">
        <v>-0.51455273742498997</v>
      </c>
      <c r="J16">
        <v>-1.478188236894824</v>
      </c>
      <c r="K16">
        <v>-2.1579334328948101</v>
      </c>
      <c r="L16">
        <v>-0.46633294624799998</v>
      </c>
      <c r="M16">
        <v>-1.5360943657478416</v>
      </c>
      <c r="N16">
        <v>-1.9768977668515999</v>
      </c>
      <c r="O16">
        <v>-0.46633294624799998</v>
      </c>
      <c r="P16">
        <v>-1.2683604707631948</v>
      </c>
      <c r="Q16">
        <v>-1.9614378244748001</v>
      </c>
      <c r="R16">
        <v>-0.57595154279399996</v>
      </c>
      <c r="S16">
        <v>-1.3719755036829375</v>
      </c>
      <c r="T16">
        <v>-2.1579334328948101</v>
      </c>
      <c r="U16">
        <v>-0.46633294624799998</v>
      </c>
      <c r="V16">
        <v>-1.1160362176043868</v>
      </c>
      <c r="W16">
        <v>-2.1579334328948101</v>
      </c>
      <c r="X16">
        <v>-0.57595154279399996</v>
      </c>
      <c r="Y16">
        <v>-1.4798120747831274</v>
      </c>
      <c r="Z16">
        <v>-2.1579334328948101</v>
      </c>
      <c r="AA16">
        <v>-0.87726487244932005</v>
      </c>
      <c r="AB16">
        <v>-1.6283352369670385</v>
      </c>
      <c r="AC16">
        <v>-2.1579334328948101</v>
      </c>
      <c r="AD16">
        <v>-0.64313496189554997</v>
      </c>
      <c r="AE16">
        <v>-1.5761237787316735</v>
      </c>
      <c r="AF16">
        <v>-1.61826489729</v>
      </c>
      <c r="AG16">
        <v>-0.46633294624799998</v>
      </c>
      <c r="AH16">
        <v>-1.2359593531518278</v>
      </c>
      <c r="AI16">
        <v>0</v>
      </c>
      <c r="AJ16">
        <v>0</v>
      </c>
      <c r="AK16" t="e">
        <v>#DIV/0!</v>
      </c>
      <c r="AL16">
        <v>-2.1579334328948101</v>
      </c>
      <c r="AM16">
        <v>-0.46633294624799998</v>
      </c>
      <c r="AN16">
        <v>-1.3873816176623426</v>
      </c>
      <c r="AO16">
        <v>-1.9833459616289999</v>
      </c>
      <c r="AP16">
        <v>-1.1584397252758001</v>
      </c>
      <c r="AQ16">
        <v>-1.6255687953649649</v>
      </c>
      <c r="AR16">
        <v>-1.6985843851785001</v>
      </c>
      <c r="AS16">
        <v>-0.46633294624799998</v>
      </c>
      <c r="AT16">
        <v>-0.94128646774864044</v>
      </c>
      <c r="AV16" t="s">
        <v>549</v>
      </c>
      <c r="AW16" t="s">
        <v>527</v>
      </c>
      <c r="AX16">
        <v>4.7566285654492004</v>
      </c>
      <c r="AY16">
        <v>5.9597465984192999</v>
      </c>
      <c r="AZ16">
        <v>7.1644578143939004</v>
      </c>
      <c r="BA16">
        <v>5.1253951469858103</v>
      </c>
      <c r="BB16">
        <v>3.7742479327449998</v>
      </c>
      <c r="BC16">
        <v>5.9352388375557998</v>
      </c>
      <c r="BD16">
        <v>1.5676711826775001</v>
      </c>
      <c r="BE16">
        <v>3.2789543816919999</v>
      </c>
      <c r="BF16">
        <v>3.4863352745396101</v>
      </c>
      <c r="BG16">
        <v>2.624325788583</v>
      </c>
      <c r="BH16">
        <v>-0.31123256333926003</v>
      </c>
      <c r="BI16">
        <v>-0.41788567733185</v>
      </c>
      <c r="BJ16">
        <v>-0.46633294624799998</v>
      </c>
      <c r="BK16">
        <v>-0.19678766353348001</v>
      </c>
      <c r="BL16">
        <v>-0.2136545692945</v>
      </c>
    </row>
    <row r="17" spans="1:64" x14ac:dyDescent="0.25">
      <c r="A17" t="s">
        <v>555</v>
      </c>
      <c r="B17">
        <v>-0.64893982818524998</v>
      </c>
      <c r="C17">
        <v>-0.25734526517</v>
      </c>
      <c r="D17">
        <v>-0.39229711551757723</v>
      </c>
      <c r="E17">
        <v>-0.51257467259650003</v>
      </c>
      <c r="F17">
        <v>-0.25463639740999999</v>
      </c>
      <c r="G17">
        <v>-0.35375685121575418</v>
      </c>
      <c r="H17">
        <v>-0.64893982818524998</v>
      </c>
      <c r="I17">
        <v>-0.25463639740999999</v>
      </c>
      <c r="J17">
        <v>-0.4002397309588297</v>
      </c>
      <c r="K17">
        <v>-0.64893982818524998</v>
      </c>
      <c r="L17">
        <v>-0.25463639740999999</v>
      </c>
      <c r="M17">
        <v>-0.40385308651731067</v>
      </c>
      <c r="N17">
        <v>-0.64893982818524998</v>
      </c>
      <c r="O17">
        <v>-0.19678766353348001</v>
      </c>
      <c r="P17">
        <v>-0.3848232354605377</v>
      </c>
      <c r="Q17">
        <v>-0.64893982818524998</v>
      </c>
      <c r="R17">
        <v>-0.25734526517</v>
      </c>
      <c r="S17">
        <v>-0.39557156100791868</v>
      </c>
      <c r="T17">
        <v>-0.54237769288990001</v>
      </c>
      <c r="U17">
        <v>-0.21673122781199999</v>
      </c>
      <c r="V17">
        <v>-0.37639612150213747</v>
      </c>
      <c r="W17">
        <v>-0.54237769288990001</v>
      </c>
      <c r="X17">
        <v>-0.19678766353348001</v>
      </c>
      <c r="Y17">
        <v>-0.34021429878857301</v>
      </c>
      <c r="Z17">
        <v>-0.43583928646879999</v>
      </c>
      <c r="AA17">
        <v>-0.19678766353348001</v>
      </c>
      <c r="AB17">
        <v>-0.31378145734931817</v>
      </c>
      <c r="AC17">
        <v>-0.54237769288990001</v>
      </c>
      <c r="AD17">
        <v>-0.27964346541637403</v>
      </c>
      <c r="AE17">
        <v>-0.3899882497053978</v>
      </c>
      <c r="AF17">
        <v>-0.37825649914142001</v>
      </c>
      <c r="AG17">
        <v>-0.19678766353348001</v>
      </c>
      <c r="AH17">
        <v>-0.28864596507869467</v>
      </c>
      <c r="AI17">
        <v>-0.64893982818524998</v>
      </c>
      <c r="AJ17">
        <v>-0.19821775582524001</v>
      </c>
      <c r="AK17">
        <v>-0.36652372428536739</v>
      </c>
      <c r="AL17">
        <v>-0.58728868885120999</v>
      </c>
      <c r="AM17">
        <v>-0.19678766353348001</v>
      </c>
      <c r="AN17">
        <v>-0.36857239531090524</v>
      </c>
      <c r="AO17">
        <v>-0.64893982818524998</v>
      </c>
      <c r="AP17">
        <v>-0.19678766353348001</v>
      </c>
      <c r="AQ17">
        <v>-0.36745493838788462</v>
      </c>
      <c r="AR17">
        <v>0</v>
      </c>
      <c r="AS17">
        <v>0</v>
      </c>
      <c r="AT17" t="e">
        <v>#DIV/0!</v>
      </c>
      <c r="AV17" t="s">
        <v>549</v>
      </c>
      <c r="AW17" t="s">
        <v>528</v>
      </c>
      <c r="AX17">
        <v>2.6846621432560545</v>
      </c>
      <c r="AY17">
        <v>-0.72488038665653376</v>
      </c>
      <c r="AZ17">
        <v>1.9435997986159834</v>
      </c>
      <c r="BA17">
        <v>0.13423467103490466</v>
      </c>
      <c r="BB17">
        <v>-1.0037831866802791</v>
      </c>
      <c r="BC17">
        <v>2.5089998884585706E-2</v>
      </c>
      <c r="BD17">
        <v>-1.6991344443498824</v>
      </c>
      <c r="BE17">
        <v>0.47575747371365168</v>
      </c>
      <c r="BF17">
        <v>1.1196535942048971</v>
      </c>
      <c r="BG17">
        <v>-1.5908303902351342</v>
      </c>
      <c r="BH17">
        <v>-0.73102337806452411</v>
      </c>
      <c r="BI17">
        <v>-1.5015575976849869</v>
      </c>
      <c r="BJ17">
        <v>-1.2683604707631948</v>
      </c>
      <c r="BK17">
        <v>-0.3848232354605377</v>
      </c>
      <c r="BL17">
        <v>-0.28758367537306262</v>
      </c>
    </row>
    <row r="18" spans="1:64" x14ac:dyDescent="0.25">
      <c r="A18" t="s">
        <v>556</v>
      </c>
      <c r="B18">
        <v>-0.56575731664841999</v>
      </c>
      <c r="C18">
        <v>-0.2136545692945</v>
      </c>
      <c r="D18">
        <v>-0.31396537795266621</v>
      </c>
      <c r="E18">
        <v>-0.56575731664841999</v>
      </c>
      <c r="F18">
        <v>-0.2136545692945</v>
      </c>
      <c r="G18">
        <v>-0.30245660232201554</v>
      </c>
      <c r="H18">
        <v>-0.459567621466</v>
      </c>
      <c r="I18">
        <v>-0.21827759727500001</v>
      </c>
      <c r="J18">
        <v>-0.30941243763290999</v>
      </c>
      <c r="K18">
        <v>-0.44763416269811002</v>
      </c>
      <c r="L18">
        <v>-0.21832137987771</v>
      </c>
      <c r="M18">
        <v>-0.30745337765802505</v>
      </c>
      <c r="N18">
        <v>-0.459567621466</v>
      </c>
      <c r="O18">
        <v>-0.2136545692945</v>
      </c>
      <c r="P18">
        <v>-0.28758367537306262</v>
      </c>
      <c r="Q18">
        <v>-0.459567621466</v>
      </c>
      <c r="R18">
        <v>-0.2136545692945</v>
      </c>
      <c r="S18">
        <v>-0.32251263517147266</v>
      </c>
      <c r="T18">
        <v>-0.56575731664841999</v>
      </c>
      <c r="U18">
        <v>-0.21827759727500001</v>
      </c>
      <c r="V18">
        <v>-0.321168009438694</v>
      </c>
      <c r="W18">
        <v>-0.56575731664841999</v>
      </c>
      <c r="X18">
        <v>-0.24813344676963101</v>
      </c>
      <c r="Y18">
        <v>-0.35555237181687821</v>
      </c>
      <c r="Z18">
        <v>-0.56575731664841999</v>
      </c>
      <c r="AA18">
        <v>-0.28779546337667</v>
      </c>
      <c r="AB18">
        <v>-0.39267163539820371</v>
      </c>
      <c r="AC18">
        <v>-0.56575731664841999</v>
      </c>
      <c r="AD18">
        <v>-0.21832137987771</v>
      </c>
      <c r="AE18">
        <v>-0.32109124426330105</v>
      </c>
      <c r="AF18">
        <v>-0.37766464541</v>
      </c>
      <c r="AG18">
        <v>-0.2136545692945</v>
      </c>
      <c r="AH18">
        <v>-0.27809213797925331</v>
      </c>
      <c r="AI18">
        <v>-0.26881218367210002</v>
      </c>
      <c r="AJ18">
        <v>-0.2136545692945</v>
      </c>
      <c r="AK18">
        <v>-0.23104506144857401</v>
      </c>
      <c r="AL18">
        <v>-0.29462871491786002</v>
      </c>
      <c r="AM18">
        <v>-0.21827759727500001</v>
      </c>
      <c r="AN18">
        <v>-0.24636484023018729</v>
      </c>
      <c r="AO18">
        <v>0</v>
      </c>
      <c r="AP18">
        <v>0</v>
      </c>
      <c r="AQ18" t="e">
        <v>#DIV/0!</v>
      </c>
      <c r="AR18">
        <v>-0.56575731664841999</v>
      </c>
      <c r="AS18">
        <v>-0.2136545692945</v>
      </c>
      <c r="AT18">
        <v>-0.31396537795266621</v>
      </c>
      <c r="AV18" t="s">
        <v>509</v>
      </c>
      <c r="AW18" t="s">
        <v>526</v>
      </c>
      <c r="AX18">
        <v>0.41363275379395298</v>
      </c>
      <c r="AY18">
        <v>-3.7688486622499999</v>
      </c>
      <c r="AZ18">
        <v>-8.3398755733919998</v>
      </c>
      <c r="BA18">
        <v>-4.7172248655138</v>
      </c>
      <c r="BB18">
        <v>-6.1174651276500001</v>
      </c>
      <c r="BC18">
        <v>-3.4814961349944999</v>
      </c>
      <c r="BD18">
        <v>-3.4777382992392298</v>
      </c>
      <c r="BE18">
        <v>-2.5629953364318001</v>
      </c>
      <c r="BF18">
        <v>-3.2995727822613001</v>
      </c>
      <c r="BG18">
        <v>-5.7829556296621698</v>
      </c>
      <c r="BH18">
        <v>-1.994314669714</v>
      </c>
      <c r="BI18">
        <v>-2.811453577814</v>
      </c>
      <c r="BJ18">
        <v>-1.9614378244748001</v>
      </c>
      <c r="BK18">
        <v>-0.64893982818524998</v>
      </c>
      <c r="BL18">
        <v>-0.459567621466</v>
      </c>
    </row>
    <row r="19" spans="1:64" x14ac:dyDescent="0.25">
      <c r="AV19" t="s">
        <v>509</v>
      </c>
      <c r="AW19" t="s">
        <v>527</v>
      </c>
      <c r="AX19">
        <v>4.7566285654492004</v>
      </c>
      <c r="AY19">
        <v>5.9597465984192999</v>
      </c>
      <c r="AZ19">
        <v>6.7196225843972002</v>
      </c>
      <c r="BA19">
        <v>5.7193145645829997</v>
      </c>
      <c r="BB19">
        <v>3.7742479327449998</v>
      </c>
      <c r="BC19">
        <v>5.9352388375557998</v>
      </c>
      <c r="BD19">
        <v>0.83723372929286</v>
      </c>
      <c r="BE19">
        <v>4.5361586548219996</v>
      </c>
      <c r="BF19">
        <v>3.2799347920000002</v>
      </c>
      <c r="BG19">
        <v>-1.8393646133315</v>
      </c>
      <c r="BH19">
        <v>-0.24752691265099999</v>
      </c>
      <c r="BI19">
        <v>-0.61923796255568997</v>
      </c>
      <c r="BJ19">
        <v>-0.57595154279399996</v>
      </c>
      <c r="BK19">
        <v>-0.25734526517</v>
      </c>
      <c r="BL19">
        <v>-0.2136545692945</v>
      </c>
    </row>
    <row r="20" spans="1:64" x14ac:dyDescent="0.25">
      <c r="AV20" t="s">
        <v>509</v>
      </c>
      <c r="AW20" t="s">
        <v>528</v>
      </c>
      <c r="AX20">
        <v>1.8179558141764229</v>
      </c>
      <c r="AY20">
        <v>-0.23815992341765468</v>
      </c>
      <c r="AZ20">
        <v>1.2594696123091345</v>
      </c>
      <c r="BA20">
        <v>0.40490398778352871</v>
      </c>
      <c r="BB20">
        <v>-1.2204544678085671</v>
      </c>
      <c r="BC20">
        <v>0.53473942194835788</v>
      </c>
      <c r="BD20">
        <v>-1.3595248135489868</v>
      </c>
      <c r="BE20">
        <v>1.0566994049432703</v>
      </c>
      <c r="BF20">
        <v>0.79219133746819048</v>
      </c>
      <c r="BG20">
        <v>-3.1821619838285793</v>
      </c>
      <c r="BH20">
        <v>-0.88320166897112717</v>
      </c>
      <c r="BI20">
        <v>-1.5850354352491638</v>
      </c>
      <c r="BJ20">
        <v>-1.3719755036829375</v>
      </c>
      <c r="BK20">
        <v>-0.39557156100791868</v>
      </c>
      <c r="BL20">
        <v>-0.32251263517147266</v>
      </c>
    </row>
    <row r="21" spans="1:64" x14ac:dyDescent="0.25">
      <c r="AV21" t="s">
        <v>510</v>
      </c>
      <c r="AW21" t="s">
        <v>526</v>
      </c>
      <c r="AX21">
        <v>0.41363275379395298</v>
      </c>
      <c r="AY21">
        <v>-5.8145231142830003</v>
      </c>
      <c r="AZ21">
        <v>-16.389865191335002</v>
      </c>
      <c r="BA21">
        <v>-4.3383681863838</v>
      </c>
      <c r="BB21">
        <v>-6.1174651276500001</v>
      </c>
      <c r="BC21">
        <v>-2.51539546887</v>
      </c>
      <c r="BD21">
        <v>-3.4777382992392298</v>
      </c>
      <c r="BE21">
        <v>-2.5629953364318001</v>
      </c>
      <c r="BF21">
        <v>-5.9813676998389997</v>
      </c>
      <c r="BG21">
        <v>-3.572378846456</v>
      </c>
      <c r="BH21">
        <v>-3.4461686659813999</v>
      </c>
      <c r="BI21">
        <v>-2.2897571792117</v>
      </c>
      <c r="BJ21">
        <v>-2.1579334328948101</v>
      </c>
      <c r="BK21">
        <v>-0.54237769288990001</v>
      </c>
      <c r="BL21">
        <v>-0.56575731664841999</v>
      </c>
    </row>
    <row r="22" spans="1:64" x14ac:dyDescent="0.25">
      <c r="AV22" t="s">
        <v>510</v>
      </c>
      <c r="AW22" t="s">
        <v>527</v>
      </c>
      <c r="AX22">
        <v>4.7566285654492004</v>
      </c>
      <c r="AY22">
        <v>6.243676731751</v>
      </c>
      <c r="AZ22">
        <v>6.1827581582261004</v>
      </c>
      <c r="BA22">
        <v>8.3238816818846999</v>
      </c>
      <c r="BB22">
        <v>2.8273423171699998</v>
      </c>
      <c r="BC22">
        <v>3.5323322431580002</v>
      </c>
      <c r="BD22">
        <v>4.2867321612888798</v>
      </c>
      <c r="BE22">
        <v>7.3893931669528197</v>
      </c>
      <c r="BF22">
        <v>2.36936236799</v>
      </c>
      <c r="BG22">
        <v>2.767568164279</v>
      </c>
      <c r="BH22">
        <v>-0.36162716268997003</v>
      </c>
      <c r="BI22">
        <v>0.68219792658816003</v>
      </c>
      <c r="BJ22">
        <v>-0.46633294624799998</v>
      </c>
      <c r="BK22">
        <v>-0.21673122781199999</v>
      </c>
      <c r="BL22">
        <v>-0.21827759727500001</v>
      </c>
    </row>
    <row r="23" spans="1:64" x14ac:dyDescent="0.25">
      <c r="AV23" t="s">
        <v>510</v>
      </c>
      <c r="AW23" t="s">
        <v>528</v>
      </c>
      <c r="AX23">
        <v>2.2933379387104527</v>
      </c>
      <c r="AY23">
        <v>-1.6390367685261673</v>
      </c>
      <c r="AZ23">
        <v>1.9097786394041047</v>
      </c>
      <c r="BA23">
        <v>1.2685850229609115</v>
      </c>
      <c r="BB23">
        <v>-1.8239611754457141</v>
      </c>
      <c r="BC23">
        <v>0.52030496034350071</v>
      </c>
      <c r="BD23">
        <v>-1.214737731601492</v>
      </c>
      <c r="BE23">
        <v>1.4037928321105533</v>
      </c>
      <c r="BF23">
        <v>-0.25242712479995671</v>
      </c>
      <c r="BG23">
        <v>-0.61956399687020558</v>
      </c>
      <c r="BH23">
        <v>-1.0296727742377159</v>
      </c>
      <c r="BI23">
        <v>-1.1565510054920216</v>
      </c>
      <c r="BJ23">
        <v>-1.1160362176043868</v>
      </c>
      <c r="BK23">
        <v>-0.37639612150213747</v>
      </c>
      <c r="BL23">
        <v>-0.321168009438694</v>
      </c>
    </row>
    <row r="24" spans="1:64" x14ac:dyDescent="0.25">
      <c r="AV24" t="s">
        <v>515</v>
      </c>
      <c r="AW24" t="s">
        <v>526</v>
      </c>
      <c r="AX24">
        <v>0.93769256122473699</v>
      </c>
      <c r="AY24">
        <v>-5.1483644666527999</v>
      </c>
      <c r="AZ24">
        <v>-5.5213332242998003</v>
      </c>
      <c r="BA24">
        <v>-4.3383681863838</v>
      </c>
      <c r="BB24">
        <v>-6.1174651276500001</v>
      </c>
      <c r="BC24">
        <v>-2.1165598634428</v>
      </c>
      <c r="BD24">
        <v>-3.1425392474715501</v>
      </c>
      <c r="BE24">
        <v>-3.6412835687649698</v>
      </c>
      <c r="BF24">
        <v>-5.9813676998389997</v>
      </c>
      <c r="BG24">
        <v>-3.9911856916277002</v>
      </c>
      <c r="BH24">
        <v>-2.1866337269569298</v>
      </c>
      <c r="BI24">
        <v>-2.2897571792117</v>
      </c>
      <c r="BJ24">
        <v>-2.1579334328948101</v>
      </c>
      <c r="BK24">
        <v>-0.54237769288990001</v>
      </c>
      <c r="BL24">
        <v>-0.56575731664841999</v>
      </c>
    </row>
    <row r="25" spans="1:64" x14ac:dyDescent="0.25">
      <c r="AV25" t="s">
        <v>515</v>
      </c>
      <c r="AW25" t="s">
        <v>527</v>
      </c>
      <c r="AX25">
        <v>4.5355334856287</v>
      </c>
      <c r="AY25">
        <v>2.3894521958527002</v>
      </c>
      <c r="AZ25">
        <v>7.1644578143939004</v>
      </c>
      <c r="BA25">
        <v>4.4147969578487301</v>
      </c>
      <c r="BB25">
        <v>3.7742479327449998</v>
      </c>
      <c r="BC25">
        <v>5.9352388375557998</v>
      </c>
      <c r="BD25">
        <v>1.5676711826775001</v>
      </c>
      <c r="BE25">
        <v>7.3893931669528197</v>
      </c>
      <c r="BF25">
        <v>3.4863352745396101</v>
      </c>
      <c r="BG25">
        <v>2.624325788583</v>
      </c>
      <c r="BH25">
        <v>-0.31992225248181</v>
      </c>
      <c r="BI25">
        <v>-0.61923796255568997</v>
      </c>
      <c r="BJ25">
        <v>-0.57595154279399996</v>
      </c>
      <c r="BK25">
        <v>-0.19678766353348001</v>
      </c>
      <c r="BL25">
        <v>-0.24813344676963101</v>
      </c>
    </row>
    <row r="26" spans="1:64" x14ac:dyDescent="0.25">
      <c r="AV26" t="s">
        <v>515</v>
      </c>
      <c r="AW26" t="s">
        <v>528</v>
      </c>
      <c r="AX26">
        <v>2.1293025465655027</v>
      </c>
      <c r="AY26">
        <v>-1.3433859102467058</v>
      </c>
      <c r="AZ26">
        <v>3.1587272168387952</v>
      </c>
      <c r="BA26">
        <v>-0.40316595895758073</v>
      </c>
      <c r="BB26">
        <v>0.22405092991801864</v>
      </c>
      <c r="BC26">
        <v>1.1229272567452353</v>
      </c>
      <c r="BD26">
        <v>-1.0817326261535507</v>
      </c>
      <c r="BE26">
        <v>0.81852766526298837</v>
      </c>
      <c r="BF26">
        <v>0.70821062986091132</v>
      </c>
      <c r="BG26">
        <v>-1.4587482694053924</v>
      </c>
      <c r="BH26">
        <v>-0.87553293094445872</v>
      </c>
      <c r="BI26">
        <v>-1.5769014145145974</v>
      </c>
      <c r="BJ26">
        <v>-1.4798120747831274</v>
      </c>
      <c r="BK26">
        <v>-0.34021429878857301</v>
      </c>
      <c r="BL26">
        <v>-0.35555237181687821</v>
      </c>
    </row>
    <row r="27" spans="1:64" x14ac:dyDescent="0.25">
      <c r="AV27" t="s">
        <v>550</v>
      </c>
      <c r="AW27" t="s">
        <v>526</v>
      </c>
      <c r="AX27">
        <v>0.41363275379395298</v>
      </c>
      <c r="AY27">
        <v>-5.8145231142830003</v>
      </c>
      <c r="AZ27">
        <v>-16.389865191335002</v>
      </c>
      <c r="BA27">
        <v>-3.4993543395315498</v>
      </c>
      <c r="BB27">
        <v>-5.5184512392169998</v>
      </c>
      <c r="BC27">
        <v>-2.51539546887</v>
      </c>
      <c r="BD27">
        <v>-3.4777382992392298</v>
      </c>
      <c r="BE27">
        <v>-3.6412835687649698</v>
      </c>
      <c r="BF27">
        <v>-5.9813676998389997</v>
      </c>
      <c r="BG27">
        <v>-2.911474497141</v>
      </c>
      <c r="BH27">
        <v>-3.4461686659813999</v>
      </c>
      <c r="BI27">
        <v>-2.2861714968200002</v>
      </c>
      <c r="BJ27">
        <v>-2.1579334328948101</v>
      </c>
      <c r="BK27">
        <v>-0.43583928646879999</v>
      </c>
      <c r="BL27">
        <v>-0.56575731664841999</v>
      </c>
    </row>
    <row r="28" spans="1:64" x14ac:dyDescent="0.25">
      <c r="AV28" t="s">
        <v>550</v>
      </c>
      <c r="AW28" t="s">
        <v>527</v>
      </c>
      <c r="AX28">
        <v>4.7566285654492004</v>
      </c>
      <c r="AY28">
        <v>6.243676731751</v>
      </c>
      <c r="AZ28">
        <v>6.2874874367196201</v>
      </c>
      <c r="BA28">
        <v>8.3238816818846999</v>
      </c>
      <c r="BB28">
        <v>1.5918735198989999</v>
      </c>
      <c r="BC28">
        <v>3.5323322431580002</v>
      </c>
      <c r="BD28">
        <v>4.2867321612888798</v>
      </c>
      <c r="BE28">
        <v>7.3893931669528197</v>
      </c>
      <c r="BF28">
        <v>3.4863352745396101</v>
      </c>
      <c r="BG28">
        <v>2.767568164279</v>
      </c>
      <c r="BH28">
        <v>-0.24752691265099999</v>
      </c>
      <c r="BI28">
        <v>-0.96931782819000001</v>
      </c>
      <c r="BJ28">
        <v>-0.87726487244932005</v>
      </c>
      <c r="BK28">
        <v>-0.19678766353348001</v>
      </c>
      <c r="BL28">
        <v>-0.28779546337667</v>
      </c>
    </row>
    <row r="29" spans="1:64" x14ac:dyDescent="0.25">
      <c r="AV29" t="s">
        <v>550</v>
      </c>
      <c r="AW29" t="s">
        <v>528</v>
      </c>
      <c r="AX29">
        <v>1.8045403225091572</v>
      </c>
      <c r="AY29">
        <v>-1.9366989768520537</v>
      </c>
      <c r="AZ29">
        <v>1.5693779448658025</v>
      </c>
      <c r="BA29">
        <v>0.35422647474583724</v>
      </c>
      <c r="BB29">
        <v>-1.282076689982377</v>
      </c>
      <c r="BC29">
        <v>1.1156594102845137</v>
      </c>
      <c r="BD29">
        <v>-1.0197287945617635</v>
      </c>
      <c r="BE29">
        <v>0.10165246065453992</v>
      </c>
      <c r="BF29">
        <v>0.85086044504897396</v>
      </c>
      <c r="BG29">
        <v>-0.73975873444096463</v>
      </c>
      <c r="BH29">
        <v>-0.92931387593979142</v>
      </c>
      <c r="BI29">
        <v>-1.6493923895381655</v>
      </c>
      <c r="BJ29">
        <v>-1.6283352369670385</v>
      </c>
      <c r="BK29">
        <v>-0.31378145734931817</v>
      </c>
      <c r="BL29">
        <v>-0.39267163539820371</v>
      </c>
    </row>
    <row r="30" spans="1:64" x14ac:dyDescent="0.25">
      <c r="AV30" t="s">
        <v>551</v>
      </c>
      <c r="AW30" t="s">
        <v>526</v>
      </c>
      <c r="AX30">
        <v>0.62922523971690003</v>
      </c>
      <c r="AY30">
        <v>-5.8145231142830003</v>
      </c>
      <c r="AZ30">
        <v>-7.1591617925576001</v>
      </c>
      <c r="BA30">
        <v>-4.3383681863838</v>
      </c>
      <c r="BB30">
        <v>-3.5799835348509998</v>
      </c>
      <c r="BC30">
        <v>1.263567672225</v>
      </c>
      <c r="BD30">
        <v>-2.6124782451256001</v>
      </c>
      <c r="BE30">
        <v>-1.7617941996527999</v>
      </c>
      <c r="BF30">
        <v>-5.9813676998389997</v>
      </c>
      <c r="BG30">
        <v>-5.7829556296621698</v>
      </c>
      <c r="BH30">
        <v>-2.2374163424870002</v>
      </c>
      <c r="BI30">
        <v>-2.2897571792117</v>
      </c>
      <c r="BJ30">
        <v>-2.1579334328948101</v>
      </c>
      <c r="BK30">
        <v>-0.54237769288990001</v>
      </c>
      <c r="BL30">
        <v>-0.56575731664841999</v>
      </c>
    </row>
    <row r="31" spans="1:64" x14ac:dyDescent="0.25">
      <c r="AV31" t="s">
        <v>551</v>
      </c>
      <c r="AW31" t="s">
        <v>527</v>
      </c>
      <c r="AX31">
        <v>4.2234496529719001</v>
      </c>
      <c r="AY31">
        <v>5.9597465984192999</v>
      </c>
      <c r="AZ31">
        <v>6.1827581582261004</v>
      </c>
      <c r="BA31">
        <v>5.6713539716436099</v>
      </c>
      <c r="BB31">
        <v>3.7742479327449998</v>
      </c>
      <c r="BC31">
        <v>5.9352388375557998</v>
      </c>
      <c r="BD31">
        <v>1.8737141926940999</v>
      </c>
      <c r="BE31">
        <v>7.3893931669528197</v>
      </c>
      <c r="BF31">
        <v>3.2799347920000002</v>
      </c>
      <c r="BG31">
        <v>2.767568164279</v>
      </c>
      <c r="BH31">
        <v>-0.24752691265099999</v>
      </c>
      <c r="BI31">
        <v>0.68219792658816003</v>
      </c>
      <c r="BJ31">
        <v>-0.64313496189554997</v>
      </c>
      <c r="BK31">
        <v>-0.27964346541637403</v>
      </c>
      <c r="BL31">
        <v>-0.21832137987771</v>
      </c>
    </row>
    <row r="32" spans="1:64" x14ac:dyDescent="0.25">
      <c r="AV32" t="s">
        <v>551</v>
      </c>
      <c r="AW32" t="s">
        <v>528</v>
      </c>
      <c r="AX32">
        <v>1.9723507276621084</v>
      </c>
      <c r="AY32">
        <v>-0.10655942231381173</v>
      </c>
      <c r="AZ32">
        <v>1.4830016034755649</v>
      </c>
      <c r="BA32">
        <v>-0.35424912161062883</v>
      </c>
      <c r="BB32">
        <v>-0.25016408629646752</v>
      </c>
      <c r="BC32">
        <v>2.5183354422118307</v>
      </c>
      <c r="BD32">
        <v>-0.91355938599358877</v>
      </c>
      <c r="BE32">
        <v>1.4048074867946012</v>
      </c>
      <c r="BF32">
        <v>0.65066689381629672</v>
      </c>
      <c r="BG32">
        <v>-1.3281282145746698</v>
      </c>
      <c r="BH32">
        <v>-0.96434645421824217</v>
      </c>
      <c r="BI32">
        <v>-1.5906708747302787</v>
      </c>
      <c r="BJ32">
        <v>-1.5761237787316735</v>
      </c>
      <c r="BK32">
        <v>-0.3899882497053978</v>
      </c>
      <c r="BL32">
        <v>-0.32109124426330105</v>
      </c>
    </row>
    <row r="33" spans="48:64" x14ac:dyDescent="0.25">
      <c r="AV33" t="s">
        <v>552</v>
      </c>
      <c r="AW33" t="s">
        <v>526</v>
      </c>
      <c r="AX33">
        <v>0.41363275379395298</v>
      </c>
      <c r="AY33">
        <v>-3.63521787616</v>
      </c>
      <c r="AZ33">
        <v>-16.389865191335002</v>
      </c>
      <c r="BA33">
        <v>1.1117872621937099</v>
      </c>
      <c r="BB33">
        <v>-3.215975728354</v>
      </c>
      <c r="BC33">
        <v>-2.83843841359</v>
      </c>
      <c r="BD33">
        <v>-1.9467452957335001</v>
      </c>
      <c r="BE33">
        <v>-3.6412835687649698</v>
      </c>
      <c r="BF33">
        <v>-3.3173119449500001</v>
      </c>
      <c r="BG33">
        <v>-4.1776959938453304</v>
      </c>
      <c r="BH33">
        <v>-3.4461686659813999</v>
      </c>
      <c r="BI33">
        <v>-1.9877278533562599</v>
      </c>
      <c r="BJ33">
        <v>-1.61826489729</v>
      </c>
      <c r="BK33">
        <v>-0.37825649914142001</v>
      </c>
      <c r="BL33">
        <v>-0.37766464541</v>
      </c>
    </row>
    <row r="34" spans="48:64" x14ac:dyDescent="0.25">
      <c r="AV34" t="s">
        <v>552</v>
      </c>
      <c r="AW34" t="s">
        <v>527</v>
      </c>
      <c r="AX34">
        <v>3.9885518818799999</v>
      </c>
      <c r="AY34">
        <v>6.243676731751</v>
      </c>
      <c r="AZ34">
        <v>3.1322313688149999</v>
      </c>
      <c r="BA34">
        <v>8.3238816818846999</v>
      </c>
      <c r="BB34">
        <v>2.8371648723549998</v>
      </c>
      <c r="BC34">
        <v>2.9571641716378001</v>
      </c>
      <c r="BD34">
        <v>4.2867321612888798</v>
      </c>
      <c r="BE34">
        <v>4.5361586548219996</v>
      </c>
      <c r="BF34">
        <v>3.4863352745396101</v>
      </c>
      <c r="BG34">
        <v>2.624325788583</v>
      </c>
      <c r="BH34">
        <v>-0.24752691265099999</v>
      </c>
      <c r="BI34">
        <v>-0.41788567733185</v>
      </c>
      <c r="BJ34">
        <v>-0.46633294624799998</v>
      </c>
      <c r="BK34">
        <v>-0.19678766353348001</v>
      </c>
      <c r="BL34">
        <v>-0.2136545692945</v>
      </c>
    </row>
    <row r="35" spans="48:64" x14ac:dyDescent="0.25">
      <c r="AV35" t="s">
        <v>552</v>
      </c>
      <c r="AW35" t="s">
        <v>528</v>
      </c>
      <c r="AX35">
        <v>1.9120038877283541</v>
      </c>
      <c r="AY35">
        <v>3.7282938792629443E-2</v>
      </c>
      <c r="AZ35">
        <v>-2.798067850119355</v>
      </c>
      <c r="BA35">
        <v>3.2984370706889279</v>
      </c>
      <c r="BB35">
        <v>-1.1620781989780349</v>
      </c>
      <c r="BC35">
        <v>-0.54963726361030429</v>
      </c>
      <c r="BD35">
        <v>-7.878949717094505E-3</v>
      </c>
      <c r="BE35">
        <v>0.56457932325887328</v>
      </c>
      <c r="BF35">
        <v>1.1821261261806186</v>
      </c>
      <c r="BG35">
        <v>0.52980262189769867</v>
      </c>
      <c r="BH35">
        <v>-0.89489749697220045</v>
      </c>
      <c r="BI35">
        <v>-1.4589426510526293</v>
      </c>
      <c r="BJ35">
        <v>-1.2359593531518278</v>
      </c>
      <c r="BK35">
        <v>-0.28864596507869467</v>
      </c>
      <c r="BL35">
        <v>-0.27809213797925331</v>
      </c>
    </row>
    <row r="36" spans="48:64" x14ac:dyDescent="0.25">
      <c r="AV36" t="s">
        <v>553</v>
      </c>
      <c r="AW36" t="s">
        <v>526</v>
      </c>
      <c r="AX36">
        <v>0.41363275379395298</v>
      </c>
      <c r="AY36">
        <v>-5.2549288450000002</v>
      </c>
      <c r="AZ36">
        <v>-3.4837137195593799</v>
      </c>
      <c r="BA36">
        <v>-4.7172248655138</v>
      </c>
      <c r="BB36">
        <v>-3.215975728354</v>
      </c>
      <c r="BC36">
        <v>-3.4814961349944999</v>
      </c>
      <c r="BD36">
        <v>-2.7241331767849002</v>
      </c>
      <c r="BE36">
        <v>-3.6412835687649698</v>
      </c>
      <c r="BF36">
        <v>0.74312421776213999</v>
      </c>
      <c r="BG36">
        <v>-4.1776959938453304</v>
      </c>
      <c r="BH36">
        <v>-1.994314669714</v>
      </c>
      <c r="BI36">
        <v>-2.811453577814</v>
      </c>
      <c r="BJ36">
        <v>0</v>
      </c>
      <c r="BK36">
        <v>-0.64893982818524998</v>
      </c>
      <c r="BL36">
        <v>-0.26881218367210002</v>
      </c>
    </row>
    <row r="37" spans="48:64" x14ac:dyDescent="0.25">
      <c r="AV37" t="s">
        <v>553</v>
      </c>
      <c r="AW37" t="s">
        <v>527</v>
      </c>
      <c r="AX37">
        <v>3.9885518818799999</v>
      </c>
      <c r="AY37">
        <v>4.9383182115770001</v>
      </c>
      <c r="AZ37">
        <v>7.1644578143939004</v>
      </c>
      <c r="BA37">
        <v>1.6699538764888999</v>
      </c>
      <c r="BB37">
        <v>3.7742479327449998</v>
      </c>
      <c r="BC37">
        <v>5.9352388375557998</v>
      </c>
      <c r="BD37">
        <v>1.2977713984999499</v>
      </c>
      <c r="BE37">
        <v>3.2292957924213002</v>
      </c>
      <c r="BF37">
        <v>3.4863352745396101</v>
      </c>
      <c r="BG37">
        <v>2.7151484834291</v>
      </c>
      <c r="BH37">
        <v>-0.24752691265099999</v>
      </c>
      <c r="BI37">
        <v>0.68219792658816003</v>
      </c>
      <c r="BJ37">
        <v>0</v>
      </c>
      <c r="BK37">
        <v>-0.19821775582524001</v>
      </c>
      <c r="BL37">
        <v>-0.2136545692945</v>
      </c>
    </row>
    <row r="38" spans="48:64" x14ac:dyDescent="0.25">
      <c r="AV38" t="s">
        <v>553</v>
      </c>
      <c r="AW38" t="s">
        <v>528</v>
      </c>
      <c r="AX38">
        <v>1.6835665738007413</v>
      </c>
      <c r="AY38">
        <v>-0.91092289960960648</v>
      </c>
      <c r="AZ38">
        <v>3.6142393458491782</v>
      </c>
      <c r="BA38">
        <v>-2.188496141997228</v>
      </c>
      <c r="BB38">
        <v>-0.85341256555498135</v>
      </c>
      <c r="BC38">
        <v>8.7672544582193646E-2</v>
      </c>
      <c r="BD38">
        <v>-0.75124721841612851</v>
      </c>
      <c r="BE38">
        <v>0.4923635313356064</v>
      </c>
      <c r="BF38">
        <v>1.7096046633372091</v>
      </c>
      <c r="BG38">
        <v>-2.1206149472480682</v>
      </c>
      <c r="BH38">
        <v>-0.68192035419785557</v>
      </c>
      <c r="BI38">
        <v>-1.4954641884954643</v>
      </c>
      <c r="BJ38" t="e">
        <v>#DIV/0!</v>
      </c>
      <c r="BK38">
        <v>-0.36652372428536739</v>
      </c>
      <c r="BL38">
        <v>-0.23104506144857401</v>
      </c>
    </row>
    <row r="39" spans="48:64" x14ac:dyDescent="0.25">
      <c r="AV39" t="s">
        <v>554</v>
      </c>
      <c r="AW39" t="s">
        <v>526</v>
      </c>
      <c r="AX39">
        <v>0.62922523971690003</v>
      </c>
      <c r="AY39">
        <v>-2.9325941145249601</v>
      </c>
      <c r="AZ39">
        <v>-4.5412595972753103</v>
      </c>
      <c r="BA39">
        <v>-3.9929357525159999</v>
      </c>
      <c r="BB39">
        <v>-3.5799835348509998</v>
      </c>
      <c r="BC39">
        <v>-2.7645439883699998</v>
      </c>
      <c r="BD39">
        <v>-2.5698355971216</v>
      </c>
      <c r="BE39">
        <v>-3.618843326415</v>
      </c>
      <c r="BF39">
        <v>0.7951638111332</v>
      </c>
      <c r="BG39">
        <v>-5.7829556296621698</v>
      </c>
      <c r="BH39">
        <v>-0.93147676228559995</v>
      </c>
      <c r="BI39">
        <v>0</v>
      </c>
      <c r="BJ39">
        <v>-2.1579334328948101</v>
      </c>
      <c r="BK39">
        <v>-0.58728868885120999</v>
      </c>
      <c r="BL39">
        <v>-0.29462871491786002</v>
      </c>
    </row>
    <row r="40" spans="48:64" x14ac:dyDescent="0.25">
      <c r="AV40" t="s">
        <v>554</v>
      </c>
      <c r="AW40" t="s">
        <v>527</v>
      </c>
      <c r="AX40">
        <v>3.5741423138939998</v>
      </c>
      <c r="AY40">
        <v>5.9597465984192999</v>
      </c>
      <c r="AZ40">
        <v>6.7351723589376</v>
      </c>
      <c r="BA40">
        <v>1.6161741254099999</v>
      </c>
      <c r="BB40">
        <v>3.5885753933825701</v>
      </c>
      <c r="BC40">
        <v>4.8581121736129997</v>
      </c>
      <c r="BD40">
        <v>1.2446229565219999</v>
      </c>
      <c r="BE40">
        <v>3.2789543816919999</v>
      </c>
      <c r="BF40">
        <v>3.4238422546899998</v>
      </c>
      <c r="BG40">
        <v>0.82912457658880001</v>
      </c>
      <c r="BH40">
        <v>-0.31123256333926003</v>
      </c>
      <c r="BI40">
        <v>0</v>
      </c>
      <c r="BJ40">
        <v>-0.46633294624799998</v>
      </c>
      <c r="BK40">
        <v>-0.19678766353348001</v>
      </c>
      <c r="BL40">
        <v>-0.21827759727500001</v>
      </c>
    </row>
    <row r="41" spans="48:64" x14ac:dyDescent="0.25">
      <c r="AV41" t="s">
        <v>554</v>
      </c>
      <c r="AW41" t="s">
        <v>528</v>
      </c>
      <c r="AX41">
        <v>1.8140950995203278</v>
      </c>
      <c r="AY41">
        <v>-2.0097974589619039E-2</v>
      </c>
      <c r="AZ41">
        <v>2.8018095047443508</v>
      </c>
      <c r="BA41">
        <v>-1.9172656352763735</v>
      </c>
      <c r="BB41">
        <v>-1.2716650112547412</v>
      </c>
      <c r="BC41">
        <v>0.305645356054219</v>
      </c>
      <c r="BD41">
        <v>-0.84038859824440737</v>
      </c>
      <c r="BE41">
        <v>0.12095899668761737</v>
      </c>
      <c r="BF41">
        <v>2.0236985743367177</v>
      </c>
      <c r="BG41">
        <v>-2.4644775675294044</v>
      </c>
      <c r="BH41">
        <v>-0.58035261215529588</v>
      </c>
      <c r="BI41" t="e">
        <v>#DIV/0!</v>
      </c>
      <c r="BJ41">
        <v>-1.3873816176623426</v>
      </c>
      <c r="BK41">
        <v>-0.36857239531090524</v>
      </c>
      <c r="BL41">
        <v>-0.24636484023018729</v>
      </c>
    </row>
    <row r="42" spans="48:64" x14ac:dyDescent="0.25">
      <c r="AV42" t="s">
        <v>555</v>
      </c>
      <c r="AW42" t="s">
        <v>526</v>
      </c>
      <c r="AX42">
        <v>0.64523559282326004</v>
      </c>
      <c r="AY42">
        <v>-3.4584771499350002</v>
      </c>
      <c r="AZ42">
        <v>-4.5412595972753103</v>
      </c>
      <c r="BA42">
        <v>-4.7172248655138</v>
      </c>
      <c r="BB42">
        <v>-3.215975728354</v>
      </c>
      <c r="BC42">
        <v>-3.4814961349944999</v>
      </c>
      <c r="BD42">
        <v>0.58621197698487004</v>
      </c>
      <c r="BE42">
        <v>-3.6114253889399999</v>
      </c>
      <c r="BF42">
        <v>0.74312421776213999</v>
      </c>
      <c r="BG42">
        <v>-5.7829556296621698</v>
      </c>
      <c r="BH42">
        <v>-0.98775579125754998</v>
      </c>
      <c r="BI42">
        <v>-2.811453577814</v>
      </c>
      <c r="BJ42">
        <v>-1.9833459616289999</v>
      </c>
      <c r="BK42">
        <v>-0.64893982818524998</v>
      </c>
      <c r="BL42">
        <v>0</v>
      </c>
    </row>
    <row r="43" spans="48:64" x14ac:dyDescent="0.25">
      <c r="AV43" t="s">
        <v>555</v>
      </c>
      <c r="AW43" t="s">
        <v>527</v>
      </c>
      <c r="AX43">
        <v>3.9885518818799999</v>
      </c>
      <c r="AY43">
        <v>5.9597465984192999</v>
      </c>
      <c r="AZ43">
        <v>7.1644578143939004</v>
      </c>
      <c r="BA43">
        <v>-1.256517545895</v>
      </c>
      <c r="BB43">
        <v>2.6897878617522002</v>
      </c>
      <c r="BC43">
        <v>1.67939166966</v>
      </c>
      <c r="BD43">
        <v>1.2977713984999499</v>
      </c>
      <c r="BE43">
        <v>2.64424999478</v>
      </c>
      <c r="BF43">
        <v>3.4252977585118001</v>
      </c>
      <c r="BG43">
        <v>-1.229948692</v>
      </c>
      <c r="BH43">
        <v>-0.31123256333926003</v>
      </c>
      <c r="BI43">
        <v>-1.3117685464685001</v>
      </c>
      <c r="BJ43">
        <v>-1.1584397252758001</v>
      </c>
      <c r="BK43">
        <v>-0.19678766353348001</v>
      </c>
      <c r="BL43">
        <v>0</v>
      </c>
    </row>
    <row r="44" spans="48:64" x14ac:dyDescent="0.25">
      <c r="AV44" t="s">
        <v>555</v>
      </c>
      <c r="AW44" t="s">
        <v>528</v>
      </c>
      <c r="AX44">
        <v>1.7496588601974812</v>
      </c>
      <c r="AY44">
        <v>0.38749443630605168</v>
      </c>
      <c r="AZ44">
        <v>3.6558492904590594</v>
      </c>
      <c r="BA44">
        <v>-2.8758175713102903</v>
      </c>
      <c r="BB44">
        <v>-0.85300784215409231</v>
      </c>
      <c r="BC44">
        <v>-1.1339840112010771</v>
      </c>
      <c r="BD44">
        <v>0.88013128133353014</v>
      </c>
      <c r="BE44">
        <v>0.42052375415228677</v>
      </c>
      <c r="BF44">
        <v>1.6730743195204463</v>
      </c>
      <c r="BG44">
        <v>-2.8039415605609217</v>
      </c>
      <c r="BH44">
        <v>-0.61565872300418012</v>
      </c>
      <c r="BI44">
        <v>-1.8231613549923185</v>
      </c>
      <c r="BJ44">
        <v>-1.6255687953649649</v>
      </c>
      <c r="BK44">
        <v>-0.36745493838788462</v>
      </c>
      <c r="BL44" t="e">
        <v>#DIV/0!</v>
      </c>
    </row>
    <row r="45" spans="48:64" x14ac:dyDescent="0.25">
      <c r="AV45" t="s">
        <v>556</v>
      </c>
      <c r="AW45" t="s">
        <v>526</v>
      </c>
      <c r="AX45">
        <v>1.9256399371499899</v>
      </c>
      <c r="AY45">
        <v>-2.7658225657000002</v>
      </c>
      <c r="AZ45">
        <v>-3.3883377316876002</v>
      </c>
      <c r="BA45">
        <v>0.87435478561289004</v>
      </c>
      <c r="BB45">
        <v>-6.1174651276500001</v>
      </c>
      <c r="BC45">
        <v>-2.7645439883699998</v>
      </c>
      <c r="BD45">
        <v>-3.4777382992392298</v>
      </c>
      <c r="BE45">
        <v>-2.5629953364318001</v>
      </c>
      <c r="BF45">
        <v>-5.9813676998389997</v>
      </c>
      <c r="BG45">
        <v>-4.6237463375664101</v>
      </c>
      <c r="BH45">
        <v>-0.75546462329499997</v>
      </c>
      <c r="BI45">
        <v>-1.9744968816249</v>
      </c>
      <c r="BJ45">
        <v>-1.6985843851785001</v>
      </c>
      <c r="BK45">
        <v>0</v>
      </c>
      <c r="BL45">
        <v>-0.56575731664841999</v>
      </c>
    </row>
    <row r="46" spans="48:64" x14ac:dyDescent="0.25">
      <c r="AV46" t="s">
        <v>556</v>
      </c>
      <c r="AW46" t="s">
        <v>527</v>
      </c>
      <c r="AX46">
        <v>4.7566285654492004</v>
      </c>
      <c r="AY46">
        <v>4.5836789659881001</v>
      </c>
      <c r="AZ46">
        <v>3.3493638764473999</v>
      </c>
      <c r="BA46">
        <v>2.1275413147319</v>
      </c>
      <c r="BB46">
        <v>-1.61729642585522</v>
      </c>
      <c r="BC46">
        <v>1.681253762946</v>
      </c>
      <c r="BD46">
        <v>-0.776335199413277</v>
      </c>
      <c r="BE46">
        <v>7.3893931669528197</v>
      </c>
      <c r="BF46">
        <v>-0.786129542214691</v>
      </c>
      <c r="BG46">
        <v>-0.68184134347499004</v>
      </c>
      <c r="BH46">
        <v>-0.36162716268997003</v>
      </c>
      <c r="BI46">
        <v>-0.48165217615951</v>
      </c>
      <c r="BJ46">
        <v>-0.46633294624799998</v>
      </c>
      <c r="BK46">
        <v>0</v>
      </c>
      <c r="BL46">
        <v>-0.2136545692945</v>
      </c>
    </row>
    <row r="47" spans="48:64" x14ac:dyDescent="0.25">
      <c r="AV47" t="s">
        <v>556</v>
      </c>
      <c r="AW47" t="s">
        <v>528</v>
      </c>
      <c r="AX47">
        <v>2.9710325826542956</v>
      </c>
      <c r="AY47">
        <v>-0.19815869264257807</v>
      </c>
      <c r="AZ47">
        <v>1.4294614612349184</v>
      </c>
      <c r="BA47">
        <v>1.4101738166271107</v>
      </c>
      <c r="BB47">
        <v>-3.0764407575099413</v>
      </c>
      <c r="BC47">
        <v>-1.2796708945230211</v>
      </c>
      <c r="BD47">
        <v>-2.0674300241338366</v>
      </c>
      <c r="BE47">
        <v>2.3135823389005581</v>
      </c>
      <c r="BF47">
        <v>-2.678555242700813</v>
      </c>
      <c r="BG47">
        <v>-1.6062974197092736</v>
      </c>
      <c r="BH47">
        <v>-0.5383826927904054</v>
      </c>
      <c r="BI47">
        <v>-1.1598023528153281</v>
      </c>
      <c r="BJ47">
        <v>-0.94128646774864044</v>
      </c>
      <c r="BK47" t="e">
        <v>#DIV/0!</v>
      </c>
      <c r="BL47">
        <v>-0.31396537795266621</v>
      </c>
    </row>
  </sheetData>
  <mergeCells count="1">
    <mergeCell ref="B1:A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H27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518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1.9256399371499899</v>
      </c>
      <c r="B2">
        <v>-2.7658225657000002</v>
      </c>
      <c r="C2">
        <v>-3.3883377316876002</v>
      </c>
      <c r="D2">
        <v>0.87435478561289004</v>
      </c>
      <c r="E2">
        <v>-6.1174651276500001</v>
      </c>
      <c r="F2">
        <v>-2.7645439883699998</v>
      </c>
      <c r="G2">
        <v>-3.4777382992392298</v>
      </c>
      <c r="H2">
        <v>-2.5629953364318001</v>
      </c>
      <c r="I2">
        <v>-5.9813676998389997</v>
      </c>
      <c r="J2">
        <v>-4.6237463375664101</v>
      </c>
      <c r="K2">
        <v>-0.75546462329499997</v>
      </c>
      <c r="L2">
        <v>-1.9744968816249</v>
      </c>
      <c r="M2">
        <v>-1.6985843851785001</v>
      </c>
      <c r="O2">
        <v>-0.56575731664841999</v>
      </c>
      <c r="S2" s="14" t="s">
        <v>526</v>
      </c>
      <c r="T2">
        <f>MIN(A:A)</f>
        <v>1.9256399371499899</v>
      </c>
      <c r="U2">
        <f t="shared" ref="U2:AH2" si="0">MIN(B:B)</f>
        <v>-2.7658225657000002</v>
      </c>
      <c r="V2">
        <f t="shared" si="0"/>
        <v>-3.3883377316876002</v>
      </c>
      <c r="W2">
        <f t="shared" si="0"/>
        <v>0.87435478561289004</v>
      </c>
      <c r="X2">
        <f t="shared" si="0"/>
        <v>-6.1174651276500001</v>
      </c>
      <c r="Y2">
        <f t="shared" si="0"/>
        <v>-2.7645439883699998</v>
      </c>
      <c r="Z2">
        <f t="shared" si="0"/>
        <v>-3.4777382992392298</v>
      </c>
      <c r="AA2">
        <f t="shared" si="0"/>
        <v>-2.5629953364318001</v>
      </c>
      <c r="AB2">
        <f t="shared" si="0"/>
        <v>-5.9813676998389997</v>
      </c>
      <c r="AC2">
        <f t="shared" si="0"/>
        <v>-4.6237463375664101</v>
      </c>
      <c r="AD2">
        <f t="shared" si="0"/>
        <v>-0.75546462329499997</v>
      </c>
      <c r="AE2">
        <f t="shared" si="0"/>
        <v>-1.9744968816249</v>
      </c>
      <c r="AF2">
        <f t="shared" si="0"/>
        <v>-1.6985843851785001</v>
      </c>
      <c r="AG2">
        <f t="shared" si="0"/>
        <v>0</v>
      </c>
      <c r="AH2">
        <f t="shared" si="0"/>
        <v>-0.56575731664841999</v>
      </c>
    </row>
    <row r="3" spans="1:34" x14ac:dyDescent="0.25">
      <c r="A3">
        <v>2.2166875995300002</v>
      </c>
      <c r="B3">
        <v>-1.9163977811370001</v>
      </c>
      <c r="C3">
        <v>0.95257834942715602</v>
      </c>
      <c r="D3">
        <v>0.97147471897589999</v>
      </c>
      <c r="E3">
        <v>-5.5184512392169998</v>
      </c>
      <c r="F3">
        <v>-2.51539546887</v>
      </c>
      <c r="G3">
        <v>-3.1435229582389201</v>
      </c>
      <c r="H3">
        <v>-2.1223877766152799</v>
      </c>
      <c r="I3">
        <v>-4.2727385533530002</v>
      </c>
      <c r="J3">
        <v>-2.911474497141</v>
      </c>
      <c r="K3">
        <v>-0.73258495471575003</v>
      </c>
      <c r="L3">
        <v>-1.8769619297560001</v>
      </c>
      <c r="M3">
        <v>-1.414847199584</v>
      </c>
      <c r="O3">
        <v>-0.459567621466</v>
      </c>
      <c r="S3" s="14" t="s">
        <v>527</v>
      </c>
      <c r="T3">
        <f>MAX(A:A)</f>
        <v>4.7566285654492004</v>
      </c>
      <c r="U3">
        <f t="shared" ref="U3:AH3" si="1">MAX(B:B)</f>
        <v>4.5836789659881001</v>
      </c>
      <c r="V3">
        <f t="shared" si="1"/>
        <v>3.3493638764473999</v>
      </c>
      <c r="W3">
        <f t="shared" si="1"/>
        <v>2.1275413147319</v>
      </c>
      <c r="X3">
        <f t="shared" si="1"/>
        <v>-1.61729642585522</v>
      </c>
      <c r="Y3">
        <f t="shared" si="1"/>
        <v>1.681253762946</v>
      </c>
      <c r="Z3">
        <f t="shared" si="1"/>
        <v>-0.776335199413277</v>
      </c>
      <c r="AA3">
        <f t="shared" si="1"/>
        <v>7.3893931669528197</v>
      </c>
      <c r="AB3">
        <f t="shared" si="1"/>
        <v>-0.786129542214691</v>
      </c>
      <c r="AC3">
        <f t="shared" si="1"/>
        <v>-0.68184134347499004</v>
      </c>
      <c r="AD3">
        <f t="shared" si="1"/>
        <v>-0.36162716268997003</v>
      </c>
      <c r="AE3">
        <f t="shared" si="1"/>
        <v>-0.48165217615951</v>
      </c>
      <c r="AF3">
        <f t="shared" si="1"/>
        <v>-0.46633294624799998</v>
      </c>
      <c r="AG3">
        <f t="shared" si="1"/>
        <v>0</v>
      </c>
      <c r="AH3">
        <f t="shared" si="1"/>
        <v>-0.2136545692945</v>
      </c>
    </row>
    <row r="4" spans="1:34" x14ac:dyDescent="0.25">
      <c r="A4">
        <v>2.23564524834</v>
      </c>
      <c r="B4">
        <v>-1.8667268189827</v>
      </c>
      <c r="C4">
        <v>1.1699729447750999</v>
      </c>
      <c r="D4">
        <v>0.99937274799839804</v>
      </c>
      <c r="E4">
        <v>-4.5626886846769397</v>
      </c>
      <c r="F4">
        <v>-2.1384849878990999</v>
      </c>
      <c r="G4">
        <v>-2.9583634717612202</v>
      </c>
      <c r="H4">
        <v>-1.29135193273</v>
      </c>
      <c r="I4">
        <v>-3.3173119449500001</v>
      </c>
      <c r="J4">
        <v>-1.8393646133315</v>
      </c>
      <c r="K4">
        <v>-0.69625738153490002</v>
      </c>
      <c r="L4">
        <v>-0.91237695232500005</v>
      </c>
      <c r="M4">
        <v>-0.99118982673287404</v>
      </c>
      <c r="O4">
        <v>-0.45385839496753999</v>
      </c>
      <c r="S4" s="14" t="s">
        <v>528</v>
      </c>
      <c r="T4">
        <f>AVERAGE(A:A)</f>
        <v>2.9710325826542956</v>
      </c>
      <c r="U4">
        <f t="shared" ref="U4:AH4" si="2">AVERAGE(B:B)</f>
        <v>-0.19815869264257807</v>
      </c>
      <c r="V4">
        <f t="shared" si="2"/>
        <v>1.4294614612349184</v>
      </c>
      <c r="W4">
        <f t="shared" si="2"/>
        <v>1.4101738166271107</v>
      </c>
      <c r="X4">
        <f t="shared" si="2"/>
        <v>-3.0764407575099413</v>
      </c>
      <c r="Y4">
        <f t="shared" si="2"/>
        <v>-1.2796708945230211</v>
      </c>
      <c r="Z4">
        <f t="shared" si="2"/>
        <v>-2.0674300241338366</v>
      </c>
      <c r="AA4">
        <f t="shared" si="2"/>
        <v>2.3135823389005581</v>
      </c>
      <c r="AB4">
        <f t="shared" si="2"/>
        <v>-2.678555242700813</v>
      </c>
      <c r="AC4">
        <f t="shared" si="2"/>
        <v>-1.6062974197092736</v>
      </c>
      <c r="AD4">
        <f t="shared" si="2"/>
        <v>-0.5383826927904054</v>
      </c>
      <c r="AE4">
        <f t="shared" si="2"/>
        <v>-1.1598023528153281</v>
      </c>
      <c r="AF4">
        <f t="shared" si="2"/>
        <v>-0.94128646774864044</v>
      </c>
      <c r="AG4" t="e">
        <f t="shared" si="2"/>
        <v>#DIV/0!</v>
      </c>
      <c r="AH4">
        <f t="shared" si="2"/>
        <v>-0.31396537795266621</v>
      </c>
    </row>
    <row r="5" spans="1:34" x14ac:dyDescent="0.25">
      <c r="A5">
        <v>2.23751839919447</v>
      </c>
      <c r="B5">
        <v>-1.65425561174</v>
      </c>
      <c r="C5">
        <v>1.5762595641549999</v>
      </c>
      <c r="D5">
        <v>1.1117872621937099</v>
      </c>
      <c r="E5">
        <v>-4.5272282727700004</v>
      </c>
      <c r="F5">
        <v>-1.924197936668</v>
      </c>
      <c r="G5">
        <v>-2.7241331767849002</v>
      </c>
      <c r="H5">
        <v>-0.72911235182529999</v>
      </c>
      <c r="I5">
        <v>-3.2995727822613001</v>
      </c>
      <c r="J5">
        <v>-1.41638942495</v>
      </c>
      <c r="K5">
        <v>-0.581761555568861</v>
      </c>
      <c r="L5">
        <v>-0.55352382421123003</v>
      </c>
      <c r="M5">
        <v>-0.83317327495335802</v>
      </c>
      <c r="O5">
        <v>-0.44763416269811002</v>
      </c>
      <c r="S5" s="14" t="s">
        <v>525</v>
      </c>
      <c r="T5">
        <f>COUNT(A2:A84)</f>
        <v>26</v>
      </c>
      <c r="U5">
        <f>COUNT(B2:B84)</f>
        <v>11</v>
      </c>
      <c r="V5">
        <f t="shared" ref="V5:AH5" si="3">COUNT(C2:C84)</f>
        <v>9</v>
      </c>
      <c r="W5">
        <f t="shared" si="3"/>
        <v>14</v>
      </c>
      <c r="X5">
        <f t="shared" si="3"/>
        <v>19</v>
      </c>
      <c r="Y5">
        <f t="shared" si="3"/>
        <v>11</v>
      </c>
      <c r="Z5">
        <f t="shared" si="3"/>
        <v>23</v>
      </c>
      <c r="AA5">
        <f t="shared" si="3"/>
        <v>11</v>
      </c>
      <c r="AB5">
        <f t="shared" si="3"/>
        <v>11</v>
      </c>
      <c r="AC5">
        <f t="shared" si="3"/>
        <v>10</v>
      </c>
      <c r="AD5">
        <f t="shared" si="3"/>
        <v>9</v>
      </c>
      <c r="AE5">
        <f t="shared" si="3"/>
        <v>5</v>
      </c>
      <c r="AF5">
        <f t="shared" si="3"/>
        <v>7</v>
      </c>
      <c r="AG5">
        <f t="shared" si="3"/>
        <v>0</v>
      </c>
      <c r="AH5">
        <f t="shared" si="3"/>
        <v>26</v>
      </c>
    </row>
    <row r="6" spans="1:34" x14ac:dyDescent="0.25">
      <c r="A6">
        <v>2.2522174881370001</v>
      </c>
      <c r="B6">
        <v>-0.89482236357260003</v>
      </c>
      <c r="C6">
        <v>1.7317852476237301</v>
      </c>
      <c r="D6">
        <v>1.116195872132</v>
      </c>
      <c r="E6">
        <v>-3.5799835348509998</v>
      </c>
      <c r="F6">
        <v>-1.81964788986792</v>
      </c>
      <c r="G6">
        <v>-2.6124782451256001</v>
      </c>
      <c r="H6">
        <v>3.3653529149699999</v>
      </c>
      <c r="I6">
        <v>-2.6454156144500001</v>
      </c>
      <c r="J6">
        <v>-1.2322861872919999</v>
      </c>
      <c r="K6">
        <v>-0.45696269493528002</v>
      </c>
      <c r="L6">
        <v>-0.48165217615951</v>
      </c>
      <c r="M6">
        <v>-0.64313496189554997</v>
      </c>
      <c r="O6">
        <v>-0.38843794778500002</v>
      </c>
    </row>
    <row r="7" spans="1:34" x14ac:dyDescent="0.25">
      <c r="A7">
        <v>2.2714717959840001</v>
      </c>
      <c r="B7">
        <v>-0.86743559665369996</v>
      </c>
      <c r="C7">
        <v>1.7995295571633001</v>
      </c>
      <c r="D7">
        <v>1.247358971823</v>
      </c>
      <c r="E7">
        <v>-3.5637215178430002</v>
      </c>
      <c r="F7">
        <v>-1.8186255967984</v>
      </c>
      <c r="G7">
        <v>-2.5165567256200001</v>
      </c>
      <c r="H7">
        <v>3.5234194469000002</v>
      </c>
      <c r="I7">
        <v>-2.5665483362572998</v>
      </c>
      <c r="J7">
        <v>-0.98274913449828005</v>
      </c>
      <c r="K7">
        <v>-0.45129669157730001</v>
      </c>
      <c r="M7">
        <v>-0.5417426796482</v>
      </c>
      <c r="O7">
        <v>-0.37766464541</v>
      </c>
    </row>
    <row r="8" spans="1:34" x14ac:dyDescent="0.25">
      <c r="A8">
        <v>2.2927592666724999</v>
      </c>
      <c r="B8">
        <v>-0.68778627951628002</v>
      </c>
      <c r="C8">
        <v>2.7988688253915002</v>
      </c>
      <c r="D8">
        <v>1.26592419563</v>
      </c>
      <c r="E8">
        <v>-3.3523354964565999</v>
      </c>
      <c r="F8">
        <v>-1.615846597237</v>
      </c>
      <c r="G8">
        <v>-2.4868239727753099</v>
      </c>
      <c r="H8">
        <v>3.7497859274626002</v>
      </c>
      <c r="I8">
        <v>-2.1771735691899998</v>
      </c>
      <c r="J8">
        <v>-0.87713752912515996</v>
      </c>
      <c r="K8">
        <v>-0.44532982887</v>
      </c>
      <c r="M8">
        <v>-0.46633294624799998</v>
      </c>
      <c r="O8">
        <v>-0.36153933583881998</v>
      </c>
    </row>
    <row r="9" spans="1:34" x14ac:dyDescent="0.25">
      <c r="A9">
        <v>2.3457633255700001</v>
      </c>
      <c r="B9">
        <v>0.81986748351509997</v>
      </c>
      <c r="C9">
        <v>2.8751325178186802</v>
      </c>
      <c r="D9">
        <v>1.4339746679383001</v>
      </c>
      <c r="E9">
        <v>-3.2551188328781002</v>
      </c>
      <c r="F9">
        <v>-1.4746593798957</v>
      </c>
      <c r="G9">
        <v>-2.39977964314</v>
      </c>
      <c r="H9">
        <v>4.2131795652499999</v>
      </c>
      <c r="I9">
        <v>-1.7547124815194499</v>
      </c>
      <c r="J9">
        <v>-0.75233834558989998</v>
      </c>
      <c r="K9">
        <v>-0.364159341926587</v>
      </c>
      <c r="O9">
        <v>-0.35411937455451997</v>
      </c>
    </row>
    <row r="10" spans="1:34" x14ac:dyDescent="0.25">
      <c r="A10">
        <v>2.44889915789989</v>
      </c>
      <c r="B10">
        <v>0.85423822223182</v>
      </c>
      <c r="C10">
        <v>3.3493638764473999</v>
      </c>
      <c r="D10">
        <v>1.4676175818531001</v>
      </c>
      <c r="E10">
        <v>-2.5946221247782701</v>
      </c>
      <c r="F10">
        <v>-0.94979942931811201</v>
      </c>
      <c r="G10">
        <v>-2.3549821268810001</v>
      </c>
      <c r="H10">
        <v>4.5361586548219996</v>
      </c>
      <c r="I10">
        <v>-1.7382777612</v>
      </c>
      <c r="J10">
        <v>-0.74564678412350005</v>
      </c>
      <c r="K10">
        <v>-0.36162716268997003</v>
      </c>
      <c r="O10">
        <v>-0.34859993626278002</v>
      </c>
    </row>
    <row r="11" spans="1:34" x14ac:dyDescent="0.25">
      <c r="A11">
        <v>2.5643121299999998</v>
      </c>
      <c r="B11">
        <v>2.2157167264989002</v>
      </c>
      <c r="D11">
        <v>1.6161741254099999</v>
      </c>
      <c r="E11">
        <v>-2.46668289533</v>
      </c>
      <c r="F11">
        <v>1.263567672225</v>
      </c>
      <c r="G11">
        <v>-2.2298522669510001</v>
      </c>
      <c r="H11">
        <v>5.3779634491510997</v>
      </c>
      <c r="I11">
        <v>-0.92485938447420002</v>
      </c>
      <c r="J11">
        <v>-0.68184134347499004</v>
      </c>
      <c r="O11">
        <v>-0.34728582322669999</v>
      </c>
    </row>
    <row r="12" spans="1:34" x14ac:dyDescent="0.25">
      <c r="A12">
        <v>2.6453285838234</v>
      </c>
      <c r="B12">
        <v>4.5836789659881001</v>
      </c>
      <c r="D12">
        <v>1.6591499549223501</v>
      </c>
      <c r="E12">
        <v>-2.3726773196357001</v>
      </c>
      <c r="F12">
        <v>1.681253762946</v>
      </c>
      <c r="G12">
        <v>-2.1494472980000001</v>
      </c>
      <c r="H12">
        <v>7.3893931669528197</v>
      </c>
      <c r="I12">
        <v>-0.786129542214691</v>
      </c>
      <c r="O12">
        <v>-0.32473826275000001</v>
      </c>
    </row>
    <row r="13" spans="1:34" x14ac:dyDescent="0.25">
      <c r="A13">
        <v>2.6789841251770001</v>
      </c>
      <c r="D13">
        <v>1.8637292462999999</v>
      </c>
      <c r="E13">
        <v>-2.3542734255933002</v>
      </c>
      <c r="G13">
        <v>-1.9928176478724999</v>
      </c>
      <c r="O13">
        <v>-0.31252897649728001</v>
      </c>
    </row>
    <row r="14" spans="1:34" x14ac:dyDescent="0.25">
      <c r="A14">
        <v>2.6949433853835298</v>
      </c>
      <c r="D14">
        <v>1.9877779872579999</v>
      </c>
      <c r="E14">
        <v>-2.2423755518866</v>
      </c>
      <c r="G14">
        <v>-1.9319494418447001</v>
      </c>
      <c r="O14">
        <v>-0.29462871491786002</v>
      </c>
    </row>
    <row r="15" spans="1:34" x14ac:dyDescent="0.25">
      <c r="A15">
        <v>2.7337983936366999</v>
      </c>
      <c r="D15">
        <v>2.1275413147319</v>
      </c>
      <c r="E15">
        <v>-2.2191618855721802</v>
      </c>
      <c r="G15">
        <v>-1.8411241829767</v>
      </c>
      <c r="O15">
        <v>-0.28779546337667</v>
      </c>
    </row>
    <row r="16" spans="1:34" x14ac:dyDescent="0.25">
      <c r="A16">
        <v>2.7464724466549</v>
      </c>
      <c r="E16">
        <v>-2.1552236729900001</v>
      </c>
      <c r="G16">
        <v>-1.79132779947513</v>
      </c>
      <c r="O16">
        <v>-0.26881218367210002</v>
      </c>
    </row>
    <row r="17" spans="1:15" x14ac:dyDescent="0.25">
      <c r="A17">
        <v>2.8189833498263002</v>
      </c>
      <c r="E17">
        <v>-2.1539581733519499</v>
      </c>
      <c r="G17">
        <v>-1.7464662759709999</v>
      </c>
      <c r="O17">
        <v>-0.26795232546699999</v>
      </c>
    </row>
    <row r="18" spans="1:15" x14ac:dyDescent="0.25">
      <c r="A18">
        <v>2.9777554189500002</v>
      </c>
      <c r="E18">
        <v>-2.1354378595657302</v>
      </c>
      <c r="G18">
        <v>-1.7176338763915999</v>
      </c>
      <c r="O18">
        <v>-0.25379337643330002</v>
      </c>
    </row>
    <row r="19" spans="1:15" x14ac:dyDescent="0.25">
      <c r="A19">
        <v>3.2539361555382</v>
      </c>
      <c r="E19">
        <v>-1.6636723517873</v>
      </c>
      <c r="G19">
        <v>-1.5141116595463</v>
      </c>
      <c r="O19">
        <v>-0.2491191428816</v>
      </c>
    </row>
    <row r="20" spans="1:15" x14ac:dyDescent="0.25">
      <c r="A20">
        <v>3.3152389987520001</v>
      </c>
      <c r="E20">
        <v>-1.61729642585522</v>
      </c>
      <c r="G20">
        <v>-1.49491194132</v>
      </c>
      <c r="O20">
        <v>-0.24813344676963101</v>
      </c>
    </row>
    <row r="21" spans="1:15" x14ac:dyDescent="0.25">
      <c r="A21">
        <v>3.3456141982780001</v>
      </c>
      <c r="G21">
        <v>-1.395662846447</v>
      </c>
      <c r="O21">
        <v>-0.23574742461133999</v>
      </c>
    </row>
    <row r="22" spans="1:15" x14ac:dyDescent="0.25">
      <c r="A22">
        <v>3.566264529373</v>
      </c>
      <c r="G22">
        <v>-1.29824865743285</v>
      </c>
      <c r="O22">
        <v>-0.22812127442251001</v>
      </c>
    </row>
    <row r="23" spans="1:15" x14ac:dyDescent="0.25">
      <c r="A23">
        <v>3.5741423138939998</v>
      </c>
      <c r="G23">
        <v>-0.99662284187000005</v>
      </c>
      <c r="O23">
        <v>-0.21854313999543001</v>
      </c>
    </row>
    <row r="24" spans="1:15" x14ac:dyDescent="0.25">
      <c r="A24">
        <v>4.2234496529719001</v>
      </c>
      <c r="G24">
        <v>-0.776335199413277</v>
      </c>
      <c r="O24">
        <v>-0.21846798966950001</v>
      </c>
    </row>
    <row r="25" spans="1:15" x14ac:dyDescent="0.25">
      <c r="A25">
        <v>4.5355334856287</v>
      </c>
      <c r="O25">
        <v>-0.21832137987771</v>
      </c>
    </row>
    <row r="26" spans="1:15" x14ac:dyDescent="0.25">
      <c r="A26">
        <v>4.5888591971970003</v>
      </c>
      <c r="O26">
        <v>-0.21827759727500001</v>
      </c>
    </row>
    <row r="27" spans="1:15" x14ac:dyDescent="0.25">
      <c r="A27">
        <v>4.7566285654492004</v>
      </c>
      <c r="O27">
        <v>-0.2136545692945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H34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521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0.64523559282326004</v>
      </c>
      <c r="B2">
        <v>-3.4584771499350002</v>
      </c>
      <c r="C2">
        <v>-4.5412595972753103</v>
      </c>
      <c r="D2">
        <v>-4.7172248655138</v>
      </c>
      <c r="E2">
        <v>-3.215975728354</v>
      </c>
      <c r="F2">
        <v>-3.4814961349944999</v>
      </c>
      <c r="G2">
        <v>0.58621197698487004</v>
      </c>
      <c r="H2">
        <v>-3.6114253889399999</v>
      </c>
      <c r="I2">
        <v>0.74312421776213999</v>
      </c>
      <c r="J2">
        <v>-5.7829556296621698</v>
      </c>
      <c r="K2">
        <v>-0.98775579125754998</v>
      </c>
      <c r="L2">
        <v>-2.811453577814</v>
      </c>
      <c r="M2">
        <v>-1.9833459616289999</v>
      </c>
      <c r="N2">
        <v>-0.64893982818524998</v>
      </c>
      <c r="S2" s="14" t="s">
        <v>526</v>
      </c>
      <c r="T2">
        <f>MIN(A:A)</f>
        <v>0.64523559282326004</v>
      </c>
      <c r="U2">
        <f t="shared" ref="U2:AH2" si="0">MIN(B:B)</f>
        <v>-3.4584771499350002</v>
      </c>
      <c r="V2">
        <f t="shared" si="0"/>
        <v>-4.5412595972753103</v>
      </c>
      <c r="W2">
        <f t="shared" si="0"/>
        <v>-4.7172248655138</v>
      </c>
      <c r="X2">
        <f t="shared" si="0"/>
        <v>-3.215975728354</v>
      </c>
      <c r="Y2">
        <f t="shared" si="0"/>
        <v>-3.4814961349944999</v>
      </c>
      <c r="Z2">
        <f t="shared" si="0"/>
        <v>0.58621197698487004</v>
      </c>
      <c r="AA2">
        <f t="shared" si="0"/>
        <v>-3.6114253889399999</v>
      </c>
      <c r="AB2">
        <f t="shared" si="0"/>
        <v>0.74312421776213999</v>
      </c>
      <c r="AC2">
        <f t="shared" si="0"/>
        <v>-5.7829556296621698</v>
      </c>
      <c r="AD2">
        <f t="shared" si="0"/>
        <v>-0.98775579125754998</v>
      </c>
      <c r="AE2">
        <f t="shared" si="0"/>
        <v>-2.811453577814</v>
      </c>
      <c r="AF2">
        <f t="shared" si="0"/>
        <v>-1.9833459616289999</v>
      </c>
      <c r="AG2">
        <f t="shared" si="0"/>
        <v>-0.64893982818524998</v>
      </c>
      <c r="AH2">
        <f t="shared" si="0"/>
        <v>0</v>
      </c>
    </row>
    <row r="3" spans="1:34" x14ac:dyDescent="0.25">
      <c r="A3">
        <v>0.66212571715500002</v>
      </c>
      <c r="B3">
        <v>-2.8347938314532999</v>
      </c>
      <c r="C3">
        <v>-3.4837137195593799</v>
      </c>
      <c r="D3">
        <v>-4.3383681863838</v>
      </c>
      <c r="E3">
        <v>-2.9676614477999999</v>
      </c>
      <c r="F3">
        <v>-2.7585126355273002</v>
      </c>
      <c r="G3">
        <v>0.67448176685824002</v>
      </c>
      <c r="H3">
        <v>-3.5693822919675</v>
      </c>
      <c r="I3">
        <v>0.7951638111332</v>
      </c>
      <c r="J3">
        <v>-4.1776959938453304</v>
      </c>
      <c r="K3">
        <v>-0.91213941682489996</v>
      </c>
      <c r="L3">
        <v>-2.2897571792117</v>
      </c>
      <c r="M3">
        <v>-1.9768977668515999</v>
      </c>
      <c r="N3">
        <v>-0.58728868885120999</v>
      </c>
      <c r="S3" s="14" t="s">
        <v>527</v>
      </c>
      <c r="T3">
        <f>MAX(A:A)</f>
        <v>3.9885518818799999</v>
      </c>
      <c r="U3">
        <f t="shared" ref="U3:AH3" si="1">MAX(B:B)</f>
        <v>5.9597465984192999</v>
      </c>
      <c r="V3">
        <f t="shared" si="1"/>
        <v>7.1644578143939004</v>
      </c>
      <c r="W3">
        <f t="shared" si="1"/>
        <v>-1.256517545895</v>
      </c>
      <c r="X3">
        <f t="shared" si="1"/>
        <v>2.6897878617522002</v>
      </c>
      <c r="Y3">
        <f t="shared" si="1"/>
        <v>1.67939166966</v>
      </c>
      <c r="Z3">
        <f t="shared" si="1"/>
        <v>1.2977713984999499</v>
      </c>
      <c r="AA3">
        <f t="shared" si="1"/>
        <v>2.64424999478</v>
      </c>
      <c r="AB3">
        <f t="shared" si="1"/>
        <v>3.4252977585118001</v>
      </c>
      <c r="AC3">
        <f t="shared" si="1"/>
        <v>-1.229948692</v>
      </c>
      <c r="AD3">
        <f t="shared" si="1"/>
        <v>-0.31123256333926003</v>
      </c>
      <c r="AE3">
        <f t="shared" si="1"/>
        <v>-1.3117685464685001</v>
      </c>
      <c r="AF3">
        <f t="shared" si="1"/>
        <v>-1.1584397252758001</v>
      </c>
      <c r="AG3">
        <f t="shared" si="1"/>
        <v>-0.19678766353348001</v>
      </c>
      <c r="AH3">
        <f t="shared" si="1"/>
        <v>0</v>
      </c>
    </row>
    <row r="4" spans="1:34" x14ac:dyDescent="0.25">
      <c r="A4">
        <v>0.88698918443739005</v>
      </c>
      <c r="B4">
        <v>-2.5826898752123801</v>
      </c>
      <c r="C4">
        <v>-2.7311198527460001</v>
      </c>
      <c r="D4">
        <v>-3.9929357525159999</v>
      </c>
      <c r="E4">
        <v>-2.6587745611542899</v>
      </c>
      <c r="F4">
        <v>-2.1745251666456</v>
      </c>
      <c r="G4">
        <v>0.69742618842290005</v>
      </c>
      <c r="H4">
        <v>-1.3995799144225201</v>
      </c>
      <c r="I4">
        <v>0.94768859836872998</v>
      </c>
      <c r="J4">
        <v>-3.9911856916277002</v>
      </c>
      <c r="K4">
        <v>-0.79757959247300003</v>
      </c>
      <c r="L4">
        <v>-2.247267316796</v>
      </c>
      <c r="M4">
        <v>-1.9614378244748001</v>
      </c>
      <c r="N4">
        <v>-0.54237769288990001</v>
      </c>
      <c r="S4" s="14" t="s">
        <v>528</v>
      </c>
      <c r="T4">
        <f>AVERAGE(A:A)</f>
        <v>1.7496588601974812</v>
      </c>
      <c r="U4">
        <f t="shared" ref="U4:AH4" si="2">AVERAGE(B:B)</f>
        <v>0.38749443630605168</v>
      </c>
      <c r="V4">
        <f t="shared" si="2"/>
        <v>3.6558492904590594</v>
      </c>
      <c r="W4">
        <f t="shared" si="2"/>
        <v>-2.8758175713102903</v>
      </c>
      <c r="X4">
        <f t="shared" si="2"/>
        <v>-0.85300784215409231</v>
      </c>
      <c r="Y4">
        <f t="shared" si="2"/>
        <v>-1.1339840112010771</v>
      </c>
      <c r="Z4">
        <f t="shared" si="2"/>
        <v>0.88013128133353014</v>
      </c>
      <c r="AA4">
        <f t="shared" si="2"/>
        <v>0.42052375415228677</v>
      </c>
      <c r="AB4">
        <f t="shared" si="2"/>
        <v>1.6730743195204463</v>
      </c>
      <c r="AC4">
        <f t="shared" si="2"/>
        <v>-2.8039415605609217</v>
      </c>
      <c r="AD4">
        <f t="shared" si="2"/>
        <v>-0.61565872300418012</v>
      </c>
      <c r="AE4">
        <f t="shared" si="2"/>
        <v>-1.8231613549923185</v>
      </c>
      <c r="AF4">
        <f t="shared" si="2"/>
        <v>-1.6255687953649649</v>
      </c>
      <c r="AG4">
        <f t="shared" si="2"/>
        <v>-0.36745493838788462</v>
      </c>
      <c r="AH4" t="e">
        <f t="shared" si="2"/>
        <v>#DIV/0!</v>
      </c>
    </row>
    <row r="5" spans="1:34" x14ac:dyDescent="0.25">
      <c r="A5">
        <v>0.98945441329240003</v>
      </c>
      <c r="B5">
        <v>-2.3593772394379999</v>
      </c>
      <c r="C5">
        <v>0.58286574765537003</v>
      </c>
      <c r="D5">
        <v>-3.9369815821562999</v>
      </c>
      <c r="E5">
        <v>-2.45744344484</v>
      </c>
      <c r="F5">
        <v>-2.1165598634428</v>
      </c>
      <c r="G5">
        <v>0.72752789231899995</v>
      </c>
      <c r="H5">
        <v>-1.3649413935914001</v>
      </c>
      <c r="I5">
        <v>0.96974393819122995</v>
      </c>
      <c r="J5">
        <v>-3.7123286287397002</v>
      </c>
      <c r="K5">
        <v>-0.74837499433960997</v>
      </c>
      <c r="L5">
        <v>-2.1567715666764999</v>
      </c>
      <c r="M5">
        <v>-1.82434326714189</v>
      </c>
      <c r="N5">
        <v>-0.51257467259650003</v>
      </c>
      <c r="S5" s="14" t="s">
        <v>525</v>
      </c>
      <c r="T5">
        <f>COUNT(A2:A84)</f>
        <v>21</v>
      </c>
      <c r="U5">
        <f>COUNT(B2:B84)</f>
        <v>20</v>
      </c>
      <c r="V5">
        <f t="shared" ref="V5:AH5" si="3">COUNT(C2:C84)</f>
        <v>22</v>
      </c>
      <c r="W5">
        <f t="shared" si="3"/>
        <v>22</v>
      </c>
      <c r="X5">
        <f t="shared" si="3"/>
        <v>18</v>
      </c>
      <c r="Y5">
        <f t="shared" si="3"/>
        <v>14</v>
      </c>
      <c r="Z5">
        <f t="shared" si="3"/>
        <v>7</v>
      </c>
      <c r="AA5">
        <f t="shared" si="3"/>
        <v>16</v>
      </c>
      <c r="AB5">
        <f t="shared" si="3"/>
        <v>13</v>
      </c>
      <c r="AC5">
        <f t="shared" si="3"/>
        <v>14</v>
      </c>
      <c r="AD5">
        <f t="shared" si="3"/>
        <v>10</v>
      </c>
      <c r="AE5">
        <f t="shared" si="3"/>
        <v>18</v>
      </c>
      <c r="AF5">
        <f t="shared" si="3"/>
        <v>15</v>
      </c>
      <c r="AG5">
        <f t="shared" si="3"/>
        <v>33</v>
      </c>
      <c r="AH5">
        <f t="shared" si="3"/>
        <v>0</v>
      </c>
    </row>
    <row r="6" spans="1:34" x14ac:dyDescent="0.25">
      <c r="A6">
        <v>0.98953625212814</v>
      </c>
      <c r="B6">
        <v>-1.9747197845996001</v>
      </c>
      <c r="C6">
        <v>2.9191883817918001</v>
      </c>
      <c r="D6">
        <v>-3.4993543395315498</v>
      </c>
      <c r="E6">
        <v>-2.227429218553</v>
      </c>
      <c r="F6">
        <v>-1.9928627763415701</v>
      </c>
      <c r="G6">
        <v>0.93287678972775001</v>
      </c>
      <c r="H6">
        <v>-0.98557297182329995</v>
      </c>
      <c r="I6">
        <v>1.149774859311</v>
      </c>
      <c r="J6">
        <v>-3.5345529869756001</v>
      </c>
      <c r="K6">
        <v>-0.74749899254574104</v>
      </c>
      <c r="L6">
        <v>-1.9877278533562599</v>
      </c>
      <c r="M6">
        <v>-1.7138851529000001</v>
      </c>
      <c r="N6">
        <v>-0.48177391852233598</v>
      </c>
    </row>
    <row r="7" spans="1:34" x14ac:dyDescent="0.25">
      <c r="A7">
        <v>1.1572844529360999</v>
      </c>
      <c r="B7">
        <v>-1.7833248515119</v>
      </c>
      <c r="C7">
        <v>3.199389392993</v>
      </c>
      <c r="D7">
        <v>-3.46129919419</v>
      </c>
      <c r="E7">
        <v>-2.1968798874685298</v>
      </c>
      <c r="F7">
        <v>-1.858565281</v>
      </c>
      <c r="G7">
        <v>1.2446229565219999</v>
      </c>
      <c r="H7">
        <v>0.79754736358577005</v>
      </c>
      <c r="I7">
        <v>1.3632182829699999</v>
      </c>
      <c r="J7">
        <v>-3.3971217236581999</v>
      </c>
      <c r="K7">
        <v>-0.66376197584832997</v>
      </c>
      <c r="L7">
        <v>-1.98363691316</v>
      </c>
      <c r="M7">
        <v>-1.674345179778</v>
      </c>
      <c r="N7">
        <v>-0.47881861977491202</v>
      </c>
    </row>
    <row r="8" spans="1:34" x14ac:dyDescent="0.25">
      <c r="A8">
        <v>1.1691351594238999</v>
      </c>
      <c r="B8">
        <v>-1.6459866441767801</v>
      </c>
      <c r="C8">
        <v>3.5279174242359002</v>
      </c>
      <c r="D8">
        <v>-3.3749465278350002</v>
      </c>
      <c r="E8">
        <v>-2.1791662752126002</v>
      </c>
      <c r="F8">
        <v>-1.463458388866</v>
      </c>
      <c r="G8">
        <v>1.2977713984999499</v>
      </c>
      <c r="H8">
        <v>0.96979413248669999</v>
      </c>
      <c r="I8">
        <v>1.414191581544</v>
      </c>
      <c r="J8">
        <v>-2.9817457176220001</v>
      </c>
      <c r="K8">
        <v>-0.34162165533159999</v>
      </c>
      <c r="L8">
        <v>-1.9254692964147</v>
      </c>
      <c r="M8">
        <v>-1.6465857558274</v>
      </c>
      <c r="N8">
        <v>-0.43583928646879999</v>
      </c>
    </row>
    <row r="9" spans="1:34" x14ac:dyDescent="0.25">
      <c r="A9">
        <v>1.3371484794199999</v>
      </c>
      <c r="B9">
        <v>-1.4892148595936301</v>
      </c>
      <c r="C9">
        <v>3.8414325355274999</v>
      </c>
      <c r="D9">
        <v>-3.3458788984590999</v>
      </c>
      <c r="E9">
        <v>-1.99822951499474</v>
      </c>
      <c r="F9">
        <v>-1.265583431</v>
      </c>
      <c r="H9">
        <v>0.97612179714258895</v>
      </c>
      <c r="I9">
        <v>1.4224295926251</v>
      </c>
      <c r="J9">
        <v>-1.9975746332394</v>
      </c>
      <c r="K9">
        <v>-0.32669999560000001</v>
      </c>
      <c r="L9">
        <v>-1.8987991768628001</v>
      </c>
      <c r="M9">
        <v>-1.61826489729</v>
      </c>
      <c r="N9">
        <v>-0.435682474524</v>
      </c>
    </row>
    <row r="10" spans="1:34" x14ac:dyDescent="0.25">
      <c r="A10">
        <v>1.4481416747923199</v>
      </c>
      <c r="B10">
        <v>-1.3947119462253501</v>
      </c>
      <c r="C10">
        <v>3.997675479942</v>
      </c>
      <c r="D10">
        <v>-3.3366234625818998</v>
      </c>
      <c r="E10">
        <v>-1.987968494397</v>
      </c>
      <c r="F10">
        <v>-1.2455286124193601</v>
      </c>
      <c r="H10">
        <v>1.19134359247698</v>
      </c>
      <c r="I10">
        <v>1.8497594748446</v>
      </c>
      <c r="J10">
        <v>-1.8716523712099999</v>
      </c>
      <c r="K10">
        <v>-0.31992225248181</v>
      </c>
      <c r="L10">
        <v>-1.8483441813099999</v>
      </c>
      <c r="M10">
        <v>-1.58983357781733</v>
      </c>
      <c r="N10">
        <v>-0.43545174741881798</v>
      </c>
    </row>
    <row r="11" spans="1:34" x14ac:dyDescent="0.25">
      <c r="A11">
        <v>1.4875136816744501</v>
      </c>
      <c r="B11">
        <v>0.39278356726217101</v>
      </c>
      <c r="C11">
        <v>4.1523168535888004</v>
      </c>
      <c r="D11">
        <v>-3.1822583344240001</v>
      </c>
      <c r="E11">
        <v>-1.9312549263992</v>
      </c>
      <c r="F11">
        <v>-1.1355944973600001</v>
      </c>
      <c r="H11">
        <v>1.2677221988834999</v>
      </c>
      <c r="I11">
        <v>2.1229324631000002</v>
      </c>
      <c r="J11">
        <v>-1.7768647541767</v>
      </c>
      <c r="K11">
        <v>-0.31123256333926003</v>
      </c>
      <c r="L11">
        <v>-1.6771738434492001</v>
      </c>
      <c r="M11">
        <v>-1.5669327879299499</v>
      </c>
      <c r="N11">
        <v>-0.42461613243492002</v>
      </c>
    </row>
    <row r="12" spans="1:34" x14ac:dyDescent="0.25">
      <c r="A12">
        <v>1.6451839640000001</v>
      </c>
      <c r="B12">
        <v>0.45126854917551501</v>
      </c>
      <c r="C12">
        <v>4.2695188984100003</v>
      </c>
      <c r="D12">
        <v>-3.1113741481299999</v>
      </c>
      <c r="E12">
        <v>-1.8566484892570001</v>
      </c>
      <c r="F12">
        <v>-1.1192625199120001</v>
      </c>
      <c r="H12">
        <v>1.3429726275456799</v>
      </c>
      <c r="I12">
        <v>2.1728838325790001</v>
      </c>
      <c r="J12">
        <v>-1.6459143377111001</v>
      </c>
      <c r="L12">
        <v>-1.5883765589646901</v>
      </c>
      <c r="M12">
        <v>-1.5279976397620001</v>
      </c>
      <c r="N12">
        <v>-0.4136325336951</v>
      </c>
    </row>
    <row r="13" spans="1:34" x14ac:dyDescent="0.25">
      <c r="A13">
        <v>1.7353491312223801</v>
      </c>
      <c r="B13">
        <v>0.76649361341592603</v>
      </c>
      <c r="C13">
        <v>4.6858643716822996</v>
      </c>
      <c r="D13">
        <v>-2.735588562217</v>
      </c>
      <c r="E13">
        <v>-1.6443126528567</v>
      </c>
      <c r="F13">
        <v>1.49248596343759</v>
      </c>
      <c r="H13">
        <v>1.494951838749</v>
      </c>
      <c r="I13">
        <v>3.3737577428250001</v>
      </c>
      <c r="J13">
        <v>-1.586843171768</v>
      </c>
      <c r="L13">
        <v>-1.55835136177246</v>
      </c>
      <c r="M13">
        <v>-1.4936365939309999</v>
      </c>
      <c r="N13">
        <v>-0.37933495834549003</v>
      </c>
    </row>
    <row r="14" spans="1:34" x14ac:dyDescent="0.25">
      <c r="A14">
        <v>1.7664522486359999</v>
      </c>
      <c r="B14">
        <v>0.82511729633278996</v>
      </c>
      <c r="C14">
        <v>4.7723496718150002</v>
      </c>
      <c r="D14">
        <v>-2.6753185883600001</v>
      </c>
      <c r="E14">
        <v>0.85126241532239999</v>
      </c>
      <c r="F14">
        <v>1.5642955175964599</v>
      </c>
      <c r="H14">
        <v>2.1735672673874999</v>
      </c>
      <c r="I14">
        <v>3.4252977585118001</v>
      </c>
      <c r="J14">
        <v>-1.568797515617</v>
      </c>
      <c r="L14">
        <v>-1.55571572985823</v>
      </c>
      <c r="M14">
        <v>-1.4676321336463001</v>
      </c>
      <c r="N14">
        <v>-0.37825649914142001</v>
      </c>
    </row>
    <row r="15" spans="1:34" x14ac:dyDescent="0.25">
      <c r="A15">
        <v>1.87872776161</v>
      </c>
      <c r="B15">
        <v>2.3818935526895002</v>
      </c>
      <c r="C15">
        <v>5.2734566475579996</v>
      </c>
      <c r="D15">
        <v>-2.6693672376371498</v>
      </c>
      <c r="E15">
        <v>1.13843756764</v>
      </c>
      <c r="F15">
        <v>1.67939166966</v>
      </c>
      <c r="H15">
        <v>2.3335692514935902</v>
      </c>
      <c r="J15">
        <v>-1.229948692</v>
      </c>
      <c r="L15">
        <v>-1.5474773742318</v>
      </c>
      <c r="M15">
        <v>-1.1799536662193999</v>
      </c>
      <c r="N15">
        <v>-0.374148617892266</v>
      </c>
    </row>
    <row r="16" spans="1:34" x14ac:dyDescent="0.25">
      <c r="A16">
        <v>1.97585948157127</v>
      </c>
      <c r="B16">
        <v>2.3894521958527002</v>
      </c>
      <c r="C16">
        <v>5.6434424385929001</v>
      </c>
      <c r="D16">
        <v>-2.5888877586720001</v>
      </c>
      <c r="E16">
        <v>2.2477393353658002</v>
      </c>
      <c r="H16">
        <v>2.4674419626500002</v>
      </c>
      <c r="L16">
        <v>-1.5363654657600001</v>
      </c>
      <c r="M16">
        <v>-1.1584397252758001</v>
      </c>
      <c r="N16">
        <v>-0.36957921159278001</v>
      </c>
    </row>
    <row r="17" spans="1:14" x14ac:dyDescent="0.25">
      <c r="A17">
        <v>2.1947323138188</v>
      </c>
      <c r="B17">
        <v>2.5777373734875701</v>
      </c>
      <c r="C17">
        <v>5.7147845651797002</v>
      </c>
      <c r="D17">
        <v>-2.55617541756637</v>
      </c>
      <c r="E17">
        <v>2.5124995788929998</v>
      </c>
      <c r="H17">
        <v>2.64424999478</v>
      </c>
      <c r="L17">
        <v>-1.4771265743588999</v>
      </c>
      <c r="N17">
        <v>-0.36251182739635501</v>
      </c>
    </row>
    <row r="18" spans="1:14" x14ac:dyDescent="0.25">
      <c r="A18">
        <v>2.3893989535600002</v>
      </c>
      <c r="B18">
        <v>2.6637124176745002</v>
      </c>
      <c r="C18">
        <v>5.7153887864913004</v>
      </c>
      <c r="D18">
        <v>-1.9622351626361001</v>
      </c>
      <c r="E18">
        <v>2.5278767235399999</v>
      </c>
      <c r="L18">
        <v>-1.415321873396</v>
      </c>
      <c r="N18">
        <v>-0.35567353588169998</v>
      </c>
    </row>
    <row r="19" spans="1:14" x14ac:dyDescent="0.25">
      <c r="A19">
        <v>2.5828293638547</v>
      </c>
      <c r="B19">
        <v>3.9266615323799998</v>
      </c>
      <c r="C19">
        <v>5.9824461697681004</v>
      </c>
      <c r="D19">
        <v>-1.916786774562</v>
      </c>
      <c r="E19">
        <v>2.6897878617522002</v>
      </c>
      <c r="L19">
        <v>-1.3117685464685001</v>
      </c>
      <c r="N19">
        <v>-0.35529925817948599</v>
      </c>
    </row>
    <row r="20" spans="1:14" x14ac:dyDescent="0.25">
      <c r="A20">
        <v>2.8448887819220001</v>
      </c>
      <c r="B20">
        <v>4.9383182115770001</v>
      </c>
      <c r="C20">
        <v>6.2874874367196201</v>
      </c>
      <c r="D20">
        <v>-1.6763588696828</v>
      </c>
      <c r="N20">
        <v>-0.35478541263240998</v>
      </c>
    </row>
    <row r="21" spans="1:14" x14ac:dyDescent="0.25">
      <c r="A21">
        <v>2.9682975739890001</v>
      </c>
      <c r="B21">
        <v>5.9597465984192999</v>
      </c>
      <c r="C21">
        <v>6.7196225843972002</v>
      </c>
      <c r="D21">
        <v>-1.4967734229191001</v>
      </c>
      <c r="N21">
        <v>-0.34943267876718398</v>
      </c>
    </row>
    <row r="22" spans="1:14" x14ac:dyDescent="0.25">
      <c r="A22">
        <v>3.9885518818799999</v>
      </c>
      <c r="C22">
        <v>6.7351723589376</v>
      </c>
      <c r="D22">
        <v>-1.4367319369574301</v>
      </c>
      <c r="N22">
        <v>-0.319132365737398</v>
      </c>
    </row>
    <row r="23" spans="1:14" x14ac:dyDescent="0.25">
      <c r="C23">
        <v>7.1644578143939004</v>
      </c>
      <c r="D23">
        <v>-1.256517545895</v>
      </c>
      <c r="N23">
        <v>-0.31571872111444699</v>
      </c>
    </row>
    <row r="24" spans="1:14" x14ac:dyDescent="0.25">
      <c r="N24">
        <v>-0.29185177478520002</v>
      </c>
    </row>
    <row r="25" spans="1:14" x14ac:dyDescent="0.25">
      <c r="N25">
        <v>-0.28988178753568</v>
      </c>
    </row>
    <row r="26" spans="1:14" x14ac:dyDescent="0.25">
      <c r="N26">
        <v>-0.286863991691236</v>
      </c>
    </row>
    <row r="27" spans="1:14" x14ac:dyDescent="0.25">
      <c r="N27">
        <v>-0.28584318984200002</v>
      </c>
    </row>
    <row r="28" spans="1:14" x14ac:dyDescent="0.25">
      <c r="N28">
        <v>-0.27964346541637403</v>
      </c>
    </row>
    <row r="29" spans="1:14" x14ac:dyDescent="0.25">
      <c r="N29">
        <v>-0.25734526517</v>
      </c>
    </row>
    <row r="30" spans="1:14" x14ac:dyDescent="0.25">
      <c r="N30">
        <v>-0.25734176573630002</v>
      </c>
    </row>
    <row r="31" spans="1:14" x14ac:dyDescent="0.25">
      <c r="N31">
        <v>-0.25463639740999999</v>
      </c>
    </row>
    <row r="32" spans="1:14" x14ac:dyDescent="0.25">
      <c r="N32">
        <v>-0.21673122781199999</v>
      </c>
    </row>
    <row r="33" spans="14:14" x14ac:dyDescent="0.25">
      <c r="N33">
        <v>-0.19821775582524001</v>
      </c>
    </row>
    <row r="34" spans="14:14" x14ac:dyDescent="0.25">
      <c r="N34">
        <v>-0.19678766353348001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H40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546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0.62922523971690003</v>
      </c>
      <c r="B2">
        <v>-2.9325941145249601</v>
      </c>
      <c r="C2">
        <v>-4.5412595972753103</v>
      </c>
      <c r="D2">
        <v>-3.9929357525159999</v>
      </c>
      <c r="E2">
        <v>-3.5799835348509998</v>
      </c>
      <c r="F2">
        <v>-2.7645439883699998</v>
      </c>
      <c r="G2">
        <v>-2.5698355971216</v>
      </c>
      <c r="H2">
        <v>-3.618843326415</v>
      </c>
      <c r="I2">
        <v>0.7951638111332</v>
      </c>
      <c r="J2">
        <v>-5.7829556296621698</v>
      </c>
      <c r="K2">
        <v>-0.93147676228559995</v>
      </c>
      <c r="M2">
        <v>-2.1579334328948101</v>
      </c>
      <c r="N2">
        <v>-0.58728868885120999</v>
      </c>
      <c r="O2">
        <v>-0.29462871491786002</v>
      </c>
      <c r="S2" s="14" t="s">
        <v>526</v>
      </c>
      <c r="T2">
        <f>MIN(A:A)</f>
        <v>0.62922523971690003</v>
      </c>
      <c r="U2">
        <f t="shared" ref="U2:AH2" si="0">MIN(B:B)</f>
        <v>-2.9325941145249601</v>
      </c>
      <c r="V2">
        <f t="shared" si="0"/>
        <v>-4.5412595972753103</v>
      </c>
      <c r="W2">
        <f t="shared" si="0"/>
        <v>-3.9929357525159999</v>
      </c>
      <c r="X2">
        <f t="shared" si="0"/>
        <v>-3.5799835348509998</v>
      </c>
      <c r="Y2">
        <f t="shared" si="0"/>
        <v>-2.7645439883699998</v>
      </c>
      <c r="Z2">
        <f t="shared" si="0"/>
        <v>-2.5698355971216</v>
      </c>
      <c r="AA2">
        <f t="shared" si="0"/>
        <v>-3.618843326415</v>
      </c>
      <c r="AB2">
        <f t="shared" si="0"/>
        <v>0.7951638111332</v>
      </c>
      <c r="AC2">
        <f t="shared" si="0"/>
        <v>-5.7829556296621698</v>
      </c>
      <c r="AD2">
        <f t="shared" si="0"/>
        <v>-0.93147676228559995</v>
      </c>
      <c r="AE2">
        <f t="shared" si="0"/>
        <v>0</v>
      </c>
      <c r="AF2">
        <f t="shared" si="0"/>
        <v>-2.1579334328948101</v>
      </c>
      <c r="AG2">
        <f t="shared" si="0"/>
        <v>-0.58728868885120999</v>
      </c>
      <c r="AH2">
        <f t="shared" si="0"/>
        <v>-0.29462871491786002</v>
      </c>
    </row>
    <row r="3" spans="1:34" x14ac:dyDescent="0.25">
      <c r="A3">
        <v>0.64523559282326004</v>
      </c>
      <c r="B3">
        <v>-2.8625897362599999</v>
      </c>
      <c r="C3">
        <v>-3.3883377316876002</v>
      </c>
      <c r="D3">
        <v>-3.46129919419</v>
      </c>
      <c r="E3">
        <v>-2.9676614477999999</v>
      </c>
      <c r="F3">
        <v>-2.7585126355273002</v>
      </c>
      <c r="G3">
        <v>-2.39977964314</v>
      </c>
      <c r="H3">
        <v>-3.5693822919675</v>
      </c>
      <c r="I3">
        <v>0.96974393819122995</v>
      </c>
      <c r="J3">
        <v>-4.6237463375664101</v>
      </c>
      <c r="K3">
        <v>-0.91213941682489996</v>
      </c>
      <c r="M3">
        <v>-1.9833459616289999</v>
      </c>
      <c r="N3">
        <v>-0.48177391852233598</v>
      </c>
      <c r="O3">
        <v>-0.26795232546699999</v>
      </c>
      <c r="S3" s="14" t="s">
        <v>527</v>
      </c>
      <c r="T3">
        <f>MAX(A:A)</f>
        <v>3.5741423138939998</v>
      </c>
      <c r="U3">
        <f t="shared" ref="U3:AH3" si="1">MAX(B:B)</f>
        <v>5.9597465984192999</v>
      </c>
      <c r="V3">
        <f t="shared" si="1"/>
        <v>6.7351723589376</v>
      </c>
      <c r="W3">
        <f t="shared" si="1"/>
        <v>1.6161741254099999</v>
      </c>
      <c r="X3">
        <f t="shared" si="1"/>
        <v>3.5885753933825701</v>
      </c>
      <c r="Y3">
        <f t="shared" si="1"/>
        <v>4.8581121736129997</v>
      </c>
      <c r="Z3">
        <f t="shared" si="1"/>
        <v>1.2446229565219999</v>
      </c>
      <c r="AA3">
        <f t="shared" si="1"/>
        <v>3.2789543816919999</v>
      </c>
      <c r="AB3">
        <f t="shared" si="1"/>
        <v>3.4238422546899998</v>
      </c>
      <c r="AC3">
        <f t="shared" si="1"/>
        <v>0.82912457658880001</v>
      </c>
      <c r="AD3">
        <f t="shared" si="1"/>
        <v>-0.31123256333926003</v>
      </c>
      <c r="AE3">
        <f t="shared" si="1"/>
        <v>0</v>
      </c>
      <c r="AF3">
        <f t="shared" si="1"/>
        <v>-0.46633294624799998</v>
      </c>
      <c r="AG3">
        <f t="shared" si="1"/>
        <v>-0.19678766353348001</v>
      </c>
      <c r="AH3">
        <f t="shared" si="1"/>
        <v>-0.21827759727500001</v>
      </c>
    </row>
    <row r="4" spans="1:34" x14ac:dyDescent="0.25">
      <c r="A4">
        <v>0.88698918443739005</v>
      </c>
      <c r="B4">
        <v>-2.8347938314532999</v>
      </c>
      <c r="C4">
        <v>-2.7311198527460001</v>
      </c>
      <c r="D4">
        <v>-3.3458788984590999</v>
      </c>
      <c r="E4">
        <v>-2.6587745611542899</v>
      </c>
      <c r="F4">
        <v>-1.9928627763415701</v>
      </c>
      <c r="G4">
        <v>-2.3549821268810001</v>
      </c>
      <c r="H4">
        <v>-1.752424254713</v>
      </c>
      <c r="I4">
        <v>0.99866173115430001</v>
      </c>
      <c r="J4">
        <v>-3.6765921458844</v>
      </c>
      <c r="K4">
        <v>-0.74749899254574104</v>
      </c>
      <c r="M4">
        <v>-1.9768977668515999</v>
      </c>
      <c r="N4">
        <v>-0.47881861977491202</v>
      </c>
      <c r="O4">
        <v>-0.2491191428816</v>
      </c>
      <c r="S4" s="14" t="s">
        <v>528</v>
      </c>
      <c r="T4">
        <f>AVERAGE(A:A)</f>
        <v>1.8140950995203278</v>
      </c>
      <c r="U4">
        <f t="shared" ref="U4:AH4" si="2">AVERAGE(B:B)</f>
        <v>-2.0097974589619039E-2</v>
      </c>
      <c r="V4">
        <f t="shared" si="2"/>
        <v>2.8018095047443508</v>
      </c>
      <c r="W4">
        <f t="shared" si="2"/>
        <v>-1.9172656352763735</v>
      </c>
      <c r="X4">
        <f t="shared" si="2"/>
        <v>-1.2716650112547412</v>
      </c>
      <c r="Y4">
        <f t="shared" si="2"/>
        <v>0.305645356054219</v>
      </c>
      <c r="Z4">
        <f t="shared" si="2"/>
        <v>-0.84038859824440737</v>
      </c>
      <c r="AA4">
        <f t="shared" si="2"/>
        <v>0.12095899668761737</v>
      </c>
      <c r="AB4">
        <f t="shared" si="2"/>
        <v>2.0236985743367177</v>
      </c>
      <c r="AC4">
        <f t="shared" si="2"/>
        <v>-2.4644775675294044</v>
      </c>
      <c r="AD4">
        <f t="shared" si="2"/>
        <v>-0.58035261215529588</v>
      </c>
      <c r="AE4" t="e">
        <f t="shared" si="2"/>
        <v>#DIV/0!</v>
      </c>
      <c r="AF4">
        <f t="shared" si="2"/>
        <v>-1.3873816176623426</v>
      </c>
      <c r="AG4">
        <f t="shared" si="2"/>
        <v>-0.36857239531090524</v>
      </c>
      <c r="AH4">
        <f t="shared" si="2"/>
        <v>-0.24636484023018729</v>
      </c>
    </row>
    <row r="5" spans="1:34" x14ac:dyDescent="0.25">
      <c r="A5">
        <v>0.89729271171949998</v>
      </c>
      <c r="B5">
        <v>-2.6897988799719998</v>
      </c>
      <c r="C5">
        <v>0.56943746562461095</v>
      </c>
      <c r="D5">
        <v>-3.1822583344240001</v>
      </c>
      <c r="E5">
        <v>-2.46668289533</v>
      </c>
      <c r="F5">
        <v>-1.9429523552246</v>
      </c>
      <c r="G5">
        <v>-1.8411241829767</v>
      </c>
      <c r="H5">
        <v>-1.4279137453320001</v>
      </c>
      <c r="I5">
        <v>1.2436792416272</v>
      </c>
      <c r="J5">
        <v>-3.572378846456</v>
      </c>
      <c r="K5">
        <v>-0.73373518144600003</v>
      </c>
      <c r="M5">
        <v>-1.9614378244748001</v>
      </c>
      <c r="N5">
        <v>-0.42461613243492002</v>
      </c>
      <c r="O5">
        <v>-0.24813344676963101</v>
      </c>
      <c r="S5" s="14" t="s">
        <v>525</v>
      </c>
      <c r="T5">
        <f>COUNT(A2:A84)</f>
        <v>27</v>
      </c>
      <c r="U5">
        <f>COUNT(B2:B84)</f>
        <v>24</v>
      </c>
      <c r="V5">
        <f t="shared" ref="V5:AH5" si="3">COUNT(C2:C84)</f>
        <v>22</v>
      </c>
      <c r="W5">
        <f t="shared" si="3"/>
        <v>18</v>
      </c>
      <c r="X5">
        <f t="shared" si="3"/>
        <v>20</v>
      </c>
      <c r="Y5">
        <f t="shared" si="3"/>
        <v>20</v>
      </c>
      <c r="Z5">
        <f t="shared" si="3"/>
        <v>15</v>
      </c>
      <c r="AA5">
        <f t="shared" si="3"/>
        <v>20</v>
      </c>
      <c r="AB5">
        <f t="shared" si="3"/>
        <v>14</v>
      </c>
      <c r="AC5">
        <f t="shared" si="3"/>
        <v>19</v>
      </c>
      <c r="AD5">
        <f t="shared" si="3"/>
        <v>11</v>
      </c>
      <c r="AE5">
        <f t="shared" si="3"/>
        <v>0</v>
      </c>
      <c r="AF5">
        <f t="shared" si="3"/>
        <v>39</v>
      </c>
      <c r="AG5">
        <f t="shared" si="3"/>
        <v>15</v>
      </c>
      <c r="AH5">
        <f t="shared" si="3"/>
        <v>7</v>
      </c>
    </row>
    <row r="6" spans="1:34" x14ac:dyDescent="0.25">
      <c r="A6">
        <v>0.95988974797509996</v>
      </c>
      <c r="B6">
        <v>-2.5828678890000001</v>
      </c>
      <c r="C6">
        <v>0.95257834942715602</v>
      </c>
      <c r="D6">
        <v>-3.1141994437544001</v>
      </c>
      <c r="E6">
        <v>-2.45744344484</v>
      </c>
      <c r="F6">
        <v>-1.858565281</v>
      </c>
      <c r="G6">
        <v>-1.8277274792989999</v>
      </c>
      <c r="H6">
        <v>-1.3949912862660001</v>
      </c>
      <c r="I6">
        <v>1.8412312198</v>
      </c>
      <c r="J6">
        <v>-3.5345529869756001</v>
      </c>
      <c r="K6">
        <v>-0.69625738153490002</v>
      </c>
      <c r="M6">
        <v>-1.9457279367442899</v>
      </c>
      <c r="N6">
        <v>-0.4136325336951</v>
      </c>
      <c r="O6">
        <v>-0.22812127442251001</v>
      </c>
    </row>
    <row r="7" spans="1:34" x14ac:dyDescent="0.25">
      <c r="A7">
        <v>0.98953625212814</v>
      </c>
      <c r="B7">
        <v>-2.1426543782710001</v>
      </c>
      <c r="C7">
        <v>1.94536123978716</v>
      </c>
      <c r="D7">
        <v>-3.1113741481299999</v>
      </c>
      <c r="E7">
        <v>-2.3726773196357001</v>
      </c>
      <c r="F7">
        <v>-1.4746593798957</v>
      </c>
      <c r="G7">
        <v>-1.6883851739419999</v>
      </c>
      <c r="H7">
        <v>-1.3649413935914001</v>
      </c>
      <c r="I7">
        <v>1.8497594748446</v>
      </c>
      <c r="J7">
        <v>-3.3971217236581999</v>
      </c>
      <c r="K7">
        <v>-0.59896323234112303</v>
      </c>
      <c r="M7">
        <v>-1.8813888411999999</v>
      </c>
      <c r="N7">
        <v>-0.37933495834549003</v>
      </c>
      <c r="O7">
        <v>-0.21832137987771</v>
      </c>
    </row>
    <row r="8" spans="1:34" x14ac:dyDescent="0.25">
      <c r="A8">
        <v>1.1691351594238999</v>
      </c>
      <c r="B8">
        <v>-1.9747197845996001</v>
      </c>
      <c r="C8">
        <v>2.7988688253915002</v>
      </c>
      <c r="D8">
        <v>-2.5888877586720001</v>
      </c>
      <c r="E8">
        <v>-2.2867954132169999</v>
      </c>
      <c r="F8">
        <v>-1.265583431</v>
      </c>
      <c r="G8">
        <v>-1.5141116595463</v>
      </c>
      <c r="H8">
        <v>-1.228848113537</v>
      </c>
      <c r="I8">
        <v>1.9624128926</v>
      </c>
      <c r="J8">
        <v>-3.3568277979685299</v>
      </c>
      <c r="K8">
        <v>-0.44532982887</v>
      </c>
      <c r="M8">
        <v>-1.82434326714189</v>
      </c>
      <c r="N8">
        <v>-0.36957921159278001</v>
      </c>
      <c r="O8">
        <v>-0.21827759727500001</v>
      </c>
    </row>
    <row r="9" spans="1:34" x14ac:dyDescent="0.25">
      <c r="A9">
        <v>1.26244447316</v>
      </c>
      <c r="B9">
        <v>-1.9548918624678</v>
      </c>
      <c r="C9">
        <v>2.893245744393</v>
      </c>
      <c r="D9">
        <v>-2.5878989382639999</v>
      </c>
      <c r="E9">
        <v>-2.1822814428999999</v>
      </c>
      <c r="F9">
        <v>-1.1628957364935999</v>
      </c>
      <c r="G9">
        <v>-0.85641933965999995</v>
      </c>
      <c r="H9">
        <v>-0.98557297182329995</v>
      </c>
      <c r="I9">
        <v>2.1229324631000002</v>
      </c>
      <c r="J9">
        <v>-2.9817457176220001</v>
      </c>
      <c r="K9">
        <v>-0.36162716268997003</v>
      </c>
      <c r="M9">
        <v>-1.7138851529000001</v>
      </c>
      <c r="N9">
        <v>-0.35567353588169998</v>
      </c>
    </row>
    <row r="10" spans="1:34" x14ac:dyDescent="0.25">
      <c r="A10">
        <v>1.3757577512279999</v>
      </c>
      <c r="B10">
        <v>-1.8667268189827</v>
      </c>
      <c r="C10">
        <v>3.1227211697394099</v>
      </c>
      <c r="D10">
        <v>-2.55617541756637</v>
      </c>
      <c r="E10">
        <v>-2.1791662752126002</v>
      </c>
      <c r="F10">
        <v>-1.1192625199120001</v>
      </c>
      <c r="G10">
        <v>-0.8469353182146</v>
      </c>
      <c r="H10">
        <v>-0.72911235182529999</v>
      </c>
      <c r="I10">
        <v>2.2289579900000001</v>
      </c>
      <c r="J10">
        <v>-2.4838193292168</v>
      </c>
      <c r="K10">
        <v>-0.32569595934895001</v>
      </c>
      <c r="M10">
        <v>-1.6985843851785001</v>
      </c>
      <c r="N10">
        <v>-0.35478541263240998</v>
      </c>
    </row>
    <row r="11" spans="1:34" x14ac:dyDescent="0.25">
      <c r="A11">
        <v>1.38953911489944</v>
      </c>
      <c r="B11">
        <v>-1.6459866441767801</v>
      </c>
      <c r="C11">
        <v>3.199389392993</v>
      </c>
      <c r="D11">
        <v>-2.4995921363189999</v>
      </c>
      <c r="E11">
        <v>-2.1552236729900001</v>
      </c>
      <c r="F11">
        <v>0.96444887351999997</v>
      </c>
      <c r="G11">
        <v>-0.776335199413277</v>
      </c>
      <c r="H11">
        <v>0.79754736358577005</v>
      </c>
      <c r="I11">
        <v>2.28283537611197</v>
      </c>
      <c r="J11">
        <v>-2.3163374337759999</v>
      </c>
      <c r="K11">
        <v>-0.31992225248181</v>
      </c>
      <c r="M11">
        <v>-1.674345179778</v>
      </c>
      <c r="N11">
        <v>-0.34943267876718398</v>
      </c>
    </row>
    <row r="12" spans="1:34" x14ac:dyDescent="0.25">
      <c r="A12">
        <v>1.4446295613158999</v>
      </c>
      <c r="B12">
        <v>-1.3947119462253501</v>
      </c>
      <c r="C12">
        <v>3.387996896867</v>
      </c>
      <c r="D12">
        <v>-1.916786774562</v>
      </c>
      <c r="E12">
        <v>-2.1539581733519499</v>
      </c>
      <c r="F12">
        <v>1.2393379841837</v>
      </c>
      <c r="G12">
        <v>0.67448176685824002</v>
      </c>
      <c r="H12">
        <v>0.9559586886168</v>
      </c>
      <c r="I12">
        <v>2.36936236799</v>
      </c>
      <c r="J12">
        <v>-2.3139624241295902</v>
      </c>
      <c r="K12">
        <v>-0.31123256333926003</v>
      </c>
      <c r="M12">
        <v>-1.6465857558274</v>
      </c>
      <c r="N12">
        <v>-0.31571872111444699</v>
      </c>
    </row>
    <row r="13" spans="1:34" x14ac:dyDescent="0.25">
      <c r="A13">
        <v>1.4481416747923199</v>
      </c>
      <c r="B13">
        <v>-0.86743559665369996</v>
      </c>
      <c r="C13">
        <v>3.4279246744935898</v>
      </c>
      <c r="D13">
        <v>-1.8746369539809999</v>
      </c>
      <c r="E13">
        <v>-2.1354378595657302</v>
      </c>
      <c r="F13">
        <v>1.263567672225</v>
      </c>
      <c r="G13">
        <v>0.67853873149180999</v>
      </c>
      <c r="H13">
        <v>1.19134359247698</v>
      </c>
      <c r="I13">
        <v>2.8694395366465502</v>
      </c>
      <c r="J13">
        <v>-1.7768647541767</v>
      </c>
      <c r="M13">
        <v>-1.6188413928389001</v>
      </c>
      <c r="N13">
        <v>-0.286863991691236</v>
      </c>
    </row>
    <row r="14" spans="1:34" x14ac:dyDescent="0.25">
      <c r="A14">
        <v>1.4875136816744501</v>
      </c>
      <c r="B14">
        <v>0.39278356726217101</v>
      </c>
      <c r="C14">
        <v>3.5279174242359002</v>
      </c>
      <c r="D14">
        <v>-1.6763588696828</v>
      </c>
      <c r="E14">
        <v>-1.8566484892570001</v>
      </c>
      <c r="F14">
        <v>1.49248596343759</v>
      </c>
      <c r="G14">
        <v>0.72752789231899995</v>
      </c>
      <c r="H14">
        <v>1.2449482576171</v>
      </c>
      <c r="I14">
        <v>3.3737577428250001</v>
      </c>
      <c r="J14">
        <v>-1.712989925397</v>
      </c>
      <c r="M14">
        <v>-1.61826489729</v>
      </c>
      <c r="N14">
        <v>-0.27964346541637403</v>
      </c>
    </row>
    <row r="15" spans="1:34" x14ac:dyDescent="0.25">
      <c r="A15">
        <v>1.6731581287737001</v>
      </c>
      <c r="B15">
        <v>0.43272183158172001</v>
      </c>
      <c r="C15">
        <v>3.5752612515775999</v>
      </c>
      <c r="D15">
        <v>-1.4367319369574301</v>
      </c>
      <c r="E15">
        <v>-1.6571188137499999</v>
      </c>
      <c r="F15">
        <v>1.5642955175964599</v>
      </c>
      <c r="G15">
        <v>0.74463539933732004</v>
      </c>
      <c r="H15">
        <v>1.2677221988834999</v>
      </c>
      <c r="I15">
        <v>3.4238422546899998</v>
      </c>
      <c r="J15">
        <v>-1.6459143377111001</v>
      </c>
      <c r="M15">
        <v>-1.6176164134833999</v>
      </c>
      <c r="N15">
        <v>-0.25463639740999999</v>
      </c>
    </row>
    <row r="16" spans="1:34" x14ac:dyDescent="0.25">
      <c r="A16">
        <v>1.9256399371499899</v>
      </c>
      <c r="B16">
        <v>0.76649361341592603</v>
      </c>
      <c r="C16">
        <v>4.1523168535888004</v>
      </c>
      <c r="D16">
        <v>-0.92221998414951001</v>
      </c>
      <c r="E16">
        <v>-1.6443126528567</v>
      </c>
      <c r="F16">
        <v>1.58625536569</v>
      </c>
      <c r="G16">
        <v>1.2446229565219999</v>
      </c>
      <c r="H16">
        <v>1.2737327813699999</v>
      </c>
      <c r="J16">
        <v>-1.33431274668</v>
      </c>
      <c r="M16">
        <v>-1.58983357781733</v>
      </c>
      <c r="N16">
        <v>-0.19678766353348001</v>
      </c>
    </row>
    <row r="17" spans="1:13" x14ac:dyDescent="0.25">
      <c r="A17">
        <v>1.9323212516746</v>
      </c>
      <c r="B17">
        <v>0.76734677898699999</v>
      </c>
      <c r="C17">
        <v>4.2117474729</v>
      </c>
      <c r="D17">
        <v>0.87435478561289004</v>
      </c>
      <c r="E17">
        <v>-1.61729642585522</v>
      </c>
      <c r="F17">
        <v>2.1836349988379999</v>
      </c>
      <c r="H17">
        <v>1.3213733317</v>
      </c>
      <c r="J17">
        <v>-1.2322861872919999</v>
      </c>
      <c r="M17">
        <v>-1.5721196435910001</v>
      </c>
    </row>
    <row r="18" spans="1:13" x14ac:dyDescent="0.25">
      <c r="A18">
        <v>1.97585948157127</v>
      </c>
      <c r="B18">
        <v>0.81986748351509997</v>
      </c>
      <c r="C18">
        <v>4.6858643716822996</v>
      </c>
      <c r="D18">
        <v>1.26592419563</v>
      </c>
      <c r="E18">
        <v>2.2477393353658002</v>
      </c>
      <c r="F18">
        <v>2.2549552458950002</v>
      </c>
      <c r="H18">
        <v>2.1735672673874999</v>
      </c>
      <c r="J18">
        <v>-1.229948692</v>
      </c>
      <c r="M18">
        <v>-1.5669327879299499</v>
      </c>
    </row>
    <row r="19" spans="1:13" x14ac:dyDescent="0.25">
      <c r="A19">
        <v>2.2166875995300002</v>
      </c>
      <c r="B19">
        <v>0.86876845738674402</v>
      </c>
      <c r="C19">
        <v>4.7723496718150002</v>
      </c>
      <c r="D19">
        <v>1.6161741254099999</v>
      </c>
      <c r="E19">
        <v>2.5124995788929998</v>
      </c>
      <c r="F19">
        <v>2.3757318871120998</v>
      </c>
      <c r="H19">
        <v>2.3418118111132</v>
      </c>
      <c r="J19">
        <v>-0.68184134347499004</v>
      </c>
      <c r="M19">
        <v>-1.5368327548981</v>
      </c>
    </row>
    <row r="20" spans="1:13" x14ac:dyDescent="0.25">
      <c r="A20">
        <v>2.2714717959840001</v>
      </c>
      <c r="B20">
        <v>1.78216169416</v>
      </c>
      <c r="C20">
        <v>5.6434424385929001</v>
      </c>
      <c r="E20">
        <v>2.5893478898310001</v>
      </c>
      <c r="F20">
        <v>2.6699195427382998</v>
      </c>
      <c r="H20">
        <v>2.64424999478</v>
      </c>
      <c r="J20">
        <v>0.82912457658880001</v>
      </c>
      <c r="M20">
        <v>-1.5279976397620001</v>
      </c>
    </row>
    <row r="21" spans="1:13" x14ac:dyDescent="0.25">
      <c r="A21">
        <v>2.3893989535600002</v>
      </c>
      <c r="B21">
        <v>2.3894521958527002</v>
      </c>
      <c r="C21">
        <v>5.9824461697681004</v>
      </c>
      <c r="E21">
        <v>3.5885753933825701</v>
      </c>
      <c r="F21">
        <v>4.8581121736129997</v>
      </c>
      <c r="H21">
        <v>3.2789543816919999</v>
      </c>
      <c r="M21">
        <v>-1.4936365939309999</v>
      </c>
    </row>
    <row r="22" spans="1:13" x14ac:dyDescent="0.25">
      <c r="A22">
        <v>2.44889915789989</v>
      </c>
      <c r="B22">
        <v>2.5777373734875701</v>
      </c>
      <c r="C22">
        <v>6.7164845142700003</v>
      </c>
      <c r="M22">
        <v>-1.4676321336463001</v>
      </c>
    </row>
    <row r="23" spans="1:13" x14ac:dyDescent="0.25">
      <c r="A23">
        <v>2.5828293638547</v>
      </c>
      <c r="B23">
        <v>3.9266615323799998</v>
      </c>
      <c r="C23">
        <v>6.7351723589376</v>
      </c>
      <c r="M23">
        <v>-1.4636638165553</v>
      </c>
    </row>
    <row r="24" spans="1:13" x14ac:dyDescent="0.25">
      <c r="A24">
        <v>2.6453285838234</v>
      </c>
      <c r="B24">
        <v>4.5836789659881001</v>
      </c>
      <c r="M24">
        <v>-1.414847199584</v>
      </c>
    </row>
    <row r="25" spans="1:13" x14ac:dyDescent="0.25">
      <c r="A25">
        <v>2.8134479810999999</v>
      </c>
      <c r="B25">
        <v>5.9597465984192999</v>
      </c>
      <c r="M25">
        <v>-1.3572543953217999</v>
      </c>
    </row>
    <row r="26" spans="1:13" x14ac:dyDescent="0.25">
      <c r="A26">
        <v>2.9682975739890001</v>
      </c>
      <c r="M26">
        <v>-1.351617763121</v>
      </c>
    </row>
    <row r="27" spans="1:13" x14ac:dyDescent="0.25">
      <c r="A27">
        <v>2.9777554189500002</v>
      </c>
      <c r="M27">
        <v>-1.3299364787600001</v>
      </c>
    </row>
    <row r="28" spans="1:13" x14ac:dyDescent="0.25">
      <c r="A28">
        <v>3.5741423138939998</v>
      </c>
      <c r="M28">
        <v>-1.2269832399530001</v>
      </c>
    </row>
    <row r="29" spans="1:13" x14ac:dyDescent="0.25">
      <c r="M29">
        <v>-1.1799536662193999</v>
      </c>
    </row>
    <row r="30" spans="1:13" x14ac:dyDescent="0.25">
      <c r="M30">
        <v>-1.1584397252758001</v>
      </c>
    </row>
    <row r="31" spans="1:13" x14ac:dyDescent="0.25">
      <c r="M31">
        <v>-1.1328236253420001</v>
      </c>
    </row>
    <row r="32" spans="1:13" x14ac:dyDescent="0.25">
      <c r="M32">
        <v>-0.99118982673287404</v>
      </c>
    </row>
    <row r="33" spans="13:13" x14ac:dyDescent="0.25">
      <c r="M33">
        <v>-0.97483699674449997</v>
      </c>
    </row>
    <row r="34" spans="13:13" x14ac:dyDescent="0.25">
      <c r="M34">
        <v>-0.87726487244932005</v>
      </c>
    </row>
    <row r="35" spans="13:13" x14ac:dyDescent="0.25">
      <c r="M35">
        <v>-0.83317327495335802</v>
      </c>
    </row>
    <row r="36" spans="13:13" x14ac:dyDescent="0.25">
      <c r="M36">
        <v>-0.64313496189554997</v>
      </c>
    </row>
    <row r="37" spans="13:13" x14ac:dyDescent="0.25">
      <c r="M37">
        <v>-0.57595154279399996</v>
      </c>
    </row>
    <row r="38" spans="13:13" x14ac:dyDescent="0.25">
      <c r="M38">
        <v>-0.5417426796482</v>
      </c>
    </row>
    <row r="39" spans="13:13" x14ac:dyDescent="0.25">
      <c r="M39">
        <v>-0.51455273742498997</v>
      </c>
    </row>
    <row r="40" spans="13:13" x14ac:dyDescent="0.25">
      <c r="M40">
        <v>-0.46633294624799998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H48"/>
  <sheetViews>
    <sheetView zoomScale="85" zoomScaleNormal="85" workbookViewId="0">
      <selection activeCell="W33" sqref="W33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545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0.41363275379395298</v>
      </c>
      <c r="B2">
        <v>-5.2549288450000002</v>
      </c>
      <c r="C2">
        <v>-3.4837137195593799</v>
      </c>
      <c r="D2">
        <v>-4.7172248655138</v>
      </c>
      <c r="E2">
        <v>-3.215975728354</v>
      </c>
      <c r="F2">
        <v>-3.4814961349944999</v>
      </c>
      <c r="G2">
        <v>-2.7241331767849002</v>
      </c>
      <c r="H2">
        <v>-3.6412835687649698</v>
      </c>
      <c r="I2">
        <v>0.74312421776213999</v>
      </c>
      <c r="J2">
        <v>-4.1776959938453304</v>
      </c>
      <c r="K2">
        <v>-1.994314669714</v>
      </c>
      <c r="L2">
        <v>-2.811453577814</v>
      </c>
      <c r="N2">
        <v>-0.64893982818524998</v>
      </c>
      <c r="O2">
        <v>-0.26881218367210002</v>
      </c>
      <c r="S2" s="14" t="s">
        <v>526</v>
      </c>
      <c r="T2">
        <f>MIN(A:A)</f>
        <v>0.41363275379395298</v>
      </c>
      <c r="U2">
        <f t="shared" ref="U2:AH2" si="0">MIN(B:B)</f>
        <v>-5.2549288450000002</v>
      </c>
      <c r="V2">
        <f t="shared" si="0"/>
        <v>-3.4837137195593799</v>
      </c>
      <c r="W2">
        <f t="shared" si="0"/>
        <v>-4.7172248655138</v>
      </c>
      <c r="X2">
        <f t="shared" si="0"/>
        <v>-3.215975728354</v>
      </c>
      <c r="Y2">
        <f t="shared" si="0"/>
        <v>-3.4814961349944999</v>
      </c>
      <c r="Z2">
        <f t="shared" si="0"/>
        <v>-2.7241331767849002</v>
      </c>
      <c r="AA2">
        <f t="shared" si="0"/>
        <v>-3.6412835687649698</v>
      </c>
      <c r="AB2">
        <f t="shared" si="0"/>
        <v>0.74312421776213999</v>
      </c>
      <c r="AC2">
        <f t="shared" si="0"/>
        <v>-4.1776959938453304</v>
      </c>
      <c r="AD2">
        <f t="shared" si="0"/>
        <v>-1.994314669714</v>
      </c>
      <c r="AE2">
        <f t="shared" si="0"/>
        <v>-2.811453577814</v>
      </c>
      <c r="AF2">
        <f t="shared" si="0"/>
        <v>0</v>
      </c>
      <c r="AG2">
        <f t="shared" si="0"/>
        <v>-0.64893982818524998</v>
      </c>
      <c r="AH2">
        <f t="shared" si="0"/>
        <v>-0.26881218367210002</v>
      </c>
    </row>
    <row r="3" spans="1:34" x14ac:dyDescent="0.25">
      <c r="A3">
        <v>0.65654487742231205</v>
      </c>
      <c r="B3">
        <v>-3.7399125946299998</v>
      </c>
      <c r="C3">
        <v>0.58286574765537003</v>
      </c>
      <c r="D3">
        <v>-4.3383681863838</v>
      </c>
      <c r="E3">
        <v>-2.5946221247782701</v>
      </c>
      <c r="F3">
        <v>-2.83843841359</v>
      </c>
      <c r="G3">
        <v>-2.1814224288676298</v>
      </c>
      <c r="H3">
        <v>-3.6114253889399999</v>
      </c>
      <c r="I3">
        <v>0.84173382419129195</v>
      </c>
      <c r="J3">
        <v>-3.9911856916277002</v>
      </c>
      <c r="K3">
        <v>-0.98775579125754998</v>
      </c>
      <c r="L3">
        <v>-2.2897571792117</v>
      </c>
      <c r="N3">
        <v>-0.54237769288990001</v>
      </c>
      <c r="O3">
        <v>-0.23574742461133999</v>
      </c>
      <c r="S3" s="14" t="s">
        <v>527</v>
      </c>
      <c r="T3">
        <f>MAX(A:A)</f>
        <v>3.9885518818799999</v>
      </c>
      <c r="U3">
        <f t="shared" ref="U3:AH3" si="1">MAX(B:B)</f>
        <v>4.9383182115770001</v>
      </c>
      <c r="V3">
        <f t="shared" si="1"/>
        <v>7.1644578143939004</v>
      </c>
      <c r="W3">
        <f t="shared" si="1"/>
        <v>1.6699538764888999</v>
      </c>
      <c r="X3">
        <f t="shared" si="1"/>
        <v>3.7742479327449998</v>
      </c>
      <c r="Y3">
        <f t="shared" si="1"/>
        <v>5.9352388375557998</v>
      </c>
      <c r="Z3">
        <f t="shared" si="1"/>
        <v>1.2977713984999499</v>
      </c>
      <c r="AA3">
        <f t="shared" si="1"/>
        <v>3.2292957924213002</v>
      </c>
      <c r="AB3">
        <f t="shared" si="1"/>
        <v>3.4863352745396101</v>
      </c>
      <c r="AC3">
        <f t="shared" si="1"/>
        <v>2.7151484834291</v>
      </c>
      <c r="AD3">
        <f t="shared" si="1"/>
        <v>-0.24752691265099999</v>
      </c>
      <c r="AE3">
        <f t="shared" si="1"/>
        <v>0.68219792658816003</v>
      </c>
      <c r="AF3">
        <f t="shared" si="1"/>
        <v>0</v>
      </c>
      <c r="AG3">
        <f t="shared" si="1"/>
        <v>-0.19821775582524001</v>
      </c>
      <c r="AH3">
        <f t="shared" si="1"/>
        <v>-0.2136545692945</v>
      </c>
    </row>
    <row r="4" spans="1:34" x14ac:dyDescent="0.25">
      <c r="A4">
        <v>0.66212571715500002</v>
      </c>
      <c r="B4">
        <v>-3.7257579715159999</v>
      </c>
      <c r="C4">
        <v>0.61154939382950002</v>
      </c>
      <c r="D4">
        <v>-3.9369815821562999</v>
      </c>
      <c r="E4">
        <v>-2.3542734255933002</v>
      </c>
      <c r="F4">
        <v>-2.1745251666456</v>
      </c>
      <c r="G4">
        <v>-2.1252218283772999</v>
      </c>
      <c r="H4">
        <v>-1.7617941996527999</v>
      </c>
      <c r="I4">
        <v>0.94768859836872998</v>
      </c>
      <c r="J4">
        <v>-3.8774236722620001</v>
      </c>
      <c r="K4">
        <v>-0.84155727388848101</v>
      </c>
      <c r="L4">
        <v>-2.2861714968200002</v>
      </c>
      <c r="N4">
        <v>-0.51257467259650003</v>
      </c>
      <c r="O4">
        <v>-0.21854313999543001</v>
      </c>
      <c r="S4" s="14" t="s">
        <v>528</v>
      </c>
      <c r="T4">
        <f>AVERAGE(A:A)</f>
        <v>1.6835665738007413</v>
      </c>
      <c r="U4">
        <f t="shared" ref="U4:AH4" si="2">AVERAGE(B:B)</f>
        <v>-0.91092289960960648</v>
      </c>
      <c r="V4">
        <f t="shared" si="2"/>
        <v>3.6142393458491782</v>
      </c>
      <c r="W4">
        <f t="shared" si="2"/>
        <v>-2.188496141997228</v>
      </c>
      <c r="X4">
        <f t="shared" si="2"/>
        <v>-0.85341256555498135</v>
      </c>
      <c r="Y4">
        <f t="shared" si="2"/>
        <v>8.7672544582193646E-2</v>
      </c>
      <c r="Z4">
        <f t="shared" si="2"/>
        <v>-0.75124721841612851</v>
      </c>
      <c r="AA4">
        <f t="shared" si="2"/>
        <v>0.4923635313356064</v>
      </c>
      <c r="AB4">
        <f t="shared" si="2"/>
        <v>1.7096046633372091</v>
      </c>
      <c r="AC4">
        <f t="shared" si="2"/>
        <v>-2.1206149472480682</v>
      </c>
      <c r="AD4">
        <f t="shared" si="2"/>
        <v>-0.68192035419785557</v>
      </c>
      <c r="AE4">
        <f t="shared" si="2"/>
        <v>-1.4954641884954643</v>
      </c>
      <c r="AF4" t="e">
        <f t="shared" si="2"/>
        <v>#DIV/0!</v>
      </c>
      <c r="AG4">
        <f t="shared" si="2"/>
        <v>-0.36652372428536739</v>
      </c>
      <c r="AH4">
        <f t="shared" si="2"/>
        <v>-0.23104506144857401</v>
      </c>
    </row>
    <row r="5" spans="1:34" x14ac:dyDescent="0.25">
      <c r="A5">
        <v>0.69529316825270004</v>
      </c>
      <c r="B5">
        <v>-3.4584771499350002</v>
      </c>
      <c r="C5">
        <v>0.64123582356389996</v>
      </c>
      <c r="D5">
        <v>-3.4993543395315498</v>
      </c>
      <c r="E5">
        <v>-2.2423755518866</v>
      </c>
      <c r="F5">
        <v>-2.1384849878990999</v>
      </c>
      <c r="G5">
        <v>-1.9467452957335001</v>
      </c>
      <c r="H5">
        <v>-1.4662592286651499</v>
      </c>
      <c r="I5">
        <v>1.1165781537237001</v>
      </c>
      <c r="J5">
        <v>-3.7336346162665</v>
      </c>
      <c r="K5">
        <v>-0.83667616115279997</v>
      </c>
      <c r="L5">
        <v>-2.247267316796</v>
      </c>
      <c r="N5">
        <v>-0.43583928646879999</v>
      </c>
      <c r="O5">
        <v>-0.21846798966950001</v>
      </c>
      <c r="S5" s="14" t="s">
        <v>525</v>
      </c>
      <c r="T5">
        <f>COUNT(A2:A84)</f>
        <v>32</v>
      </c>
      <c r="U5">
        <f>COUNT(B2:B84)</f>
        <v>26</v>
      </c>
      <c r="V5">
        <f t="shared" ref="V5:AH5" si="3">COUNT(C2:C84)</f>
        <v>26</v>
      </c>
      <c r="W5">
        <f t="shared" si="3"/>
        <v>20</v>
      </c>
      <c r="X5">
        <f t="shared" si="3"/>
        <v>23</v>
      </c>
      <c r="Y5">
        <f t="shared" si="3"/>
        <v>23</v>
      </c>
      <c r="Z5">
        <f t="shared" si="3"/>
        <v>18</v>
      </c>
      <c r="AA5">
        <f t="shared" si="3"/>
        <v>19</v>
      </c>
      <c r="AB5">
        <f t="shared" si="3"/>
        <v>21</v>
      </c>
      <c r="AC5">
        <f t="shared" si="3"/>
        <v>18</v>
      </c>
      <c r="AD5">
        <f t="shared" si="3"/>
        <v>19</v>
      </c>
      <c r="AE5">
        <f t="shared" si="3"/>
        <v>47</v>
      </c>
      <c r="AF5">
        <f t="shared" si="3"/>
        <v>0</v>
      </c>
      <c r="AG5">
        <f t="shared" si="3"/>
        <v>18</v>
      </c>
      <c r="AH5">
        <f t="shared" si="3"/>
        <v>5</v>
      </c>
    </row>
    <row r="6" spans="1:34" x14ac:dyDescent="0.25">
      <c r="A6">
        <v>0.74169142189917003</v>
      </c>
      <c r="B6">
        <v>-2.76377727295516</v>
      </c>
      <c r="C6">
        <v>0.71844449109999997</v>
      </c>
      <c r="D6">
        <v>-3.3749465278350002</v>
      </c>
      <c r="E6">
        <v>-2.2278169271162001</v>
      </c>
      <c r="F6">
        <v>-2.1165598634428</v>
      </c>
      <c r="G6">
        <v>-1.9319494418447001</v>
      </c>
      <c r="H6">
        <v>-1.3995799144225201</v>
      </c>
      <c r="I6">
        <v>1.1452522999270001</v>
      </c>
      <c r="J6">
        <v>-3.7123286287397002</v>
      </c>
      <c r="K6">
        <v>-0.79757959247300003</v>
      </c>
      <c r="L6">
        <v>-2.1567715666764999</v>
      </c>
      <c r="N6">
        <v>-0.435682474524</v>
      </c>
      <c r="O6">
        <v>-0.2136545692945</v>
      </c>
    </row>
    <row r="7" spans="1:34" x14ac:dyDescent="0.25">
      <c r="A7">
        <v>0.91545469654484002</v>
      </c>
      <c r="B7">
        <v>-2.6431271921238002</v>
      </c>
      <c r="C7">
        <v>1.5762595641549999</v>
      </c>
      <c r="D7">
        <v>-3.3366234625818998</v>
      </c>
      <c r="E7">
        <v>-2.227429218553</v>
      </c>
      <c r="F7">
        <v>-1.615846597237</v>
      </c>
      <c r="G7">
        <v>-1.8999332989254001</v>
      </c>
      <c r="H7">
        <v>-1.2467727533424999</v>
      </c>
      <c r="I7">
        <v>1.149774859311</v>
      </c>
      <c r="J7">
        <v>-3.3228519931517999</v>
      </c>
      <c r="K7">
        <v>-0.77686763568219996</v>
      </c>
      <c r="L7">
        <v>-1.9877278533562599</v>
      </c>
      <c r="N7">
        <v>-0.43545174741881798</v>
      </c>
    </row>
    <row r="8" spans="1:34" x14ac:dyDescent="0.25">
      <c r="A8">
        <v>0.98571967384496995</v>
      </c>
      <c r="B8">
        <v>-2.5826898752123801</v>
      </c>
      <c r="C8">
        <v>1.98943731728135</v>
      </c>
      <c r="D8">
        <v>-3.283656133799</v>
      </c>
      <c r="E8">
        <v>-2.2191618855721802</v>
      </c>
      <c r="F8">
        <v>-1.463458388866</v>
      </c>
      <c r="G8">
        <v>-1.7925614148492</v>
      </c>
      <c r="H8">
        <v>0.96979413248669999</v>
      </c>
      <c r="I8">
        <v>1.1549912961616</v>
      </c>
      <c r="J8">
        <v>-2.7116942491263001</v>
      </c>
      <c r="K8">
        <v>-0.76521965285912996</v>
      </c>
      <c r="L8">
        <v>-1.98363691316</v>
      </c>
      <c r="N8">
        <v>-0.37825649914142001</v>
      </c>
    </row>
    <row r="9" spans="1:34" x14ac:dyDescent="0.25">
      <c r="A9">
        <v>0.98945441329240003</v>
      </c>
      <c r="B9">
        <v>-2.3727651334100002</v>
      </c>
      <c r="C9">
        <v>2.8751325178186802</v>
      </c>
      <c r="D9">
        <v>-2.7497426313409998</v>
      </c>
      <c r="E9">
        <v>-2.1968798874685298</v>
      </c>
      <c r="F9">
        <v>-1.2949722151555001</v>
      </c>
      <c r="G9">
        <v>-1.7176338763915999</v>
      </c>
      <c r="H9">
        <v>0.97612179714258895</v>
      </c>
      <c r="I9">
        <v>1.3221675152000001</v>
      </c>
      <c r="J9">
        <v>-2.4467676233623998</v>
      </c>
      <c r="K9">
        <v>-0.74837499433960997</v>
      </c>
      <c r="L9">
        <v>-1.9744968816249</v>
      </c>
      <c r="N9">
        <v>-0.374148617892266</v>
      </c>
    </row>
    <row r="10" spans="1:34" x14ac:dyDescent="0.25">
      <c r="A10">
        <v>1.1169286912</v>
      </c>
      <c r="B10">
        <v>-2.365222459196</v>
      </c>
      <c r="C10">
        <v>2.9191883817918001</v>
      </c>
      <c r="D10">
        <v>-2.735588562217</v>
      </c>
      <c r="E10">
        <v>-2.1955847564244499</v>
      </c>
      <c r="F10">
        <v>-1.2455286124193601</v>
      </c>
      <c r="G10">
        <v>-0.99662284187000005</v>
      </c>
      <c r="H10">
        <v>1.1149361175870001</v>
      </c>
      <c r="I10">
        <v>1.3632182829699999</v>
      </c>
      <c r="J10">
        <v>-2.13465438838799</v>
      </c>
      <c r="K10">
        <v>-0.73258495471575003</v>
      </c>
      <c r="L10">
        <v>-1.9254692964147</v>
      </c>
      <c r="N10">
        <v>-0.36251182739635501</v>
      </c>
    </row>
    <row r="11" spans="1:34" x14ac:dyDescent="0.25">
      <c r="A11">
        <v>1.1572844529360999</v>
      </c>
      <c r="B11">
        <v>-2.3593772394379999</v>
      </c>
      <c r="C11">
        <v>2.9688615739999999</v>
      </c>
      <c r="D11">
        <v>-2.6753185883600001</v>
      </c>
      <c r="E11">
        <v>-2.1338641839800001</v>
      </c>
      <c r="F11">
        <v>-1.1355944973600001</v>
      </c>
      <c r="G11">
        <v>-0.95869265714392005</v>
      </c>
      <c r="H11">
        <v>1.3429726275456799</v>
      </c>
      <c r="I11">
        <v>1.414191581544</v>
      </c>
      <c r="J11">
        <v>-1.9975746332394</v>
      </c>
      <c r="K11">
        <v>-0.66376197584832997</v>
      </c>
      <c r="L11">
        <v>-1.9186815864466</v>
      </c>
      <c r="N11">
        <v>-0.35529925817948599</v>
      </c>
    </row>
    <row r="12" spans="1:34" x14ac:dyDescent="0.25">
      <c r="A12">
        <v>1.1813747745865999</v>
      </c>
      <c r="B12">
        <v>-2.1348773268549999</v>
      </c>
      <c r="C12">
        <v>3.4889724258981998</v>
      </c>
      <c r="D12">
        <v>-2.6693672376371498</v>
      </c>
      <c r="E12">
        <v>-1.99822951499474</v>
      </c>
      <c r="F12">
        <v>-1.1215459547313</v>
      </c>
      <c r="G12">
        <v>-0.92241165914376</v>
      </c>
      <c r="H12">
        <v>1.41536459545</v>
      </c>
      <c r="I12">
        <v>1.4162563651527</v>
      </c>
      <c r="J12">
        <v>-1.8971682697447001</v>
      </c>
      <c r="K12">
        <v>-0.66187798825257005</v>
      </c>
      <c r="L12">
        <v>-1.8987991768628001</v>
      </c>
      <c r="N12">
        <v>-0.319132365737398</v>
      </c>
    </row>
    <row r="13" spans="1:34" x14ac:dyDescent="0.25">
      <c r="A13">
        <v>1.2918622513733</v>
      </c>
      <c r="B13">
        <v>-1.9163977811370001</v>
      </c>
      <c r="C13">
        <v>3.6373825586639001</v>
      </c>
      <c r="D13">
        <v>-2.5616727551668999</v>
      </c>
      <c r="E13">
        <v>-1.987968494397</v>
      </c>
      <c r="F13">
        <v>-0.87895822397650003</v>
      </c>
      <c r="G13">
        <v>0.58621197698487004</v>
      </c>
      <c r="H13">
        <v>1.4817166238199999</v>
      </c>
      <c r="I13">
        <v>1.4217764448236001</v>
      </c>
      <c r="J13">
        <v>-1.8875895212995999</v>
      </c>
      <c r="K13">
        <v>-0.64954597186176599</v>
      </c>
      <c r="L13">
        <v>-1.8824658752651999</v>
      </c>
      <c r="N13">
        <v>-0.29185177478520002</v>
      </c>
    </row>
    <row r="14" spans="1:34" x14ac:dyDescent="0.25">
      <c r="A14">
        <v>1.3371484794199999</v>
      </c>
      <c r="B14">
        <v>-1.7833248515119</v>
      </c>
      <c r="C14">
        <v>3.8414325355274999</v>
      </c>
      <c r="D14">
        <v>-1.9622351626361001</v>
      </c>
      <c r="E14">
        <v>-1.9312549263992</v>
      </c>
      <c r="F14">
        <v>-0.46997538912631998</v>
      </c>
      <c r="G14">
        <v>0.59466117137184005</v>
      </c>
      <c r="H14">
        <v>1.494951838749</v>
      </c>
      <c r="I14">
        <v>1.4224295926251</v>
      </c>
      <c r="J14">
        <v>-1.8716523712099999</v>
      </c>
      <c r="K14">
        <v>-0.45696269493528002</v>
      </c>
      <c r="L14">
        <v>-1.8769619297560001</v>
      </c>
      <c r="N14">
        <v>-0.28988178753568</v>
      </c>
    </row>
    <row r="15" spans="1:34" x14ac:dyDescent="0.25">
      <c r="A15">
        <v>1.4392528358900001</v>
      </c>
      <c r="B15">
        <v>-1.4892148595936301</v>
      </c>
      <c r="C15">
        <v>3.9179667776499998</v>
      </c>
      <c r="D15">
        <v>-1.9233418341199999</v>
      </c>
      <c r="E15">
        <v>-1.69523172732714</v>
      </c>
      <c r="F15">
        <v>0.92262824370999996</v>
      </c>
      <c r="G15">
        <v>0.69742618842290005</v>
      </c>
      <c r="H15">
        <v>1.5414428278186001</v>
      </c>
      <c r="I15">
        <v>1.458231978455</v>
      </c>
      <c r="J15">
        <v>-1.586843171768</v>
      </c>
      <c r="K15">
        <v>-0.41123227163384002</v>
      </c>
      <c r="L15">
        <v>-1.8483441813099999</v>
      </c>
      <c r="N15">
        <v>-0.28584318984200002</v>
      </c>
    </row>
    <row r="16" spans="1:34" x14ac:dyDescent="0.25">
      <c r="A16">
        <v>1.5788448944263</v>
      </c>
      <c r="B16">
        <v>-0.93414647445689603</v>
      </c>
      <c r="C16">
        <v>3.997675479942</v>
      </c>
      <c r="D16">
        <v>-1.5527885522381</v>
      </c>
      <c r="E16">
        <v>-1.6636723517873</v>
      </c>
      <c r="F16">
        <v>1.2862247683710999</v>
      </c>
      <c r="G16">
        <v>0.72869673414142999</v>
      </c>
      <c r="H16">
        <v>1.5985629581</v>
      </c>
      <c r="I16">
        <v>1.8617932829599999</v>
      </c>
      <c r="J16">
        <v>-1.568797515617</v>
      </c>
      <c r="K16">
        <v>-0.364159341926587</v>
      </c>
      <c r="L16">
        <v>-1.6779358672212199</v>
      </c>
      <c r="N16">
        <v>-0.25734526517</v>
      </c>
    </row>
    <row r="17" spans="1:14" x14ac:dyDescent="0.25">
      <c r="A17">
        <v>1.6451839640000001</v>
      </c>
      <c r="B17">
        <v>-0.89482236357260003</v>
      </c>
      <c r="C17">
        <v>4.2695188984100003</v>
      </c>
      <c r="D17">
        <v>-1.4967734229191001</v>
      </c>
      <c r="E17">
        <v>-1.6196578564299999</v>
      </c>
      <c r="F17">
        <v>1.67939166966</v>
      </c>
      <c r="G17">
        <v>0.83723372929286</v>
      </c>
      <c r="H17">
        <v>2.3335692514935902</v>
      </c>
      <c r="I17">
        <v>2.1728838325790001</v>
      </c>
      <c r="J17">
        <v>-0.75233834558989998</v>
      </c>
      <c r="K17">
        <v>-0.35216719563575999</v>
      </c>
      <c r="L17">
        <v>-1.6771738434492001</v>
      </c>
      <c r="N17">
        <v>-0.25734176573630002</v>
      </c>
    </row>
    <row r="18" spans="1:14" x14ac:dyDescent="0.25">
      <c r="A18">
        <v>1.7353491312223801</v>
      </c>
      <c r="B18">
        <v>0.45126854917551501</v>
      </c>
      <c r="C18">
        <v>4.3375345832469998</v>
      </c>
      <c r="D18">
        <v>-1.256517545895</v>
      </c>
      <c r="E18">
        <v>0.85126241532239999</v>
      </c>
      <c r="F18">
        <v>1.6844829259572001</v>
      </c>
      <c r="G18">
        <v>0.93287678972775001</v>
      </c>
      <c r="H18">
        <v>2.4674419626500002</v>
      </c>
      <c r="I18">
        <v>2.3116221257328</v>
      </c>
      <c r="J18">
        <v>0.78398315134399998</v>
      </c>
      <c r="K18">
        <v>-0.34162165533159999</v>
      </c>
      <c r="L18">
        <v>-1.6754513678673</v>
      </c>
      <c r="N18">
        <v>-0.21673122781199999</v>
      </c>
    </row>
    <row r="19" spans="1:14" x14ac:dyDescent="0.25">
      <c r="A19">
        <v>1.7664522486359999</v>
      </c>
      <c r="B19">
        <v>0.49367699657190001</v>
      </c>
      <c r="C19">
        <v>5.2734566475579996</v>
      </c>
      <c r="D19">
        <v>0.97147471897589999</v>
      </c>
      <c r="E19">
        <v>1.1187692375134</v>
      </c>
      <c r="F19">
        <v>1.834699127783</v>
      </c>
      <c r="G19">
        <v>1.2977713984999499</v>
      </c>
      <c r="H19">
        <v>2.5158516239000002</v>
      </c>
      <c r="I19">
        <v>2.4464158535423199</v>
      </c>
      <c r="J19">
        <v>2.7151484834291</v>
      </c>
      <c r="K19">
        <v>-0.32669999560000001</v>
      </c>
      <c r="L19">
        <v>-1.6339528561700001</v>
      </c>
      <c r="N19">
        <v>-0.19821775582524001</v>
      </c>
    </row>
    <row r="20" spans="1:14" x14ac:dyDescent="0.25">
      <c r="A20">
        <v>1.87872776161</v>
      </c>
      <c r="B20">
        <v>0.812785437986</v>
      </c>
      <c r="C20">
        <v>5.4255438892800001</v>
      </c>
      <c r="D20">
        <v>1.6591499549223501</v>
      </c>
      <c r="E20">
        <v>1.13843756764</v>
      </c>
      <c r="F20">
        <v>2.3381491315343399</v>
      </c>
      <c r="H20">
        <v>3.2292957924213002</v>
      </c>
      <c r="I20">
        <v>3.2799347920000002</v>
      </c>
      <c r="K20">
        <v>-0.24752691265099999</v>
      </c>
      <c r="L20">
        <v>-1.6324785432460001</v>
      </c>
    </row>
    <row r="21" spans="1:14" x14ac:dyDescent="0.25">
      <c r="A21">
        <v>1.896836149679</v>
      </c>
      <c r="B21">
        <v>0.82511729633278996</v>
      </c>
      <c r="C21">
        <v>5.6419127785940999</v>
      </c>
      <c r="D21">
        <v>1.6699538764888999</v>
      </c>
      <c r="E21">
        <v>2.5278767235399999</v>
      </c>
      <c r="F21">
        <v>2.5822718427162901</v>
      </c>
      <c r="I21">
        <v>3.4252977585118001</v>
      </c>
      <c r="L21">
        <v>-1.6255195757471801</v>
      </c>
    </row>
    <row r="22" spans="1:14" x14ac:dyDescent="0.25">
      <c r="A22">
        <v>1.986767724815</v>
      </c>
      <c r="B22">
        <v>0.85423822223182</v>
      </c>
      <c r="C22">
        <v>5.7147845651797002</v>
      </c>
      <c r="E22">
        <v>2.6897878617522002</v>
      </c>
      <c r="F22">
        <v>2.8449719859821001</v>
      </c>
      <c r="I22">
        <v>3.4863352745396101</v>
      </c>
      <c r="L22">
        <v>-1.6187574164131</v>
      </c>
    </row>
    <row r="23" spans="1:14" x14ac:dyDescent="0.25">
      <c r="A23">
        <v>2.1345456529218501</v>
      </c>
      <c r="B23">
        <v>0.97753148467456996</v>
      </c>
      <c r="C23">
        <v>5.7153887864913004</v>
      </c>
      <c r="E23">
        <v>2.7751278147843399</v>
      </c>
      <c r="F23">
        <v>2.8837944375646001</v>
      </c>
      <c r="L23">
        <v>-1.5883765589646901</v>
      </c>
    </row>
    <row r="24" spans="1:14" x14ac:dyDescent="0.25">
      <c r="A24">
        <v>2.1947323138188</v>
      </c>
      <c r="B24">
        <v>2.33628183178</v>
      </c>
      <c r="C24">
        <v>6.2874874367196201</v>
      </c>
      <c r="E24">
        <v>3.7742479327449998</v>
      </c>
      <c r="F24">
        <v>5.9352388375557998</v>
      </c>
      <c r="L24">
        <v>-1.55835136177246</v>
      </c>
    </row>
    <row r="25" spans="1:14" x14ac:dyDescent="0.25">
      <c r="A25">
        <v>2.23751839919447</v>
      </c>
      <c r="B25">
        <v>2.3818935526895002</v>
      </c>
      <c r="C25">
        <v>6.7196225843972002</v>
      </c>
      <c r="L25">
        <v>-1.55571572985823</v>
      </c>
    </row>
    <row r="26" spans="1:14" x14ac:dyDescent="0.25">
      <c r="A26">
        <v>2.2522174881370001</v>
      </c>
      <c r="B26">
        <v>2.6637124176745002</v>
      </c>
      <c r="C26">
        <v>7.1378241384900001</v>
      </c>
      <c r="L26">
        <v>-1.5533594245</v>
      </c>
    </row>
    <row r="27" spans="1:14" x14ac:dyDescent="0.25">
      <c r="A27">
        <v>2.2927592666724999</v>
      </c>
      <c r="B27">
        <v>4.9383182115770001</v>
      </c>
      <c r="C27">
        <v>7.1644578143939004</v>
      </c>
      <c r="L27">
        <v>-1.5474773742318</v>
      </c>
    </row>
    <row r="28" spans="1:14" x14ac:dyDescent="0.25">
      <c r="A28">
        <v>2.3457633255700001</v>
      </c>
      <c r="L28">
        <v>-1.5363654657600001</v>
      </c>
    </row>
    <row r="29" spans="1:14" x14ac:dyDescent="0.25">
      <c r="A29">
        <v>2.3668584939521802</v>
      </c>
      <c r="L29">
        <v>-1.5277293525983</v>
      </c>
    </row>
    <row r="30" spans="1:14" x14ac:dyDescent="0.25">
      <c r="A30">
        <v>2.3978922289</v>
      </c>
      <c r="L30">
        <v>-1.484414693757</v>
      </c>
    </row>
    <row r="31" spans="1:14" x14ac:dyDescent="0.25">
      <c r="A31">
        <v>2.7464724466549</v>
      </c>
      <c r="L31">
        <v>-1.4771265743588999</v>
      </c>
    </row>
    <row r="32" spans="1:14" x14ac:dyDescent="0.25">
      <c r="A32">
        <v>2.8448887819220001</v>
      </c>
      <c r="L32">
        <v>-1.4337223719145999</v>
      </c>
    </row>
    <row r="33" spans="1:12" x14ac:dyDescent="0.25">
      <c r="A33">
        <v>3.9885518818799999</v>
      </c>
      <c r="L33">
        <v>-1.415321873396</v>
      </c>
    </row>
    <row r="34" spans="1:12" x14ac:dyDescent="0.25">
      <c r="L34">
        <v>-1.3718464661737</v>
      </c>
    </row>
    <row r="35" spans="1:12" x14ac:dyDescent="0.25">
      <c r="L35">
        <v>-1.3582712475765</v>
      </c>
    </row>
    <row r="36" spans="1:12" x14ac:dyDescent="0.25">
      <c r="L36">
        <v>-1.3424227464109999</v>
      </c>
    </row>
    <row r="37" spans="1:12" x14ac:dyDescent="0.25">
      <c r="L37">
        <v>-1.3239949488799501</v>
      </c>
    </row>
    <row r="38" spans="1:12" x14ac:dyDescent="0.25">
      <c r="L38">
        <v>-1.3117685464685001</v>
      </c>
    </row>
    <row r="39" spans="1:12" x14ac:dyDescent="0.25">
      <c r="L39">
        <v>-1.2423158496366</v>
      </c>
    </row>
    <row r="40" spans="1:12" x14ac:dyDescent="0.25">
      <c r="L40">
        <v>-1.2315757653957999</v>
      </c>
    </row>
    <row r="41" spans="1:12" x14ac:dyDescent="0.25">
      <c r="L41">
        <v>-0.96931782819000001</v>
      </c>
    </row>
    <row r="42" spans="1:12" x14ac:dyDescent="0.25">
      <c r="L42">
        <v>-0.91237695232500005</v>
      </c>
    </row>
    <row r="43" spans="1:12" x14ac:dyDescent="0.25">
      <c r="L43">
        <v>-0.61923796255568997</v>
      </c>
    </row>
    <row r="44" spans="1:12" x14ac:dyDescent="0.25">
      <c r="L44">
        <v>-0.55352382421123003</v>
      </c>
    </row>
    <row r="45" spans="1:12" x14ac:dyDescent="0.25">
      <c r="L45">
        <v>-0.52558971181900005</v>
      </c>
    </row>
    <row r="46" spans="1:12" x14ac:dyDescent="0.25">
      <c r="L46">
        <v>-0.48165217615951</v>
      </c>
    </row>
    <row r="47" spans="1:12" x14ac:dyDescent="0.25">
      <c r="L47">
        <v>-0.41788567733185</v>
      </c>
    </row>
    <row r="48" spans="1:12" x14ac:dyDescent="0.25">
      <c r="L48">
        <v>0.68219792658816003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H49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508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0.41363275379395298</v>
      </c>
      <c r="B2">
        <v>-3.63521787616</v>
      </c>
      <c r="C2">
        <v>-16.389865191335002</v>
      </c>
      <c r="D2">
        <v>1.1117872621937099</v>
      </c>
      <c r="E2">
        <v>-3.215975728354</v>
      </c>
      <c r="F2">
        <v>-2.83843841359</v>
      </c>
      <c r="G2">
        <v>-1.9467452957335001</v>
      </c>
      <c r="H2">
        <v>-3.6412835687649698</v>
      </c>
      <c r="I2">
        <v>-3.3173119449500001</v>
      </c>
      <c r="J2">
        <v>-4.1776959938453304</v>
      </c>
      <c r="K2">
        <v>-3.4461686659813999</v>
      </c>
      <c r="L2">
        <v>-1.9877278533562599</v>
      </c>
      <c r="M2">
        <v>-1.61826489729</v>
      </c>
      <c r="N2">
        <v>-0.37825649914142001</v>
      </c>
      <c r="O2">
        <v>-0.37766464541</v>
      </c>
      <c r="S2" s="14" t="s">
        <v>526</v>
      </c>
      <c r="T2">
        <f>MIN(A:A)</f>
        <v>0.41363275379395298</v>
      </c>
      <c r="U2">
        <f t="shared" ref="U2:AH2" si="0">MIN(B:B)</f>
        <v>-3.63521787616</v>
      </c>
      <c r="V2">
        <f t="shared" si="0"/>
        <v>-16.389865191335002</v>
      </c>
      <c r="W2">
        <f t="shared" si="0"/>
        <v>1.1117872621937099</v>
      </c>
      <c r="X2">
        <f t="shared" si="0"/>
        <v>-3.215975728354</v>
      </c>
      <c r="Y2">
        <f t="shared" si="0"/>
        <v>-2.83843841359</v>
      </c>
      <c r="Z2">
        <f t="shared" si="0"/>
        <v>-1.9467452957335001</v>
      </c>
      <c r="AA2">
        <f t="shared" si="0"/>
        <v>-3.6412835687649698</v>
      </c>
      <c r="AB2">
        <f t="shared" si="0"/>
        <v>-3.3173119449500001</v>
      </c>
      <c r="AC2">
        <f t="shared" si="0"/>
        <v>-4.1776959938453304</v>
      </c>
      <c r="AD2">
        <f t="shared" si="0"/>
        <v>-3.4461686659813999</v>
      </c>
      <c r="AE2">
        <f t="shared" si="0"/>
        <v>-1.9877278533562599</v>
      </c>
      <c r="AF2">
        <f t="shared" si="0"/>
        <v>-1.61826489729</v>
      </c>
      <c r="AG2">
        <f t="shared" si="0"/>
        <v>-0.37825649914142001</v>
      </c>
      <c r="AH2">
        <f t="shared" si="0"/>
        <v>-0.37766464541</v>
      </c>
    </row>
    <row r="3" spans="1:34" x14ac:dyDescent="0.25">
      <c r="A3">
        <v>0.74169142189917003</v>
      </c>
      <c r="B3">
        <v>-3.2948336817533899</v>
      </c>
      <c r="C3">
        <v>-8.3398755733919998</v>
      </c>
      <c r="D3">
        <v>1.4676175818531001</v>
      </c>
      <c r="E3">
        <v>-2.6587745611542899</v>
      </c>
      <c r="F3">
        <v>-2.7645439883699998</v>
      </c>
      <c r="G3">
        <v>-1.9319494418447001</v>
      </c>
      <c r="H3">
        <v>-3.618843326415</v>
      </c>
      <c r="I3">
        <v>-3.2995727822613001</v>
      </c>
      <c r="J3">
        <v>-3.3971217236581999</v>
      </c>
      <c r="K3">
        <v>-2.2374163424870002</v>
      </c>
      <c r="L3">
        <v>-1.9744968816249</v>
      </c>
      <c r="M3">
        <v>-1.6176164134833999</v>
      </c>
      <c r="N3">
        <v>-0.35567353588169998</v>
      </c>
      <c r="O3">
        <v>-0.34728582322669999</v>
      </c>
      <c r="S3" s="14" t="s">
        <v>527</v>
      </c>
      <c r="T3">
        <f>MAX(A:A)</f>
        <v>3.9885518818799999</v>
      </c>
      <c r="U3">
        <f t="shared" ref="U3:AH3" si="1">MAX(B:B)</f>
        <v>6.243676731751</v>
      </c>
      <c r="V3">
        <f t="shared" si="1"/>
        <v>3.1322313688149999</v>
      </c>
      <c r="W3">
        <f t="shared" si="1"/>
        <v>8.3238816818846999</v>
      </c>
      <c r="X3">
        <f t="shared" si="1"/>
        <v>2.8371648723549998</v>
      </c>
      <c r="Y3">
        <f t="shared" si="1"/>
        <v>2.9571641716378001</v>
      </c>
      <c r="Z3">
        <f t="shared" si="1"/>
        <v>4.2867321612888798</v>
      </c>
      <c r="AA3">
        <f t="shared" si="1"/>
        <v>4.5361586548219996</v>
      </c>
      <c r="AB3">
        <f t="shared" si="1"/>
        <v>3.4863352745396101</v>
      </c>
      <c r="AC3">
        <f t="shared" si="1"/>
        <v>2.624325788583</v>
      </c>
      <c r="AD3">
        <f t="shared" si="1"/>
        <v>-0.24752691265099999</v>
      </c>
      <c r="AE3">
        <f t="shared" si="1"/>
        <v>-0.41788567733185</v>
      </c>
      <c r="AF3">
        <f t="shared" si="1"/>
        <v>-0.46633294624799998</v>
      </c>
      <c r="AG3">
        <f t="shared" si="1"/>
        <v>-0.19678766353348001</v>
      </c>
      <c r="AH3">
        <f t="shared" si="1"/>
        <v>-0.2136545692945</v>
      </c>
    </row>
    <row r="4" spans="1:34" x14ac:dyDescent="0.25">
      <c r="A4">
        <v>0.81427723446136002</v>
      </c>
      <c r="B4">
        <v>-2.9148148699629002</v>
      </c>
      <c r="C4">
        <v>-7.9849147336464403</v>
      </c>
      <c r="D4">
        <v>1.5569674675178999</v>
      </c>
      <c r="E4">
        <v>-2.4999934196172</v>
      </c>
      <c r="F4">
        <v>-2.1745251666456</v>
      </c>
      <c r="G4">
        <v>-1.8411241829767</v>
      </c>
      <c r="H4">
        <v>-3.6114253889399999</v>
      </c>
      <c r="I4">
        <v>-2.1771735691899998</v>
      </c>
      <c r="J4">
        <v>-1.8875895212995999</v>
      </c>
      <c r="K4">
        <v>-2.1866337269569298</v>
      </c>
      <c r="L4">
        <v>-1.8987991768628001</v>
      </c>
      <c r="M4">
        <v>-1.58983357781733</v>
      </c>
      <c r="N4">
        <v>-0.35529925817948599</v>
      </c>
      <c r="O4">
        <v>-0.29462871491786002</v>
      </c>
      <c r="S4" s="14" t="s">
        <v>528</v>
      </c>
      <c r="T4">
        <f>AVERAGE(A:A)</f>
        <v>1.9120038877283541</v>
      </c>
      <c r="U4">
        <f t="shared" ref="U4:AH4" si="2">AVERAGE(B:B)</f>
        <v>3.7282938792629443E-2</v>
      </c>
      <c r="V4">
        <f t="shared" si="2"/>
        <v>-2.798067850119355</v>
      </c>
      <c r="W4">
        <f t="shared" si="2"/>
        <v>3.2984370706889279</v>
      </c>
      <c r="X4">
        <f t="shared" si="2"/>
        <v>-1.1620781989780349</v>
      </c>
      <c r="Y4">
        <f t="shared" si="2"/>
        <v>-0.54963726361030429</v>
      </c>
      <c r="Z4">
        <f t="shared" si="2"/>
        <v>-7.878949717094505E-3</v>
      </c>
      <c r="AA4">
        <f t="shared" si="2"/>
        <v>0.56457932325887328</v>
      </c>
      <c r="AB4">
        <f t="shared" si="2"/>
        <v>1.1821261261806186</v>
      </c>
      <c r="AC4">
        <f t="shared" si="2"/>
        <v>0.52980262189769867</v>
      </c>
      <c r="AD4">
        <f t="shared" si="2"/>
        <v>-0.89489749697220045</v>
      </c>
      <c r="AE4">
        <f t="shared" si="2"/>
        <v>-1.4589426510526293</v>
      </c>
      <c r="AF4">
        <f t="shared" si="2"/>
        <v>-1.2359593531518278</v>
      </c>
      <c r="AG4">
        <f t="shared" si="2"/>
        <v>-0.28864596507869467</v>
      </c>
      <c r="AH4">
        <f t="shared" si="2"/>
        <v>-0.27809213797925331</v>
      </c>
    </row>
    <row r="5" spans="1:34" x14ac:dyDescent="0.25">
      <c r="A5">
        <v>1.1169286912</v>
      </c>
      <c r="B5">
        <v>-2.84689845189979</v>
      </c>
      <c r="C5">
        <v>-7.1591617925576001</v>
      </c>
      <c r="D5">
        <v>1.6161741254099999</v>
      </c>
      <c r="E5">
        <v>-2.45744344484</v>
      </c>
      <c r="F5">
        <v>-2.1384849878990999</v>
      </c>
      <c r="G5">
        <v>-1.49491194132</v>
      </c>
      <c r="H5">
        <v>-3.5693822919675</v>
      </c>
      <c r="I5">
        <v>0.74312421776213999</v>
      </c>
      <c r="J5">
        <v>-0.74564678412350005</v>
      </c>
      <c r="K5">
        <v>-1.994314669714</v>
      </c>
      <c r="L5">
        <v>-1.8769619297560001</v>
      </c>
      <c r="M5">
        <v>-1.414847199584</v>
      </c>
      <c r="N5">
        <v>-0.34943267876718398</v>
      </c>
      <c r="O5">
        <v>-0.28779546337667</v>
      </c>
      <c r="S5" s="14" t="s">
        <v>525</v>
      </c>
      <c r="T5">
        <f>COUNT(A2:A84)</f>
        <v>28</v>
      </c>
      <c r="U5">
        <f>COUNT(B2:B84)</f>
        <v>27</v>
      </c>
      <c r="V5">
        <f t="shared" ref="V5:AH5" si="3">COUNT(C2:C84)</f>
        <v>20</v>
      </c>
      <c r="W5">
        <f t="shared" si="3"/>
        <v>19</v>
      </c>
      <c r="X5">
        <f t="shared" si="3"/>
        <v>27</v>
      </c>
      <c r="Y5">
        <f t="shared" si="3"/>
        <v>23</v>
      </c>
      <c r="Z5">
        <f t="shared" si="3"/>
        <v>19</v>
      </c>
      <c r="AA5">
        <f t="shared" si="3"/>
        <v>21</v>
      </c>
      <c r="AB5">
        <f t="shared" si="3"/>
        <v>23</v>
      </c>
      <c r="AC5">
        <f t="shared" si="3"/>
        <v>14</v>
      </c>
      <c r="AD5">
        <f t="shared" si="3"/>
        <v>48</v>
      </c>
      <c r="AE5">
        <f t="shared" si="3"/>
        <v>19</v>
      </c>
      <c r="AF5">
        <f t="shared" si="3"/>
        <v>11</v>
      </c>
      <c r="AG5">
        <f t="shared" si="3"/>
        <v>10</v>
      </c>
      <c r="AH5">
        <f t="shared" si="3"/>
        <v>9</v>
      </c>
    </row>
    <row r="6" spans="1:34" x14ac:dyDescent="0.25">
      <c r="A6">
        <v>1.1196796241689999</v>
      </c>
      <c r="B6">
        <v>-2.365222459196</v>
      </c>
      <c r="C6">
        <v>-5.5213332242998003</v>
      </c>
      <c r="D6">
        <v>1.6591499549223501</v>
      </c>
      <c r="E6">
        <v>-2.3542734255933002</v>
      </c>
      <c r="F6">
        <v>-1.9928627763415701</v>
      </c>
      <c r="G6">
        <v>-1.395662846447</v>
      </c>
      <c r="H6">
        <v>-1.4488665536755001</v>
      </c>
      <c r="I6">
        <v>0.78427791353559995</v>
      </c>
      <c r="J6">
        <v>0.78398315134399998</v>
      </c>
      <c r="K6">
        <v>-1.6471594365973099</v>
      </c>
      <c r="L6">
        <v>-1.6771738434492001</v>
      </c>
      <c r="M6">
        <v>-1.3572543953217999</v>
      </c>
      <c r="N6">
        <v>-0.29185177478520002</v>
      </c>
      <c r="O6">
        <v>-0.26881218367210002</v>
      </c>
    </row>
    <row r="7" spans="1:34" x14ac:dyDescent="0.25">
      <c r="A7">
        <v>1.1691351594238999</v>
      </c>
      <c r="B7">
        <v>-2.1426543782710001</v>
      </c>
      <c r="C7">
        <v>-5.2883862639399997</v>
      </c>
      <c r="D7">
        <v>1.6699538764888999</v>
      </c>
      <c r="E7">
        <v>-2.2867954132169999</v>
      </c>
      <c r="F7">
        <v>-1.9429523552246</v>
      </c>
      <c r="G7">
        <v>-1.29824865743285</v>
      </c>
      <c r="H7">
        <v>-1.2467727533424999</v>
      </c>
      <c r="I7">
        <v>0.84173382419129195</v>
      </c>
      <c r="J7">
        <v>0.82912457658880001</v>
      </c>
      <c r="K7">
        <v>-1.5581219972256499</v>
      </c>
      <c r="L7">
        <v>-1.6754513678673</v>
      </c>
      <c r="M7">
        <v>-1.2269832399530001</v>
      </c>
      <c r="N7">
        <v>-0.286863991691236</v>
      </c>
      <c r="O7">
        <v>-0.2491191428816</v>
      </c>
    </row>
    <row r="8" spans="1:34" x14ac:dyDescent="0.25">
      <c r="A8">
        <v>1.1813747745865999</v>
      </c>
      <c r="B8">
        <v>-2.1259353217600001</v>
      </c>
      <c r="C8">
        <v>-4.6589667646199002</v>
      </c>
      <c r="D8">
        <v>1.9877779872579999</v>
      </c>
      <c r="E8">
        <v>-2.2423755518866</v>
      </c>
      <c r="F8">
        <v>-1.615846597237</v>
      </c>
      <c r="G8">
        <v>-0.99662284187000005</v>
      </c>
      <c r="H8">
        <v>-1.228848113537</v>
      </c>
      <c r="I8">
        <v>0.92884287457600001</v>
      </c>
      <c r="J8">
        <v>1.4578387333</v>
      </c>
      <c r="K8">
        <v>-1.4842629521563</v>
      </c>
      <c r="L8">
        <v>-1.6324785432460001</v>
      </c>
      <c r="M8">
        <v>-1.1799536662193999</v>
      </c>
      <c r="N8">
        <v>-0.25734526517</v>
      </c>
      <c r="O8">
        <v>-0.23574742461133999</v>
      </c>
    </row>
    <row r="9" spans="1:34" x14ac:dyDescent="0.25">
      <c r="A9">
        <v>1.26244447316</v>
      </c>
      <c r="B9">
        <v>-1.924612288931</v>
      </c>
      <c r="C9">
        <v>-4.3824179748240004</v>
      </c>
      <c r="D9">
        <v>2.1158664325268002</v>
      </c>
      <c r="E9">
        <v>-2.2278169271162001</v>
      </c>
      <c r="F9">
        <v>-1.4746593798957</v>
      </c>
      <c r="G9">
        <v>-0.99346747281119996</v>
      </c>
      <c r="H9">
        <v>0.92794735973577003</v>
      </c>
      <c r="I9">
        <v>1.1165781537237001</v>
      </c>
      <c r="J9">
        <v>1.5193877918111001</v>
      </c>
      <c r="K9">
        <v>-1.3993251978500001</v>
      </c>
      <c r="L9">
        <v>-1.5883765589646901</v>
      </c>
      <c r="M9">
        <v>-1.1584397252758001</v>
      </c>
      <c r="N9">
        <v>-0.21673122781199999</v>
      </c>
      <c r="O9">
        <v>-0.22812127442251001</v>
      </c>
    </row>
    <row r="10" spans="1:34" x14ac:dyDescent="0.25">
      <c r="A10">
        <v>1.2918622513733</v>
      </c>
      <c r="B10">
        <v>-0.93414647445689603</v>
      </c>
      <c r="C10">
        <v>-4.1115758697568996</v>
      </c>
      <c r="D10">
        <v>2.2256329795251002</v>
      </c>
      <c r="E10">
        <v>-2.227429218553</v>
      </c>
      <c r="F10">
        <v>-1.2949722151555001</v>
      </c>
      <c r="G10">
        <v>-0.776335199413277</v>
      </c>
      <c r="H10">
        <v>1.19134359247698</v>
      </c>
      <c r="I10">
        <v>1.1452522999270001</v>
      </c>
      <c r="J10">
        <v>1.6992493717382999</v>
      </c>
      <c r="K10">
        <v>-1.2666949976999999</v>
      </c>
      <c r="L10">
        <v>-1.5533594245</v>
      </c>
      <c r="M10">
        <v>-0.99118982673287404</v>
      </c>
      <c r="N10">
        <v>-0.19821775582524001</v>
      </c>
      <c r="O10">
        <v>-0.2136545692945</v>
      </c>
    </row>
    <row r="11" spans="1:34" x14ac:dyDescent="0.25">
      <c r="A11">
        <v>1.3371484794199999</v>
      </c>
      <c r="B11">
        <v>-0.89482236357260003</v>
      </c>
      <c r="C11">
        <v>-3.4837137195593799</v>
      </c>
      <c r="D11">
        <v>2.4717436898890002</v>
      </c>
      <c r="E11">
        <v>-2.2191618855721802</v>
      </c>
      <c r="F11">
        <v>-1.2455286124193601</v>
      </c>
      <c r="G11">
        <v>0.58621197698487004</v>
      </c>
      <c r="H11">
        <v>1.2449482576171</v>
      </c>
      <c r="I11">
        <v>1.1597268363844</v>
      </c>
      <c r="J11">
        <v>1.779576489856</v>
      </c>
      <c r="K11">
        <v>-1.24159526783548</v>
      </c>
      <c r="L11">
        <v>-1.5277293525983</v>
      </c>
      <c r="M11">
        <v>-0.97483699674449997</v>
      </c>
      <c r="N11">
        <v>-0.19678766353348001</v>
      </c>
    </row>
    <row r="12" spans="1:34" x14ac:dyDescent="0.25">
      <c r="A12">
        <v>1.87872776161</v>
      </c>
      <c r="B12">
        <v>-0.86743559665369996</v>
      </c>
      <c r="C12">
        <v>-2.7311198527460001</v>
      </c>
      <c r="D12">
        <v>3.64343463355564</v>
      </c>
      <c r="E12">
        <v>-2.1968798874685298</v>
      </c>
      <c r="F12">
        <v>-1.1628957364935999</v>
      </c>
      <c r="G12">
        <v>0.59466117137184005</v>
      </c>
      <c r="H12">
        <v>1.3429726275456799</v>
      </c>
      <c r="I12">
        <v>1.3385598452559999</v>
      </c>
      <c r="J12">
        <v>2.1311852715537198</v>
      </c>
      <c r="K12">
        <v>-1.199584194314</v>
      </c>
      <c r="L12">
        <v>-1.4337223719145999</v>
      </c>
      <c r="M12">
        <v>-0.46633294624799998</v>
      </c>
    </row>
    <row r="13" spans="1:34" x14ac:dyDescent="0.25">
      <c r="A13">
        <v>1.9256399371499899</v>
      </c>
      <c r="B13">
        <v>-0.68778627951628002</v>
      </c>
      <c r="C13">
        <v>0.58286574765537003</v>
      </c>
      <c r="D13">
        <v>3.7763895276919999</v>
      </c>
      <c r="E13">
        <v>-2.1955847564244499</v>
      </c>
      <c r="F13">
        <v>-1.1355944973600001</v>
      </c>
      <c r="G13">
        <v>0.67448176685824002</v>
      </c>
      <c r="H13">
        <v>1.41536459545</v>
      </c>
      <c r="I13">
        <v>1.3735225531691</v>
      </c>
      <c r="J13">
        <v>2.3511753135350002</v>
      </c>
      <c r="K13">
        <v>-1.1487812989591999</v>
      </c>
      <c r="L13">
        <v>-1.415321873396</v>
      </c>
    </row>
    <row r="14" spans="1:34" x14ac:dyDescent="0.25">
      <c r="A14">
        <v>1.9323212516746</v>
      </c>
      <c r="B14">
        <v>0.39278356726217101</v>
      </c>
      <c r="C14">
        <v>0.61154939382950002</v>
      </c>
      <c r="D14">
        <v>3.8912532339496999</v>
      </c>
      <c r="E14">
        <v>-2.1822814428999999</v>
      </c>
      <c r="F14">
        <v>-1.1215459547313</v>
      </c>
      <c r="G14">
        <v>0.67853873149180999</v>
      </c>
      <c r="H14">
        <v>1.5414428278186001</v>
      </c>
      <c r="I14">
        <v>1.3797862643679999</v>
      </c>
      <c r="J14">
        <v>2.4494442411844899</v>
      </c>
      <c r="K14">
        <v>-0.98775579125754998</v>
      </c>
      <c r="L14">
        <v>-1.3582712475765</v>
      </c>
    </row>
    <row r="15" spans="1:34" x14ac:dyDescent="0.25">
      <c r="A15">
        <v>1.97585948157127</v>
      </c>
      <c r="B15">
        <v>0.43272183158172001</v>
      </c>
      <c r="C15">
        <v>0.71844449109999997</v>
      </c>
      <c r="D15">
        <v>4.2218132673615703</v>
      </c>
      <c r="E15">
        <v>-2.1791662752126002</v>
      </c>
      <c r="F15">
        <v>-1.1192625199120001</v>
      </c>
      <c r="G15">
        <v>0.69742618842290005</v>
      </c>
      <c r="H15">
        <v>1.5738117941351999</v>
      </c>
      <c r="I15">
        <v>1.414191581544</v>
      </c>
      <c r="J15">
        <v>2.624325788583</v>
      </c>
      <c r="K15">
        <v>-0.93147676228559995</v>
      </c>
      <c r="L15">
        <v>-1.3424227464109999</v>
      </c>
    </row>
    <row r="16" spans="1:34" x14ac:dyDescent="0.25">
      <c r="A16">
        <v>2.1947323138188</v>
      </c>
      <c r="B16">
        <v>0.45126854917551501</v>
      </c>
      <c r="C16">
        <v>0.95257834942715602</v>
      </c>
      <c r="D16">
        <v>4.4147969578487301</v>
      </c>
      <c r="E16">
        <v>-2.1552236729900001</v>
      </c>
      <c r="F16">
        <v>-0.94979942931811201</v>
      </c>
      <c r="G16">
        <v>0.72869673414142999</v>
      </c>
      <c r="H16">
        <v>2.1112812527826001</v>
      </c>
      <c r="I16">
        <v>1.4217764448236001</v>
      </c>
      <c r="K16">
        <v>-0.91213941682489996</v>
      </c>
      <c r="L16">
        <v>-1.3239949488799501</v>
      </c>
    </row>
    <row r="17" spans="1:12" x14ac:dyDescent="0.25">
      <c r="A17">
        <v>2.23564524834</v>
      </c>
      <c r="B17">
        <v>0.49367699657190001</v>
      </c>
      <c r="C17">
        <v>1.5762595641549999</v>
      </c>
      <c r="D17">
        <v>5.1253951469858103</v>
      </c>
      <c r="E17">
        <v>-2.1539581733519499</v>
      </c>
      <c r="F17">
        <v>-0.87895822397650003</v>
      </c>
      <c r="G17">
        <v>0.83723372929286</v>
      </c>
      <c r="H17">
        <v>2.1465497631644999</v>
      </c>
      <c r="I17">
        <v>1.699716614947</v>
      </c>
      <c r="K17">
        <v>-0.87284592652299997</v>
      </c>
      <c r="L17">
        <v>-1.3117685464685001</v>
      </c>
    </row>
    <row r="18" spans="1:12" x14ac:dyDescent="0.25">
      <c r="A18">
        <v>2.23751839919447</v>
      </c>
      <c r="B18">
        <v>0.76649361341592603</v>
      </c>
      <c r="C18">
        <v>1.94536123978716</v>
      </c>
      <c r="D18">
        <v>5.6713539716436099</v>
      </c>
      <c r="E18">
        <v>-2.1354378595657302</v>
      </c>
      <c r="F18">
        <v>-0.46997538912631998</v>
      </c>
      <c r="G18">
        <v>1.5676711826775001</v>
      </c>
      <c r="H18">
        <v>2.2984117854619801</v>
      </c>
      <c r="I18">
        <v>2.1973855141269998</v>
      </c>
      <c r="K18">
        <v>-0.84155727388848101</v>
      </c>
      <c r="L18">
        <v>-1.2423158496366</v>
      </c>
    </row>
    <row r="19" spans="1:12" x14ac:dyDescent="0.25">
      <c r="A19">
        <v>2.2522174881370001</v>
      </c>
      <c r="B19">
        <v>0.76734677898699999</v>
      </c>
      <c r="C19">
        <v>1.98943731728135</v>
      </c>
      <c r="D19">
        <v>5.7193145645829997</v>
      </c>
      <c r="E19">
        <v>-2.1338641839800001</v>
      </c>
      <c r="F19">
        <v>1.4716374942611701</v>
      </c>
      <c r="G19">
        <v>1.8737141926940999</v>
      </c>
      <c r="H19">
        <v>2.3128227938484001</v>
      </c>
      <c r="I19">
        <v>2.28283537611197</v>
      </c>
      <c r="K19">
        <v>-0.83667616115279997</v>
      </c>
      <c r="L19">
        <v>-0.48165217615951</v>
      </c>
    </row>
    <row r="20" spans="1:12" x14ac:dyDescent="0.25">
      <c r="A20">
        <v>2.2714717959840001</v>
      </c>
      <c r="B20">
        <v>0.812785437986</v>
      </c>
      <c r="C20">
        <v>2.58124648623938</v>
      </c>
      <c r="D20">
        <v>8.3238816818846999</v>
      </c>
      <c r="E20">
        <v>-1.987968494397</v>
      </c>
      <c r="F20">
        <v>1.834699127783</v>
      </c>
      <c r="G20">
        <v>4.2867321612888798</v>
      </c>
      <c r="H20">
        <v>3.3653529149699999</v>
      </c>
      <c r="I20">
        <v>2.4464158535423199</v>
      </c>
      <c r="K20">
        <v>-0.79757959247300003</v>
      </c>
      <c r="L20">
        <v>-0.41788567733185</v>
      </c>
    </row>
    <row r="21" spans="1:12" x14ac:dyDescent="0.25">
      <c r="A21">
        <v>2.3457633255700001</v>
      </c>
      <c r="B21">
        <v>0.81986748351509997</v>
      </c>
      <c r="C21">
        <v>3.1322313688149999</v>
      </c>
      <c r="E21">
        <v>-1.6196578564299999</v>
      </c>
      <c r="F21">
        <v>2.1577379817911</v>
      </c>
      <c r="H21">
        <v>4.2131795652499999</v>
      </c>
      <c r="I21">
        <v>3.3737577428250001</v>
      </c>
      <c r="K21">
        <v>-0.77686763568219996</v>
      </c>
    </row>
    <row r="22" spans="1:12" x14ac:dyDescent="0.25">
      <c r="A22">
        <v>2.3668584939521802</v>
      </c>
      <c r="B22">
        <v>0.82511729633278996</v>
      </c>
      <c r="E22">
        <v>0.89868836322519996</v>
      </c>
      <c r="F22">
        <v>2.5685964933099998</v>
      </c>
      <c r="H22">
        <v>4.5361586548219996</v>
      </c>
      <c r="I22">
        <v>3.4238422546899998</v>
      </c>
      <c r="K22">
        <v>-0.76521965285912996</v>
      </c>
    </row>
    <row r="23" spans="1:12" x14ac:dyDescent="0.25">
      <c r="A23">
        <v>2.3978922289</v>
      </c>
      <c r="B23">
        <v>0.85423822223182</v>
      </c>
      <c r="E23">
        <v>1.1294767826865</v>
      </c>
      <c r="F23">
        <v>2.6893539118761902</v>
      </c>
      <c r="I23">
        <v>3.4252977585118001</v>
      </c>
      <c r="K23">
        <v>-0.76498134921399996</v>
      </c>
    </row>
    <row r="24" spans="1:12" x14ac:dyDescent="0.25">
      <c r="A24">
        <v>2.4278346584260002</v>
      </c>
      <c r="B24">
        <v>1.4176796813520001</v>
      </c>
      <c r="E24">
        <v>1.9716261615699999</v>
      </c>
      <c r="F24">
        <v>2.9571641716378001</v>
      </c>
      <c r="I24">
        <v>3.4863352745396101</v>
      </c>
      <c r="K24">
        <v>-0.75546462329499997</v>
      </c>
    </row>
    <row r="25" spans="1:12" x14ac:dyDescent="0.25">
      <c r="A25">
        <v>2.5828293638547</v>
      </c>
      <c r="B25">
        <v>2.49838345541461</v>
      </c>
      <c r="E25">
        <v>2.1271947396487998</v>
      </c>
      <c r="K25">
        <v>-0.74837499433960997</v>
      </c>
    </row>
    <row r="26" spans="1:12" x14ac:dyDescent="0.25">
      <c r="A26">
        <v>2.6453285838234</v>
      </c>
      <c r="B26">
        <v>3.9266615323799998</v>
      </c>
      <c r="E26">
        <v>2.2181882511616</v>
      </c>
      <c r="K26">
        <v>-0.74749899254574104</v>
      </c>
    </row>
    <row r="27" spans="1:12" x14ac:dyDescent="0.25">
      <c r="A27">
        <v>2.6949433853835298</v>
      </c>
      <c r="B27">
        <v>4.9383182115770001</v>
      </c>
      <c r="E27">
        <v>2.7716116355699998</v>
      </c>
      <c r="K27">
        <v>-0.73373518144600003</v>
      </c>
    </row>
    <row r="28" spans="1:12" x14ac:dyDescent="0.25">
      <c r="A28">
        <v>2.7337983936366999</v>
      </c>
      <c r="B28">
        <v>6.243676731751</v>
      </c>
      <c r="E28">
        <v>2.8371648723549998</v>
      </c>
      <c r="K28">
        <v>-0.73322684381799996</v>
      </c>
    </row>
    <row r="29" spans="1:12" x14ac:dyDescent="0.25">
      <c r="A29">
        <v>3.9885518818799999</v>
      </c>
      <c r="K29">
        <v>-0.73258495471575003</v>
      </c>
    </row>
    <row r="30" spans="1:12" x14ac:dyDescent="0.25">
      <c r="K30">
        <v>-0.69625738153490002</v>
      </c>
    </row>
    <row r="31" spans="1:12" x14ac:dyDescent="0.25">
      <c r="K31">
        <v>-0.66376197584832997</v>
      </c>
    </row>
    <row r="32" spans="1:12" x14ac:dyDescent="0.25">
      <c r="K32">
        <v>-0.66187798825257005</v>
      </c>
    </row>
    <row r="33" spans="11:11" x14ac:dyDescent="0.25">
      <c r="K33">
        <v>-0.64954597186176599</v>
      </c>
    </row>
    <row r="34" spans="11:11" x14ac:dyDescent="0.25">
      <c r="K34">
        <v>-0.63939332313870001</v>
      </c>
    </row>
    <row r="35" spans="11:11" x14ac:dyDescent="0.25">
      <c r="K35">
        <v>-0.59896323234112303</v>
      </c>
    </row>
    <row r="36" spans="11:11" x14ac:dyDescent="0.25">
      <c r="K36">
        <v>-0.581761555568861</v>
      </c>
    </row>
    <row r="37" spans="11:11" x14ac:dyDescent="0.25">
      <c r="K37">
        <v>-0.45696269493528002</v>
      </c>
    </row>
    <row r="38" spans="11:11" x14ac:dyDescent="0.25">
      <c r="K38">
        <v>-0.45129669157730001</v>
      </c>
    </row>
    <row r="39" spans="11:11" x14ac:dyDescent="0.25">
      <c r="K39">
        <v>-0.44532982887</v>
      </c>
    </row>
    <row r="40" spans="11:11" x14ac:dyDescent="0.25">
      <c r="K40">
        <v>-0.41123227163384002</v>
      </c>
    </row>
    <row r="41" spans="11:11" x14ac:dyDescent="0.25">
      <c r="K41">
        <v>-0.364159341926587</v>
      </c>
    </row>
    <row r="42" spans="11:11" x14ac:dyDescent="0.25">
      <c r="K42">
        <v>-0.36162716268997003</v>
      </c>
    </row>
    <row r="43" spans="11:11" x14ac:dyDescent="0.25">
      <c r="K43">
        <v>-0.35216719563575999</v>
      </c>
    </row>
    <row r="44" spans="11:11" x14ac:dyDescent="0.25">
      <c r="K44">
        <v>-0.34162165533159999</v>
      </c>
    </row>
    <row r="45" spans="11:11" x14ac:dyDescent="0.25">
      <c r="K45">
        <v>-0.32669999560000001</v>
      </c>
    </row>
    <row r="46" spans="11:11" x14ac:dyDescent="0.25">
      <c r="K46">
        <v>-0.32569595934895001</v>
      </c>
    </row>
    <row r="47" spans="11:11" x14ac:dyDescent="0.25">
      <c r="K47">
        <v>-0.31992225248181</v>
      </c>
    </row>
    <row r="48" spans="11:11" x14ac:dyDescent="0.25">
      <c r="K48">
        <v>-0.31123256333926003</v>
      </c>
    </row>
    <row r="49" spans="11:11" x14ac:dyDescent="0.25">
      <c r="K49">
        <v>-0.24752691265099999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H56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513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0.62922523971690003</v>
      </c>
      <c r="B2">
        <v>-5.8145231142830003</v>
      </c>
      <c r="C2">
        <v>-7.1591617925576001</v>
      </c>
      <c r="D2">
        <v>-4.3383681863838</v>
      </c>
      <c r="E2">
        <v>-3.5799835348509998</v>
      </c>
      <c r="F2">
        <v>1.263567672225</v>
      </c>
      <c r="G2">
        <v>-2.6124782451256001</v>
      </c>
      <c r="H2">
        <v>-1.7617941996527999</v>
      </c>
      <c r="I2">
        <v>-5.9813676998389997</v>
      </c>
      <c r="J2">
        <v>-5.7829556296621698</v>
      </c>
      <c r="K2">
        <v>-2.2374163424870002</v>
      </c>
      <c r="L2">
        <v>-2.2897571792117</v>
      </c>
      <c r="M2">
        <v>-2.1579334328948101</v>
      </c>
      <c r="N2">
        <v>-0.54237769288990001</v>
      </c>
      <c r="O2">
        <v>-0.56575731664841999</v>
      </c>
      <c r="S2" s="14" t="s">
        <v>526</v>
      </c>
      <c r="T2">
        <f>MIN(A:A)</f>
        <v>0.62922523971690003</v>
      </c>
      <c r="U2">
        <f t="shared" ref="U2:AH2" si="0">MIN(B:B)</f>
        <v>-5.8145231142830003</v>
      </c>
      <c r="V2">
        <f t="shared" si="0"/>
        <v>-7.1591617925576001</v>
      </c>
      <c r="W2">
        <f t="shared" si="0"/>
        <v>-4.3383681863838</v>
      </c>
      <c r="X2">
        <f t="shared" si="0"/>
        <v>-3.5799835348509998</v>
      </c>
      <c r="Y2">
        <f t="shared" si="0"/>
        <v>1.263567672225</v>
      </c>
      <c r="Z2">
        <f t="shared" si="0"/>
        <v>-2.6124782451256001</v>
      </c>
      <c r="AA2">
        <f t="shared" si="0"/>
        <v>-1.7617941996527999</v>
      </c>
      <c r="AB2">
        <f t="shared" si="0"/>
        <v>-5.9813676998389997</v>
      </c>
      <c r="AC2">
        <f t="shared" si="0"/>
        <v>-5.7829556296621698</v>
      </c>
      <c r="AD2">
        <f t="shared" si="0"/>
        <v>-2.2374163424870002</v>
      </c>
      <c r="AE2">
        <f t="shared" si="0"/>
        <v>-2.2897571792117</v>
      </c>
      <c r="AF2">
        <f t="shared" si="0"/>
        <v>-2.1579334328948101</v>
      </c>
      <c r="AG2">
        <f t="shared" si="0"/>
        <v>-0.54237769288990001</v>
      </c>
      <c r="AH2">
        <f t="shared" si="0"/>
        <v>-0.56575731664841999</v>
      </c>
    </row>
    <row r="3" spans="1:34" x14ac:dyDescent="0.25">
      <c r="A3">
        <v>0.65654487742231205</v>
      </c>
      <c r="B3">
        <v>-5.2549288450000002</v>
      </c>
      <c r="C3">
        <v>-5.5213332242998003</v>
      </c>
      <c r="D3">
        <v>-3.9929357525159999</v>
      </c>
      <c r="E3">
        <v>-3.3523354964565999</v>
      </c>
      <c r="F3">
        <v>1.49248596343759</v>
      </c>
      <c r="G3">
        <v>-2.5165567256200001</v>
      </c>
      <c r="H3">
        <v>-1.752424254713</v>
      </c>
      <c r="I3">
        <v>-4.2727385533530002</v>
      </c>
      <c r="J3">
        <v>-4.6237463375664101</v>
      </c>
      <c r="K3">
        <v>-2.1866337269569298</v>
      </c>
      <c r="L3">
        <v>-2.2861714968200002</v>
      </c>
      <c r="M3">
        <v>-1.9833459616289999</v>
      </c>
      <c r="N3">
        <v>-0.48177391852233598</v>
      </c>
      <c r="O3">
        <v>-0.45385839496753999</v>
      </c>
      <c r="S3" s="14" t="s">
        <v>527</v>
      </c>
      <c r="T3">
        <f>MAX(A:A)</f>
        <v>4.2234496529719001</v>
      </c>
      <c r="U3">
        <f t="shared" ref="U3:AH3" si="1">MAX(B:B)</f>
        <v>5.9597465984192999</v>
      </c>
      <c r="V3">
        <f t="shared" si="1"/>
        <v>6.1827581582261004</v>
      </c>
      <c r="W3">
        <f t="shared" si="1"/>
        <v>5.6713539716436099</v>
      </c>
      <c r="X3">
        <f t="shared" si="1"/>
        <v>3.7742479327449998</v>
      </c>
      <c r="Y3">
        <f t="shared" si="1"/>
        <v>5.9352388375557998</v>
      </c>
      <c r="Z3">
        <f t="shared" si="1"/>
        <v>1.8737141926940999</v>
      </c>
      <c r="AA3">
        <f t="shared" si="1"/>
        <v>7.3893931669528197</v>
      </c>
      <c r="AB3">
        <f t="shared" si="1"/>
        <v>3.2799347920000002</v>
      </c>
      <c r="AC3">
        <f t="shared" si="1"/>
        <v>2.767568164279</v>
      </c>
      <c r="AD3">
        <f t="shared" si="1"/>
        <v>-0.24752691265099999</v>
      </c>
      <c r="AE3">
        <f t="shared" si="1"/>
        <v>0.68219792658816003</v>
      </c>
      <c r="AF3">
        <f t="shared" si="1"/>
        <v>-0.64313496189554997</v>
      </c>
      <c r="AG3">
        <f t="shared" si="1"/>
        <v>-0.27964346541637403</v>
      </c>
      <c r="AH3">
        <f t="shared" si="1"/>
        <v>-0.21832137987771</v>
      </c>
    </row>
    <row r="4" spans="1:34" x14ac:dyDescent="0.25">
      <c r="A4">
        <v>0.69529316825270004</v>
      </c>
      <c r="B4">
        <v>-5.1483644666527999</v>
      </c>
      <c r="C4">
        <v>-4.5412595972753103</v>
      </c>
      <c r="D4">
        <v>-3.3366234625818998</v>
      </c>
      <c r="E4">
        <v>-3.2551188328781002</v>
      </c>
      <c r="F4">
        <v>1.5642955175964599</v>
      </c>
      <c r="G4">
        <v>-2.4989999814536001</v>
      </c>
      <c r="H4">
        <v>-1.3949912862660001</v>
      </c>
      <c r="I4">
        <v>-3.3173119449500001</v>
      </c>
      <c r="J4">
        <v>-4.1776959938453304</v>
      </c>
      <c r="K4">
        <v>-1.6471594365973099</v>
      </c>
      <c r="L4">
        <v>-2.247267316796</v>
      </c>
      <c r="M4">
        <v>-1.9768977668515999</v>
      </c>
      <c r="N4">
        <v>-0.43583928646879999</v>
      </c>
      <c r="O4">
        <v>-0.34728582322669999</v>
      </c>
      <c r="S4" s="14" t="s">
        <v>528</v>
      </c>
      <c r="T4">
        <f>AVERAGE(A:A)</f>
        <v>1.9723507276621084</v>
      </c>
      <c r="U4">
        <f t="shared" ref="U4:AH4" si="2">AVERAGE(B:B)</f>
        <v>-0.10655942231381173</v>
      </c>
      <c r="V4">
        <f t="shared" si="2"/>
        <v>1.4830016034755649</v>
      </c>
      <c r="W4">
        <f t="shared" si="2"/>
        <v>-0.35424912161062883</v>
      </c>
      <c r="X4">
        <f t="shared" si="2"/>
        <v>-0.25016408629646752</v>
      </c>
      <c r="Y4">
        <f t="shared" si="2"/>
        <v>2.5183354422118307</v>
      </c>
      <c r="Z4">
        <f t="shared" si="2"/>
        <v>-0.91355938599358877</v>
      </c>
      <c r="AA4">
        <f t="shared" si="2"/>
        <v>1.4048074867946012</v>
      </c>
      <c r="AB4">
        <f t="shared" si="2"/>
        <v>0.65066689381629672</v>
      </c>
      <c r="AC4">
        <f t="shared" si="2"/>
        <v>-1.3281282145746698</v>
      </c>
      <c r="AD4">
        <f t="shared" si="2"/>
        <v>-0.96434645421824217</v>
      </c>
      <c r="AE4">
        <f t="shared" si="2"/>
        <v>-1.5906708747302787</v>
      </c>
      <c r="AF4">
        <f t="shared" si="2"/>
        <v>-1.5761237787316735</v>
      </c>
      <c r="AG4">
        <f t="shared" si="2"/>
        <v>-0.3899882497053978</v>
      </c>
      <c r="AH4">
        <f t="shared" si="2"/>
        <v>-0.32109124426330105</v>
      </c>
    </row>
    <row r="5" spans="1:34" x14ac:dyDescent="0.25">
      <c r="A5">
        <v>0.74169142189917003</v>
      </c>
      <c r="B5">
        <v>-4.6156937131614999</v>
      </c>
      <c r="C5">
        <v>-4.1115758697568996</v>
      </c>
      <c r="D5">
        <v>-2.7497426313409998</v>
      </c>
      <c r="E5">
        <v>-3.215975728354</v>
      </c>
      <c r="F5">
        <v>1.58625536569</v>
      </c>
      <c r="G5">
        <v>-2.4485277211945</v>
      </c>
      <c r="H5">
        <v>-1.29135193273</v>
      </c>
      <c r="I5">
        <v>-2.6454156144500001</v>
      </c>
      <c r="J5">
        <v>-3.9911856916277002</v>
      </c>
      <c r="K5">
        <v>-1.3993251978500001</v>
      </c>
      <c r="L5">
        <v>-2.1567715666764999</v>
      </c>
      <c r="M5">
        <v>-1.9614378244748001</v>
      </c>
      <c r="N5">
        <v>-0.43545174741881798</v>
      </c>
      <c r="O5">
        <v>-0.32473826275000001</v>
      </c>
      <c r="S5" s="14" t="s">
        <v>525</v>
      </c>
      <c r="T5">
        <f>COUNT(A2:A84)</f>
        <v>35</v>
      </c>
      <c r="U5">
        <f>COUNT(B2:B84)</f>
        <v>24</v>
      </c>
      <c r="V5">
        <f t="shared" ref="V5:AH5" si="3">COUNT(C2:C84)</f>
        <v>28</v>
      </c>
      <c r="W5">
        <f t="shared" si="3"/>
        <v>29</v>
      </c>
      <c r="X5">
        <f t="shared" si="3"/>
        <v>22</v>
      </c>
      <c r="Y5">
        <f t="shared" si="3"/>
        <v>19</v>
      </c>
      <c r="Z5">
        <f t="shared" si="3"/>
        <v>25</v>
      </c>
      <c r="AA5">
        <f t="shared" si="3"/>
        <v>29</v>
      </c>
      <c r="AB5">
        <f t="shared" si="3"/>
        <v>27</v>
      </c>
      <c r="AC5">
        <f t="shared" si="3"/>
        <v>55</v>
      </c>
      <c r="AD5">
        <f t="shared" si="3"/>
        <v>14</v>
      </c>
      <c r="AE5">
        <f t="shared" si="3"/>
        <v>18</v>
      </c>
      <c r="AF5">
        <f t="shared" si="3"/>
        <v>19</v>
      </c>
      <c r="AG5">
        <f t="shared" si="3"/>
        <v>14</v>
      </c>
      <c r="AH5">
        <f t="shared" si="3"/>
        <v>10</v>
      </c>
    </row>
    <row r="6" spans="1:34" x14ac:dyDescent="0.25">
      <c r="A6">
        <v>0.88375291625563002</v>
      </c>
      <c r="B6">
        <v>-3.63521787616</v>
      </c>
      <c r="C6">
        <v>-3.4837137195593799</v>
      </c>
      <c r="D6">
        <v>-2.735588562217</v>
      </c>
      <c r="E6">
        <v>-2.9676614477999999</v>
      </c>
      <c r="F6">
        <v>1.67939166966</v>
      </c>
      <c r="G6">
        <v>-2.39977964314</v>
      </c>
      <c r="H6">
        <v>-1.2467727533424999</v>
      </c>
      <c r="I6">
        <v>-0.92485938447420002</v>
      </c>
      <c r="J6">
        <v>-3.8774236722620001</v>
      </c>
      <c r="K6">
        <v>-1.199584194314</v>
      </c>
      <c r="L6">
        <v>-1.9877278533562599</v>
      </c>
      <c r="M6">
        <v>-1.9457279367442899</v>
      </c>
      <c r="N6">
        <v>-0.42461613243492002</v>
      </c>
      <c r="O6">
        <v>-0.31252897649728001</v>
      </c>
    </row>
    <row r="7" spans="1:34" x14ac:dyDescent="0.25">
      <c r="A7">
        <v>0.88698918443739005</v>
      </c>
      <c r="B7">
        <v>-3.2948336817533899</v>
      </c>
      <c r="C7">
        <v>-3.3883377316876002</v>
      </c>
      <c r="D7">
        <v>-2.6753185883600001</v>
      </c>
      <c r="E7">
        <v>-2.6587745611542899</v>
      </c>
      <c r="F7">
        <v>1.681253762946</v>
      </c>
      <c r="G7">
        <v>-2.1814224288676298</v>
      </c>
      <c r="H7">
        <v>-1.228848113537</v>
      </c>
      <c r="I7">
        <v>0.42723531896559003</v>
      </c>
      <c r="J7">
        <v>-3.7336346162665</v>
      </c>
      <c r="K7">
        <v>-0.87284592652299997</v>
      </c>
      <c r="L7">
        <v>-1.98363691316</v>
      </c>
      <c r="M7">
        <v>-1.8813888411999999</v>
      </c>
      <c r="N7">
        <v>-0.37933495834549003</v>
      </c>
      <c r="O7">
        <v>-0.26795232546699999</v>
      </c>
    </row>
    <row r="8" spans="1:34" x14ac:dyDescent="0.25">
      <c r="A8">
        <v>0.89729271171949998</v>
      </c>
      <c r="B8">
        <v>-2.9148148699629002</v>
      </c>
      <c r="C8">
        <v>-2.7311198527460001</v>
      </c>
      <c r="D8">
        <v>-2.5888877586720001</v>
      </c>
      <c r="E8">
        <v>-2.5946221247782701</v>
      </c>
      <c r="F8">
        <v>1.6844829259572001</v>
      </c>
      <c r="G8">
        <v>-2.1494472980000001</v>
      </c>
      <c r="H8">
        <v>-0.98557297182329995</v>
      </c>
      <c r="I8">
        <v>0.57449617928635399</v>
      </c>
      <c r="J8">
        <v>-3.7123286287397002</v>
      </c>
      <c r="K8">
        <v>-0.73322684381799996</v>
      </c>
      <c r="L8">
        <v>-1.9186815864466</v>
      </c>
      <c r="M8">
        <v>-1.82434326714189</v>
      </c>
      <c r="N8">
        <v>-0.37825649914142001</v>
      </c>
      <c r="O8">
        <v>-0.25379337643330002</v>
      </c>
    </row>
    <row r="9" spans="1:34" x14ac:dyDescent="0.25">
      <c r="A9">
        <v>0.91545469654484002</v>
      </c>
      <c r="B9">
        <v>-2.84689845189979</v>
      </c>
      <c r="C9">
        <v>0.56943746562461095</v>
      </c>
      <c r="D9">
        <v>-2.5878989382639999</v>
      </c>
      <c r="E9">
        <v>-2.46668289533</v>
      </c>
      <c r="F9">
        <v>1.834699127783</v>
      </c>
      <c r="G9">
        <v>-1.9928176478724999</v>
      </c>
      <c r="H9">
        <v>-0.72911235182529999</v>
      </c>
      <c r="I9">
        <v>0.78427791353559995</v>
      </c>
      <c r="J9">
        <v>-3.6765921458844</v>
      </c>
      <c r="K9">
        <v>-0.64954597186176599</v>
      </c>
      <c r="L9">
        <v>-1.8824658752651999</v>
      </c>
      <c r="M9">
        <v>-1.6985843851785001</v>
      </c>
      <c r="N9">
        <v>-0.374148617892266</v>
      </c>
      <c r="O9">
        <v>-0.24813344676963101</v>
      </c>
    </row>
    <row r="10" spans="1:34" x14ac:dyDescent="0.25">
      <c r="A10">
        <v>0.98945441329240003</v>
      </c>
      <c r="B10">
        <v>-2.365222459196</v>
      </c>
      <c r="C10">
        <v>0.64123582356389996</v>
      </c>
      <c r="D10">
        <v>-2.55617541756637</v>
      </c>
      <c r="E10">
        <v>-2.3726773196357001</v>
      </c>
      <c r="F10">
        <v>2.1836349988379999</v>
      </c>
      <c r="G10">
        <v>-1.79132779947513</v>
      </c>
      <c r="H10">
        <v>0.65166395494497997</v>
      </c>
      <c r="I10">
        <v>0.96974393819122995</v>
      </c>
      <c r="J10">
        <v>-3.572378846456</v>
      </c>
      <c r="K10">
        <v>-0.63939332313870001</v>
      </c>
      <c r="L10">
        <v>-1.6779358672212199</v>
      </c>
      <c r="M10">
        <v>-1.674345179778</v>
      </c>
      <c r="N10">
        <v>-0.36957921159278001</v>
      </c>
      <c r="O10">
        <v>-0.21854313999543001</v>
      </c>
    </row>
    <row r="11" spans="1:34" x14ac:dyDescent="0.25">
      <c r="A11">
        <v>1.1196796241689999</v>
      </c>
      <c r="B11">
        <v>-2.1426543782710001</v>
      </c>
      <c r="C11">
        <v>1.7317852476237301</v>
      </c>
      <c r="D11">
        <v>-2.4995921363189999</v>
      </c>
      <c r="E11">
        <v>-1.9312549263992</v>
      </c>
      <c r="F11">
        <v>2.2549552458950002</v>
      </c>
      <c r="G11">
        <v>-1.7176338763915999</v>
      </c>
      <c r="H11">
        <v>0.92794735973577003</v>
      </c>
      <c r="I11">
        <v>1.1452522999270001</v>
      </c>
      <c r="J11">
        <v>-3.5345529869756001</v>
      </c>
      <c r="K11">
        <v>-0.59896323234112303</v>
      </c>
      <c r="L11">
        <v>-1.5363654657600001</v>
      </c>
      <c r="M11">
        <v>-1.6188413928389001</v>
      </c>
      <c r="N11">
        <v>-0.36251182739635501</v>
      </c>
      <c r="O11">
        <v>-0.21832137987771</v>
      </c>
    </row>
    <row r="12" spans="1:34" x14ac:dyDescent="0.25">
      <c r="A12">
        <v>1.1572844529360999</v>
      </c>
      <c r="B12">
        <v>-2.1259353217600001</v>
      </c>
      <c r="C12">
        <v>1.94536123978716</v>
      </c>
      <c r="D12">
        <v>-1.6763588696828</v>
      </c>
      <c r="E12">
        <v>-1.8566484892570001</v>
      </c>
      <c r="F12">
        <v>2.3381491315343399</v>
      </c>
      <c r="G12">
        <v>-1.5141116595463</v>
      </c>
      <c r="H12">
        <v>0.97612179714258895</v>
      </c>
      <c r="I12">
        <v>1.149774859311</v>
      </c>
      <c r="J12">
        <v>-3.3971217236581999</v>
      </c>
      <c r="K12">
        <v>-0.45129669157730001</v>
      </c>
      <c r="L12">
        <v>-1.5277293525983</v>
      </c>
      <c r="M12">
        <v>-1.61826489729</v>
      </c>
      <c r="N12">
        <v>-0.35567353588169998</v>
      </c>
    </row>
    <row r="13" spans="1:34" x14ac:dyDescent="0.25">
      <c r="A13">
        <v>1.1873294743514999</v>
      </c>
      <c r="B13">
        <v>0.86876845738674402</v>
      </c>
      <c r="C13">
        <v>1.98943731728135</v>
      </c>
      <c r="D13">
        <v>-1.5527885522381</v>
      </c>
      <c r="E13">
        <v>0.85126241532239999</v>
      </c>
      <c r="F13">
        <v>2.3757318871120998</v>
      </c>
      <c r="G13">
        <v>-1.4311121415100001</v>
      </c>
      <c r="H13">
        <v>1.2677221988834999</v>
      </c>
      <c r="I13">
        <v>1.1549912961616</v>
      </c>
      <c r="J13">
        <v>-3.3568277979685299</v>
      </c>
      <c r="K13">
        <v>-0.32669999560000001</v>
      </c>
      <c r="L13">
        <v>-1.484414693757</v>
      </c>
      <c r="M13">
        <v>-1.4936365939309999</v>
      </c>
      <c r="N13">
        <v>-0.35478541263240998</v>
      </c>
    </row>
    <row r="14" spans="1:34" x14ac:dyDescent="0.25">
      <c r="A14">
        <v>1.3757577512279999</v>
      </c>
      <c r="B14">
        <v>0.97753148467456996</v>
      </c>
      <c r="C14">
        <v>2.58124648623938</v>
      </c>
      <c r="D14">
        <v>-1.4967734229191001</v>
      </c>
      <c r="E14">
        <v>0.89868836322519996</v>
      </c>
      <c r="F14">
        <v>2.5822718427162901</v>
      </c>
      <c r="G14">
        <v>-1.395662846447</v>
      </c>
      <c r="H14">
        <v>1.2737327813699999</v>
      </c>
      <c r="I14">
        <v>1.1597268363844</v>
      </c>
      <c r="J14">
        <v>-3.3228519931517999</v>
      </c>
      <c r="K14">
        <v>-0.31123256333926003</v>
      </c>
      <c r="L14">
        <v>-1.4771265743588999</v>
      </c>
      <c r="M14">
        <v>-1.4636638165553</v>
      </c>
      <c r="N14">
        <v>-0.28584318984200002</v>
      </c>
    </row>
    <row r="15" spans="1:34" x14ac:dyDescent="0.25">
      <c r="A15">
        <v>1.4446295613158999</v>
      </c>
      <c r="B15">
        <v>1.78216169416</v>
      </c>
      <c r="C15">
        <v>2.9191883817918001</v>
      </c>
      <c r="D15">
        <v>-1.4367319369574301</v>
      </c>
      <c r="E15">
        <v>1.1294767826865</v>
      </c>
      <c r="F15">
        <v>2.6699195427382998</v>
      </c>
      <c r="G15">
        <v>-0.99346747281119996</v>
      </c>
      <c r="H15">
        <v>1.3213733317</v>
      </c>
      <c r="I15">
        <v>1.2436792416272</v>
      </c>
      <c r="J15">
        <v>-2.9817457176220001</v>
      </c>
      <c r="K15">
        <v>-0.24752691265099999</v>
      </c>
      <c r="L15">
        <v>-1.3718464661737</v>
      </c>
      <c r="M15">
        <v>-1.3572543953217999</v>
      </c>
      <c r="N15">
        <v>-0.27964346541637403</v>
      </c>
    </row>
    <row r="16" spans="1:34" x14ac:dyDescent="0.25">
      <c r="A16">
        <v>1.4875136816744501</v>
      </c>
      <c r="B16">
        <v>2.2157167264989002</v>
      </c>
      <c r="C16">
        <v>3.1227211697394099</v>
      </c>
      <c r="D16">
        <v>-1.256517545895</v>
      </c>
      <c r="E16">
        <v>1.9716261615699999</v>
      </c>
      <c r="F16">
        <v>2.8449719859821001</v>
      </c>
      <c r="G16">
        <v>-0.95869265714392005</v>
      </c>
      <c r="H16">
        <v>1.4817166238199999</v>
      </c>
      <c r="I16">
        <v>1.3221675152000001</v>
      </c>
      <c r="J16">
        <v>-2.911474497141</v>
      </c>
      <c r="L16">
        <v>-1.3424227464109999</v>
      </c>
      <c r="M16">
        <v>-1.351617763121</v>
      </c>
    </row>
    <row r="17" spans="1:13" x14ac:dyDescent="0.25">
      <c r="A17">
        <v>1.5788448944263</v>
      </c>
      <c r="B17">
        <v>2.33628183178</v>
      </c>
      <c r="C17">
        <v>3.1322313688149999</v>
      </c>
      <c r="D17">
        <v>-0.92221998414951001</v>
      </c>
      <c r="E17">
        <v>2.1271947396487998</v>
      </c>
      <c r="F17">
        <v>2.8837944375646001</v>
      </c>
      <c r="G17">
        <v>-0.92241165914376</v>
      </c>
      <c r="H17">
        <v>1.494951838749</v>
      </c>
      <c r="I17">
        <v>1.3385598452559999</v>
      </c>
      <c r="J17">
        <v>-2.85473839229171</v>
      </c>
      <c r="L17">
        <v>-1.2315757653957999</v>
      </c>
      <c r="M17">
        <v>-1.3299364787600001</v>
      </c>
    </row>
    <row r="18" spans="1:13" x14ac:dyDescent="0.25">
      <c r="A18">
        <v>1.6451839640000001</v>
      </c>
      <c r="B18">
        <v>2.3818935526895002</v>
      </c>
      <c r="C18">
        <v>3.199389392993</v>
      </c>
      <c r="D18">
        <v>0.87435478561289004</v>
      </c>
      <c r="E18">
        <v>2.2181882511616</v>
      </c>
      <c r="F18">
        <v>4.1351613131800002</v>
      </c>
      <c r="G18">
        <v>-0.85641933965999995</v>
      </c>
      <c r="H18">
        <v>1.5738117941351999</v>
      </c>
      <c r="I18">
        <v>1.4162563651527</v>
      </c>
      <c r="J18">
        <v>-2.7116942491263001</v>
      </c>
      <c r="L18">
        <v>-0.91237695232500005</v>
      </c>
      <c r="M18">
        <v>-1.1328236253420001</v>
      </c>
    </row>
    <row r="19" spans="1:13" x14ac:dyDescent="0.25">
      <c r="A19">
        <v>1.6731581287737001</v>
      </c>
      <c r="B19">
        <v>2.3894521958527002</v>
      </c>
      <c r="C19">
        <v>3.5279174242359002</v>
      </c>
      <c r="D19">
        <v>0.97147471897589999</v>
      </c>
      <c r="E19">
        <v>2.2477393353658002</v>
      </c>
      <c r="F19">
        <v>4.8581121736129997</v>
      </c>
      <c r="G19">
        <v>-0.8469353182146</v>
      </c>
      <c r="H19">
        <v>1.5985629581</v>
      </c>
      <c r="I19">
        <v>1.4224295926251</v>
      </c>
      <c r="J19">
        <v>-2.4838193292168</v>
      </c>
      <c r="L19">
        <v>0.68219792658816003</v>
      </c>
      <c r="M19">
        <v>-0.83317327495335802</v>
      </c>
    </row>
    <row r="20" spans="1:13" x14ac:dyDescent="0.25">
      <c r="A20">
        <v>1.896836149679</v>
      </c>
      <c r="B20">
        <v>2.5777373734875701</v>
      </c>
      <c r="C20">
        <v>3.5752612515775999</v>
      </c>
      <c r="D20">
        <v>0.99937274799839804</v>
      </c>
      <c r="E20">
        <v>2.5278767235399999</v>
      </c>
      <c r="F20">
        <v>5.9352388375557998</v>
      </c>
      <c r="G20">
        <v>0.72752789231899995</v>
      </c>
      <c r="H20">
        <v>1.767454553366</v>
      </c>
      <c r="I20">
        <v>1.699716614947</v>
      </c>
      <c r="J20">
        <v>-2.4467676233623998</v>
      </c>
      <c r="M20">
        <v>-0.64313496189554997</v>
      </c>
    </row>
    <row r="21" spans="1:13" x14ac:dyDescent="0.25">
      <c r="A21">
        <v>1.986767724815</v>
      </c>
      <c r="B21">
        <v>2.6637124176745002</v>
      </c>
      <c r="C21">
        <v>3.8414325355274999</v>
      </c>
      <c r="D21">
        <v>1.1117872621937099</v>
      </c>
      <c r="E21">
        <v>3.4132493597239999</v>
      </c>
      <c r="G21">
        <v>0.74463539933732004</v>
      </c>
      <c r="H21">
        <v>2.1465497631644999</v>
      </c>
      <c r="I21">
        <v>1.8412312198</v>
      </c>
      <c r="J21">
        <v>-2.3163374337759999</v>
      </c>
    </row>
    <row r="22" spans="1:13" x14ac:dyDescent="0.25">
      <c r="A22">
        <v>2.2927592666724999</v>
      </c>
      <c r="B22">
        <v>3.9266615323799998</v>
      </c>
      <c r="C22">
        <v>3.9179667776499998</v>
      </c>
      <c r="D22">
        <v>1.116195872132</v>
      </c>
      <c r="E22">
        <v>3.5885753933825701</v>
      </c>
      <c r="G22">
        <v>0.93287678972775001</v>
      </c>
      <c r="H22">
        <v>2.2984117854619801</v>
      </c>
      <c r="I22">
        <v>1.8497594748446</v>
      </c>
      <c r="J22">
        <v>-2.3139624241295902</v>
      </c>
    </row>
    <row r="23" spans="1:13" x14ac:dyDescent="0.25">
      <c r="A23">
        <v>2.3893989535600002</v>
      </c>
      <c r="B23">
        <v>4.5836789659881001</v>
      </c>
      <c r="C23">
        <v>3.997675479942</v>
      </c>
      <c r="D23">
        <v>1.247358971823</v>
      </c>
      <c r="E23">
        <v>3.7742479327449998</v>
      </c>
      <c r="G23">
        <v>1.2446229565219999</v>
      </c>
      <c r="H23">
        <v>2.4674419626500002</v>
      </c>
      <c r="I23">
        <v>1.9624128926</v>
      </c>
      <c r="J23">
        <v>-2.13465438838799</v>
      </c>
    </row>
    <row r="24" spans="1:13" x14ac:dyDescent="0.25">
      <c r="A24">
        <v>2.44889915789989</v>
      </c>
      <c r="B24">
        <v>4.9383182115770001</v>
      </c>
      <c r="C24">
        <v>4.4317136721769703</v>
      </c>
      <c r="D24">
        <v>1.26592419563</v>
      </c>
      <c r="G24">
        <v>1.2977713984999499</v>
      </c>
      <c r="H24">
        <v>2.64424999478</v>
      </c>
      <c r="I24">
        <v>2.28283537611197</v>
      </c>
      <c r="J24">
        <v>-1.9975746332394</v>
      </c>
    </row>
    <row r="25" spans="1:13" x14ac:dyDescent="0.25">
      <c r="A25">
        <v>2.5828293638547</v>
      </c>
      <c r="B25">
        <v>5.9597465984192999</v>
      </c>
      <c r="C25">
        <v>4.7723496718150002</v>
      </c>
      <c r="D25">
        <v>2.1158664325268002</v>
      </c>
      <c r="G25">
        <v>1.5676711826775001</v>
      </c>
      <c r="H25">
        <v>3.2292957924213002</v>
      </c>
      <c r="I25">
        <v>2.36936236799</v>
      </c>
      <c r="J25">
        <v>-1.8971682697447001</v>
      </c>
    </row>
    <row r="26" spans="1:13" x14ac:dyDescent="0.25">
      <c r="A26">
        <v>2.6789841251770001</v>
      </c>
      <c r="C26">
        <v>5.2734566475579996</v>
      </c>
      <c r="D26">
        <v>2.2256329795251002</v>
      </c>
      <c r="G26">
        <v>1.8737141926940999</v>
      </c>
      <c r="H26">
        <v>3.2789543816919999</v>
      </c>
      <c r="I26">
        <v>2.4464158535423199</v>
      </c>
      <c r="J26">
        <v>-1.8875895212995999</v>
      </c>
    </row>
    <row r="27" spans="1:13" x14ac:dyDescent="0.25">
      <c r="A27">
        <v>2.7337983936366999</v>
      </c>
      <c r="C27">
        <v>5.4255438892800001</v>
      </c>
      <c r="D27">
        <v>2.4717436898890002</v>
      </c>
      <c r="H27">
        <v>3.7497859274626002</v>
      </c>
      <c r="I27">
        <v>2.8694395366465502</v>
      </c>
      <c r="J27">
        <v>-1.8716523712099999</v>
      </c>
    </row>
    <row r="28" spans="1:13" x14ac:dyDescent="0.25">
      <c r="A28">
        <v>2.8189833498263002</v>
      </c>
      <c r="C28">
        <v>5.6824372837499997</v>
      </c>
      <c r="D28">
        <v>3.64343463355564</v>
      </c>
      <c r="H28">
        <v>4.2131795652499999</v>
      </c>
      <c r="I28">
        <v>3.2799347920000002</v>
      </c>
      <c r="J28">
        <v>-1.8393646133315</v>
      </c>
    </row>
    <row r="29" spans="1:13" x14ac:dyDescent="0.25">
      <c r="A29">
        <v>2.8448887819220001</v>
      </c>
      <c r="C29">
        <v>6.1827581582261004</v>
      </c>
      <c r="D29">
        <v>4.4147969578487301</v>
      </c>
      <c r="H29">
        <v>5.3779634491510997</v>
      </c>
      <c r="J29">
        <v>-1.7768647541767</v>
      </c>
    </row>
    <row r="30" spans="1:13" x14ac:dyDescent="0.25">
      <c r="A30">
        <v>2.9682975739890001</v>
      </c>
      <c r="D30">
        <v>5.6713539716436099</v>
      </c>
      <c r="H30">
        <v>7.3893931669528197</v>
      </c>
      <c r="J30">
        <v>-1.712989925397</v>
      </c>
    </row>
    <row r="31" spans="1:13" x14ac:dyDescent="0.25">
      <c r="A31">
        <v>2.9777554189500002</v>
      </c>
      <c r="J31">
        <v>-1.6459143377111001</v>
      </c>
    </row>
    <row r="32" spans="1:13" x14ac:dyDescent="0.25">
      <c r="A32">
        <v>3.3152389987520001</v>
      </c>
      <c r="J32">
        <v>-1.586843171768</v>
      </c>
    </row>
    <row r="33" spans="1:10" x14ac:dyDescent="0.25">
      <c r="A33">
        <v>3.3456141982780001</v>
      </c>
      <c r="J33">
        <v>-1.568797515617</v>
      </c>
    </row>
    <row r="34" spans="1:10" x14ac:dyDescent="0.25">
      <c r="A34">
        <v>3.5741423138939998</v>
      </c>
      <c r="J34">
        <v>-1.41638942495</v>
      </c>
    </row>
    <row r="35" spans="1:10" x14ac:dyDescent="0.25">
      <c r="A35">
        <v>3.9885518818799999</v>
      </c>
      <c r="J35">
        <v>-1.33431274668</v>
      </c>
    </row>
    <row r="36" spans="1:10" x14ac:dyDescent="0.25">
      <c r="A36">
        <v>4.2234496529719001</v>
      </c>
      <c r="J36">
        <v>-1.2322861872919999</v>
      </c>
    </row>
    <row r="37" spans="1:10" x14ac:dyDescent="0.25">
      <c r="J37">
        <v>-1.229948692</v>
      </c>
    </row>
    <row r="38" spans="1:10" x14ac:dyDescent="0.25">
      <c r="J38">
        <v>-0.98274913449828005</v>
      </c>
    </row>
    <row r="39" spans="1:10" x14ac:dyDescent="0.25">
      <c r="J39">
        <v>-0.87713752912515996</v>
      </c>
    </row>
    <row r="40" spans="1:10" x14ac:dyDescent="0.25">
      <c r="J40">
        <v>-0.75233834558989998</v>
      </c>
    </row>
    <row r="41" spans="1:10" x14ac:dyDescent="0.25">
      <c r="J41">
        <v>-0.74564678412350005</v>
      </c>
    </row>
    <row r="42" spans="1:10" x14ac:dyDescent="0.25">
      <c r="J42">
        <v>-0.68184134347499004</v>
      </c>
    </row>
    <row r="43" spans="1:10" x14ac:dyDescent="0.25">
      <c r="J43">
        <v>0.78398315134399998</v>
      </c>
    </row>
    <row r="44" spans="1:10" x14ac:dyDescent="0.25">
      <c r="J44">
        <v>0.82912457658880001</v>
      </c>
    </row>
    <row r="45" spans="1:10" x14ac:dyDescent="0.25">
      <c r="J45">
        <v>1.4578387333</v>
      </c>
    </row>
    <row r="46" spans="1:10" x14ac:dyDescent="0.25">
      <c r="J46">
        <v>1.5193877918111001</v>
      </c>
    </row>
    <row r="47" spans="1:10" x14ac:dyDescent="0.25">
      <c r="J47">
        <v>1.6992493717382999</v>
      </c>
    </row>
    <row r="48" spans="1:10" x14ac:dyDescent="0.25">
      <c r="J48">
        <v>1.779576489856</v>
      </c>
    </row>
    <row r="49" spans="10:10" x14ac:dyDescent="0.25">
      <c r="J49">
        <v>2.1311852715537198</v>
      </c>
    </row>
    <row r="50" spans="10:10" x14ac:dyDescent="0.25">
      <c r="J50">
        <v>2.1329156438860002</v>
      </c>
    </row>
    <row r="51" spans="10:10" x14ac:dyDescent="0.25">
      <c r="J51">
        <v>2.3511753135350002</v>
      </c>
    </row>
    <row r="52" spans="10:10" x14ac:dyDescent="0.25">
      <c r="J52">
        <v>2.4494442411844899</v>
      </c>
    </row>
    <row r="53" spans="10:10" x14ac:dyDescent="0.25">
      <c r="J53">
        <v>2.624325788583</v>
      </c>
    </row>
    <row r="54" spans="10:10" x14ac:dyDescent="0.25">
      <c r="J54">
        <v>2.6639245976515999</v>
      </c>
    </row>
    <row r="55" spans="10:10" x14ac:dyDescent="0.25">
      <c r="J55">
        <v>2.7151484834291</v>
      </c>
    </row>
    <row r="56" spans="10:10" x14ac:dyDescent="0.25">
      <c r="J56">
        <v>2.767568164279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60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520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0.41363275379395298</v>
      </c>
      <c r="B2">
        <v>-5.8145231142830003</v>
      </c>
      <c r="C2">
        <v>-16.389865191335002</v>
      </c>
      <c r="D2">
        <v>-3.4993543395315498</v>
      </c>
      <c r="E2">
        <v>-5.5184512392169998</v>
      </c>
      <c r="F2">
        <v>-2.51539546887</v>
      </c>
      <c r="G2">
        <v>-3.4777382992392298</v>
      </c>
      <c r="H2">
        <v>-3.6412835687649698</v>
      </c>
      <c r="I2">
        <v>-5.9813676998389997</v>
      </c>
      <c r="J2">
        <v>-2.911474497141</v>
      </c>
      <c r="K2">
        <v>-3.4461686659813999</v>
      </c>
      <c r="L2">
        <v>-2.2861714968200002</v>
      </c>
      <c r="M2">
        <v>-2.1579334328948101</v>
      </c>
      <c r="N2">
        <v>-0.43583928646879999</v>
      </c>
      <c r="O2">
        <v>-0.56575731664841999</v>
      </c>
      <c r="S2" s="14" t="s">
        <v>526</v>
      </c>
      <c r="T2">
        <f>MIN(A:A)</f>
        <v>0.41363275379395298</v>
      </c>
      <c r="U2">
        <f t="shared" ref="U2:AH2" si="0">MIN(B:B)</f>
        <v>-5.8145231142830003</v>
      </c>
      <c r="V2">
        <f t="shared" si="0"/>
        <v>-16.389865191335002</v>
      </c>
      <c r="W2">
        <f t="shared" si="0"/>
        <v>-3.4993543395315498</v>
      </c>
      <c r="X2">
        <f t="shared" si="0"/>
        <v>-5.5184512392169998</v>
      </c>
      <c r="Y2">
        <f t="shared" si="0"/>
        <v>-2.51539546887</v>
      </c>
      <c r="Z2">
        <f t="shared" si="0"/>
        <v>-3.4777382992392298</v>
      </c>
      <c r="AA2">
        <f t="shared" si="0"/>
        <v>-3.6412835687649698</v>
      </c>
      <c r="AB2">
        <f t="shared" si="0"/>
        <v>-5.9813676998389997</v>
      </c>
      <c r="AC2">
        <f t="shared" si="0"/>
        <v>-2.911474497141</v>
      </c>
      <c r="AD2">
        <f t="shared" si="0"/>
        <v>-3.4461686659813999</v>
      </c>
      <c r="AE2">
        <f t="shared" si="0"/>
        <v>-2.2861714968200002</v>
      </c>
      <c r="AF2">
        <f t="shared" si="0"/>
        <v>-2.1579334328948101</v>
      </c>
      <c r="AG2">
        <f t="shared" si="0"/>
        <v>-0.43583928646879999</v>
      </c>
      <c r="AH2">
        <f t="shared" si="0"/>
        <v>-0.56575731664841999</v>
      </c>
    </row>
    <row r="3" spans="1:34" x14ac:dyDescent="0.25">
      <c r="A3">
        <v>0.62922523971690003</v>
      </c>
      <c r="B3">
        <v>-4.6156937131614999</v>
      </c>
      <c r="C3">
        <v>-8.3398755733919998</v>
      </c>
      <c r="D3">
        <v>-3.3366234625818998</v>
      </c>
      <c r="E3">
        <v>-4.5626886846769397</v>
      </c>
      <c r="F3">
        <v>-1.8186255967984</v>
      </c>
      <c r="G3">
        <v>-3.1435229582389201</v>
      </c>
      <c r="H3">
        <v>-3.618843326415</v>
      </c>
      <c r="I3">
        <v>-4.2727385533530002</v>
      </c>
      <c r="J3">
        <v>-2.7116942491263001</v>
      </c>
      <c r="K3">
        <v>-2.2374163424870002</v>
      </c>
      <c r="L3">
        <v>-2.247267316796</v>
      </c>
      <c r="M3">
        <v>-1.9833459616289999</v>
      </c>
      <c r="N3">
        <v>-0.435682474524</v>
      </c>
      <c r="O3">
        <v>-0.459567621466</v>
      </c>
      <c r="S3" s="14" t="s">
        <v>527</v>
      </c>
      <c r="T3">
        <f>MAX(A:A)</f>
        <v>4.7566285654492004</v>
      </c>
      <c r="U3">
        <f t="shared" ref="U3:AH3" si="1">MAX(B:B)</f>
        <v>6.243676731751</v>
      </c>
      <c r="V3">
        <f t="shared" si="1"/>
        <v>6.2874874367196201</v>
      </c>
      <c r="W3">
        <f t="shared" si="1"/>
        <v>8.3238816818846999</v>
      </c>
      <c r="X3">
        <f t="shared" si="1"/>
        <v>1.5918735198989999</v>
      </c>
      <c r="Y3">
        <f t="shared" si="1"/>
        <v>3.5323322431580002</v>
      </c>
      <c r="Z3">
        <f t="shared" si="1"/>
        <v>4.2867321612888798</v>
      </c>
      <c r="AA3">
        <f t="shared" si="1"/>
        <v>7.3893931669528197</v>
      </c>
      <c r="AB3">
        <f t="shared" si="1"/>
        <v>3.4863352745396101</v>
      </c>
      <c r="AC3">
        <f t="shared" si="1"/>
        <v>2.767568164279</v>
      </c>
      <c r="AD3">
        <f t="shared" si="1"/>
        <v>-0.24752691265099999</v>
      </c>
      <c r="AE3">
        <f t="shared" si="1"/>
        <v>-0.96931782819000001</v>
      </c>
      <c r="AF3">
        <f t="shared" si="1"/>
        <v>-0.87726487244932005</v>
      </c>
      <c r="AG3">
        <f t="shared" si="1"/>
        <v>-0.19678766353348001</v>
      </c>
      <c r="AH3">
        <f t="shared" si="1"/>
        <v>-0.28779546337667</v>
      </c>
    </row>
    <row r="4" spans="1:34" x14ac:dyDescent="0.25">
      <c r="A4">
        <v>0.64523559282326004</v>
      </c>
      <c r="B4">
        <v>-3.7399125946299998</v>
      </c>
      <c r="C4">
        <v>-7.1591617925576001</v>
      </c>
      <c r="D4">
        <v>-3.1113741481299999</v>
      </c>
      <c r="E4">
        <v>-3.5637215178430002</v>
      </c>
      <c r="F4">
        <v>-1.463458388866</v>
      </c>
      <c r="G4">
        <v>-2.9491855454145002</v>
      </c>
      <c r="H4">
        <v>-3.6114253889399999</v>
      </c>
      <c r="I4">
        <v>-3.3173119449500001</v>
      </c>
      <c r="J4">
        <v>-2.4838193292168</v>
      </c>
      <c r="K4">
        <v>-1.6471594365973099</v>
      </c>
      <c r="L4">
        <v>-2.1567715666764999</v>
      </c>
      <c r="M4">
        <v>-1.9457279367442899</v>
      </c>
      <c r="N4">
        <v>-0.4136325336951</v>
      </c>
      <c r="O4">
        <v>-0.45385839496753999</v>
      </c>
      <c r="S4" s="14" t="s">
        <v>528</v>
      </c>
      <c r="T4">
        <f>AVERAGE(A:A)</f>
        <v>1.8045403225091572</v>
      </c>
      <c r="U4">
        <f t="shared" ref="U4:AH4" si="2">AVERAGE(B:B)</f>
        <v>-1.9366989768520537</v>
      </c>
      <c r="V4">
        <f t="shared" si="2"/>
        <v>1.5693779448658025</v>
      </c>
      <c r="W4">
        <f t="shared" si="2"/>
        <v>0.35422647474583724</v>
      </c>
      <c r="X4">
        <f t="shared" si="2"/>
        <v>-1.282076689982377</v>
      </c>
      <c r="Y4">
        <f t="shared" si="2"/>
        <v>1.1156594102845137</v>
      </c>
      <c r="Z4">
        <f t="shared" si="2"/>
        <v>-1.0197287945617635</v>
      </c>
      <c r="AA4">
        <f t="shared" si="2"/>
        <v>0.10165246065453992</v>
      </c>
      <c r="AB4">
        <f t="shared" si="2"/>
        <v>0.85086044504897396</v>
      </c>
      <c r="AC4">
        <f t="shared" si="2"/>
        <v>-0.73975873444096463</v>
      </c>
      <c r="AD4">
        <f t="shared" si="2"/>
        <v>-0.92931387593979142</v>
      </c>
      <c r="AE4">
        <f t="shared" si="2"/>
        <v>-1.6493923895381655</v>
      </c>
      <c r="AF4">
        <f t="shared" si="2"/>
        <v>-1.6283352369670385</v>
      </c>
      <c r="AG4">
        <f t="shared" si="2"/>
        <v>-0.31378145734931817</v>
      </c>
      <c r="AH4">
        <f t="shared" si="2"/>
        <v>-0.39267163539820371</v>
      </c>
    </row>
    <row r="5" spans="1:34" x14ac:dyDescent="0.25">
      <c r="A5">
        <v>0.65654487742231205</v>
      </c>
      <c r="B5">
        <v>-3.3235845233879999</v>
      </c>
      <c r="C5">
        <v>-5.2883862639399997</v>
      </c>
      <c r="D5">
        <v>-2.7497426313409998</v>
      </c>
      <c r="E5">
        <v>-3.2551188328781002</v>
      </c>
      <c r="F5">
        <v>-1.265583431</v>
      </c>
      <c r="G5">
        <v>-2.5165567256200001</v>
      </c>
      <c r="H5">
        <v>-3.5693822919675</v>
      </c>
      <c r="I5">
        <v>-3.2995727822613001</v>
      </c>
      <c r="J5">
        <v>-2.4467676233623998</v>
      </c>
      <c r="K5">
        <v>-1.4842629521563</v>
      </c>
      <c r="L5">
        <v>-1.9254692964147</v>
      </c>
      <c r="M5">
        <v>-1.8813888411999999</v>
      </c>
      <c r="N5">
        <v>-0.37933495834549003</v>
      </c>
      <c r="O5">
        <v>-0.44763416269811002</v>
      </c>
      <c r="S5" s="14" t="s">
        <v>525</v>
      </c>
      <c r="T5">
        <f>COUNT(A2:A84)</f>
        <v>30</v>
      </c>
      <c r="U5">
        <f>COUNT(B2:B84)</f>
        <v>25</v>
      </c>
      <c r="V5">
        <f t="shared" ref="V5:AH5" si="3">COUNT(C2:C84)</f>
        <v>36</v>
      </c>
      <c r="W5">
        <f t="shared" si="3"/>
        <v>31</v>
      </c>
      <c r="X5">
        <f t="shared" si="3"/>
        <v>17</v>
      </c>
      <c r="Y5">
        <f t="shared" si="3"/>
        <v>24</v>
      </c>
      <c r="Z5">
        <f t="shared" si="3"/>
        <v>28</v>
      </c>
      <c r="AA5">
        <f t="shared" si="3"/>
        <v>22</v>
      </c>
      <c r="AB5">
        <f t="shared" si="3"/>
        <v>59</v>
      </c>
      <c r="AC5">
        <f t="shared" si="3"/>
        <v>27</v>
      </c>
      <c r="AD5">
        <f t="shared" si="3"/>
        <v>23</v>
      </c>
      <c r="AE5">
        <f t="shared" si="3"/>
        <v>21</v>
      </c>
      <c r="AF5">
        <f t="shared" si="3"/>
        <v>14</v>
      </c>
      <c r="AG5">
        <f t="shared" si="3"/>
        <v>13</v>
      </c>
      <c r="AH5">
        <f t="shared" si="3"/>
        <v>11</v>
      </c>
    </row>
    <row r="6" spans="1:34" x14ac:dyDescent="0.25">
      <c r="A6">
        <v>0.66212571715500002</v>
      </c>
      <c r="B6">
        <v>-2.9325941145249601</v>
      </c>
      <c r="C6">
        <v>-4.3824179748240004</v>
      </c>
      <c r="D6">
        <v>-2.735588562217</v>
      </c>
      <c r="E6">
        <v>-2.2867954132169999</v>
      </c>
      <c r="F6">
        <v>-1.1355944973600001</v>
      </c>
      <c r="G6">
        <v>-2.4989999814536001</v>
      </c>
      <c r="H6">
        <v>-1.7617941996527999</v>
      </c>
      <c r="I6">
        <v>-2.6454156144500001</v>
      </c>
      <c r="J6">
        <v>-2.3163374337759999</v>
      </c>
      <c r="K6">
        <v>-1.2666949976999999</v>
      </c>
      <c r="L6">
        <v>-1.9186815864466</v>
      </c>
      <c r="M6">
        <v>-1.82434326714189</v>
      </c>
      <c r="N6">
        <v>-0.374148617892266</v>
      </c>
      <c r="O6">
        <v>-0.38843794778500002</v>
      </c>
    </row>
    <row r="7" spans="1:34" x14ac:dyDescent="0.25">
      <c r="A7">
        <v>0.67197723637310003</v>
      </c>
      <c r="B7">
        <v>-2.9148148699629002</v>
      </c>
      <c r="C7">
        <v>-4.1115758697568996</v>
      </c>
      <c r="D7">
        <v>-2.6693672376371498</v>
      </c>
      <c r="E7">
        <v>-2.2278169271162001</v>
      </c>
      <c r="F7">
        <v>-1.1215459547313</v>
      </c>
      <c r="G7">
        <v>-2.4868239727753099</v>
      </c>
      <c r="H7">
        <v>-1.752424254713</v>
      </c>
      <c r="I7">
        <v>-2.5665483362572998</v>
      </c>
      <c r="J7">
        <v>-2.3139624241295902</v>
      </c>
      <c r="K7">
        <v>-1.199584194314</v>
      </c>
      <c r="L7">
        <v>-1.6779358672212199</v>
      </c>
      <c r="M7">
        <v>-1.6465857558274</v>
      </c>
      <c r="N7">
        <v>-0.36957921159278001</v>
      </c>
      <c r="O7">
        <v>-0.37766464541</v>
      </c>
    </row>
    <row r="8" spans="1:34" x14ac:dyDescent="0.25">
      <c r="A8">
        <v>0.74169142189917003</v>
      </c>
      <c r="B8">
        <v>-2.84689845189979</v>
      </c>
      <c r="C8">
        <v>0.56943746562461095</v>
      </c>
      <c r="D8">
        <v>-2.5888877586720001</v>
      </c>
      <c r="E8">
        <v>-2.1968798874685298</v>
      </c>
      <c r="F8">
        <v>-0.94979942931811201</v>
      </c>
      <c r="G8">
        <v>-2.2298522669510001</v>
      </c>
      <c r="H8">
        <v>-1.4662592286651499</v>
      </c>
      <c r="I8">
        <v>-2.1771735691899998</v>
      </c>
      <c r="J8">
        <v>-2.13465438838799</v>
      </c>
      <c r="K8">
        <v>-1.1487812989591999</v>
      </c>
      <c r="L8">
        <v>-1.6771738434492001</v>
      </c>
      <c r="M8">
        <v>-1.6176164134833999</v>
      </c>
      <c r="N8">
        <v>-0.28988178753568</v>
      </c>
      <c r="O8">
        <v>-0.35411937455451997</v>
      </c>
    </row>
    <row r="9" spans="1:34" x14ac:dyDescent="0.25">
      <c r="A9">
        <v>0.81427723446136002</v>
      </c>
      <c r="B9">
        <v>-2.7658225657000002</v>
      </c>
      <c r="C9">
        <v>0.58286574765537003</v>
      </c>
      <c r="D9">
        <v>-2.5878989382639999</v>
      </c>
      <c r="E9">
        <v>-2.1791662752126002</v>
      </c>
      <c r="F9">
        <v>-0.46997538912631998</v>
      </c>
      <c r="G9">
        <v>-2.1494472980000001</v>
      </c>
      <c r="H9">
        <v>-1.4488665536755001</v>
      </c>
      <c r="I9">
        <v>-1.7547124815194499</v>
      </c>
      <c r="J9">
        <v>-1.8971682697447001</v>
      </c>
      <c r="K9">
        <v>-0.84155727388848101</v>
      </c>
      <c r="L9">
        <v>-1.6754513678673</v>
      </c>
      <c r="M9">
        <v>-1.58983357781733</v>
      </c>
      <c r="N9">
        <v>-0.25734526517</v>
      </c>
      <c r="O9">
        <v>-0.34728582322669999</v>
      </c>
    </row>
    <row r="10" spans="1:34" x14ac:dyDescent="0.25">
      <c r="A10">
        <v>0.88375291625563002</v>
      </c>
      <c r="B10">
        <v>-2.6431271921238002</v>
      </c>
      <c r="C10">
        <v>0.61154939382950002</v>
      </c>
      <c r="D10">
        <v>-2.5616727551668999</v>
      </c>
      <c r="E10">
        <v>-1.987968494397</v>
      </c>
      <c r="F10">
        <v>1.2393379841837</v>
      </c>
      <c r="G10">
        <v>-1.9928176478724999</v>
      </c>
      <c r="H10">
        <v>-1.4279137453320001</v>
      </c>
      <c r="I10">
        <v>-1.7382777612</v>
      </c>
      <c r="J10">
        <v>-1.8875895212995999</v>
      </c>
      <c r="K10">
        <v>-0.76521965285912996</v>
      </c>
      <c r="L10">
        <v>-1.6324785432460001</v>
      </c>
      <c r="M10">
        <v>-1.5721196435910001</v>
      </c>
      <c r="N10">
        <v>-0.25734176573630002</v>
      </c>
      <c r="O10">
        <v>-0.32473826275000001</v>
      </c>
    </row>
    <row r="11" spans="1:34" x14ac:dyDescent="0.25">
      <c r="A11">
        <v>0.88698918443739005</v>
      </c>
      <c r="B11">
        <v>-2.5828678890000001</v>
      </c>
      <c r="C11">
        <v>0.64123582356389996</v>
      </c>
      <c r="D11">
        <v>-2.55617541756637</v>
      </c>
      <c r="E11">
        <v>-1.6196578564299999</v>
      </c>
      <c r="F11">
        <v>1.2862247683710999</v>
      </c>
      <c r="G11">
        <v>-1.7925614148492</v>
      </c>
      <c r="H11">
        <v>-1.3995799144225201</v>
      </c>
      <c r="I11">
        <v>-0.92485938447420002</v>
      </c>
      <c r="J11">
        <v>-1.8716523712099999</v>
      </c>
      <c r="K11">
        <v>-0.75546462329499997</v>
      </c>
      <c r="L11">
        <v>-1.6255195757471801</v>
      </c>
      <c r="M11">
        <v>-1.5279976397620001</v>
      </c>
      <c r="N11">
        <v>-0.25463639740999999</v>
      </c>
      <c r="O11">
        <v>-0.31252897649728001</v>
      </c>
    </row>
    <row r="12" spans="1:34" x14ac:dyDescent="0.25">
      <c r="A12">
        <v>0.89729271171949998</v>
      </c>
      <c r="B12">
        <v>-2.5826898752123801</v>
      </c>
      <c r="C12">
        <v>1.7317852476237301</v>
      </c>
      <c r="D12">
        <v>-2.4995921363189999</v>
      </c>
      <c r="E12">
        <v>0.85126241532239999</v>
      </c>
      <c r="F12">
        <v>1.4716374942611701</v>
      </c>
      <c r="G12">
        <v>-1.79132779947513</v>
      </c>
      <c r="H12">
        <v>-1.3949912862660001</v>
      </c>
      <c r="I12">
        <v>-0.786129542214691</v>
      </c>
      <c r="J12">
        <v>-1.8393646133315</v>
      </c>
      <c r="K12">
        <v>-0.74837499433960997</v>
      </c>
      <c r="L12">
        <v>-1.6187574164131</v>
      </c>
      <c r="M12">
        <v>-1.4636638165553</v>
      </c>
      <c r="N12">
        <v>-0.21673122781199999</v>
      </c>
      <c r="O12">
        <v>-0.28779546337667</v>
      </c>
    </row>
    <row r="13" spans="1:34" x14ac:dyDescent="0.25">
      <c r="A13">
        <v>0.91545469654484002</v>
      </c>
      <c r="B13">
        <v>-2.5186753883267601</v>
      </c>
      <c r="C13">
        <v>1.7995295571633001</v>
      </c>
      <c r="D13">
        <v>-1.9622351626361001</v>
      </c>
      <c r="E13">
        <v>0.87445351246946001</v>
      </c>
      <c r="F13">
        <v>1.681253762946</v>
      </c>
      <c r="G13">
        <v>-1.7824316189588001</v>
      </c>
      <c r="H13">
        <v>-1.3649413935914001</v>
      </c>
      <c r="I13">
        <v>0.42723531896559003</v>
      </c>
      <c r="J13">
        <v>-1.712989925397</v>
      </c>
      <c r="K13">
        <v>-0.66376197584832997</v>
      </c>
      <c r="L13">
        <v>-1.5883765589646901</v>
      </c>
      <c r="M13">
        <v>-1.3572543953217999</v>
      </c>
      <c r="N13">
        <v>-0.19821775582524001</v>
      </c>
    </row>
    <row r="14" spans="1:34" x14ac:dyDescent="0.25">
      <c r="A14">
        <v>0.95988974797509996</v>
      </c>
      <c r="B14">
        <v>-2.365222459196</v>
      </c>
      <c r="C14">
        <v>1.94536123978716</v>
      </c>
      <c r="D14">
        <v>-1.9233418341199999</v>
      </c>
      <c r="E14">
        <v>0.89868836322519996</v>
      </c>
      <c r="F14">
        <v>1.834699127783</v>
      </c>
      <c r="G14">
        <v>-1.6883851739419999</v>
      </c>
      <c r="H14">
        <v>-1.2467727533424999</v>
      </c>
      <c r="I14">
        <v>0.57449617928635399</v>
      </c>
      <c r="J14">
        <v>-1.6459143377111001</v>
      </c>
      <c r="K14">
        <v>-0.66187798825257005</v>
      </c>
      <c r="L14">
        <v>-1.55571572985823</v>
      </c>
      <c r="M14">
        <v>-1.351617763121</v>
      </c>
      <c r="N14">
        <v>-0.19678766353348001</v>
      </c>
    </row>
    <row r="15" spans="1:34" x14ac:dyDescent="0.25">
      <c r="A15">
        <v>0.98571967384496995</v>
      </c>
      <c r="B15">
        <v>-2.3593772394379999</v>
      </c>
      <c r="C15">
        <v>1.98943731728135</v>
      </c>
      <c r="D15">
        <v>-1.916786774562</v>
      </c>
      <c r="E15">
        <v>1.1187692375134</v>
      </c>
      <c r="F15">
        <v>2.2549552458950002</v>
      </c>
      <c r="G15">
        <v>-1.49491194132</v>
      </c>
      <c r="H15">
        <v>-1.228848113537</v>
      </c>
      <c r="I15">
        <v>0.74312421776213999</v>
      </c>
      <c r="J15">
        <v>-1.586843171768</v>
      </c>
      <c r="K15">
        <v>-0.64954597186176599</v>
      </c>
      <c r="L15">
        <v>-1.5533594245</v>
      </c>
      <c r="M15">
        <v>-0.87726487244932005</v>
      </c>
    </row>
    <row r="16" spans="1:34" x14ac:dyDescent="0.25">
      <c r="A16">
        <v>0.98945441329240003</v>
      </c>
      <c r="B16">
        <v>-2.2651386933855999</v>
      </c>
      <c r="C16">
        <v>2.58124648623938</v>
      </c>
      <c r="D16">
        <v>-1.8746369539809999</v>
      </c>
      <c r="E16">
        <v>1.1294767826865</v>
      </c>
      <c r="F16">
        <v>2.3757318871120998</v>
      </c>
      <c r="G16">
        <v>-1.4311121415100001</v>
      </c>
      <c r="H16">
        <v>-0.98557297182329995</v>
      </c>
      <c r="I16">
        <v>0.78427791353559995</v>
      </c>
      <c r="J16">
        <v>-1.41638942495</v>
      </c>
      <c r="K16">
        <v>-0.63939332313870001</v>
      </c>
      <c r="L16">
        <v>-1.5474773742318</v>
      </c>
    </row>
    <row r="17" spans="1:12" x14ac:dyDescent="0.25">
      <c r="A17">
        <v>1.2918622513733</v>
      </c>
      <c r="B17">
        <v>-2.1426543782710001</v>
      </c>
      <c r="C17">
        <v>3.1227211697394099</v>
      </c>
      <c r="D17">
        <v>1.1117872621937099</v>
      </c>
      <c r="E17">
        <v>1.13843756764</v>
      </c>
      <c r="F17">
        <v>2.4756685779762999</v>
      </c>
      <c r="G17">
        <v>-1.395662846447</v>
      </c>
      <c r="H17">
        <v>3.3653529149699999</v>
      </c>
      <c r="I17">
        <v>0.7951638111332</v>
      </c>
      <c r="J17">
        <v>-1.33431274668</v>
      </c>
      <c r="K17">
        <v>-0.59896323234112303</v>
      </c>
      <c r="L17">
        <v>-1.5277293525983</v>
      </c>
    </row>
    <row r="18" spans="1:12" x14ac:dyDescent="0.25">
      <c r="A18">
        <v>1.3371484794199999</v>
      </c>
      <c r="B18">
        <v>-2.1348773268549999</v>
      </c>
      <c r="C18">
        <v>3.199389392993</v>
      </c>
      <c r="D18">
        <v>1.116195872132</v>
      </c>
      <c r="E18">
        <v>1.5918735198989999</v>
      </c>
      <c r="F18">
        <v>2.5685964933099998</v>
      </c>
      <c r="G18">
        <v>-1.29824865743285</v>
      </c>
      <c r="H18">
        <v>3.5234194469000002</v>
      </c>
      <c r="I18">
        <v>0.81173144778626005</v>
      </c>
      <c r="J18">
        <v>-1.229948692</v>
      </c>
      <c r="K18">
        <v>-0.581761555568861</v>
      </c>
      <c r="L18">
        <v>-1.415321873396</v>
      </c>
    </row>
    <row r="19" spans="1:12" x14ac:dyDescent="0.25">
      <c r="A19">
        <v>1.3757577512279999</v>
      </c>
      <c r="B19">
        <v>-1.9747197845996001</v>
      </c>
      <c r="C19">
        <v>3.2455841819889999</v>
      </c>
      <c r="D19">
        <v>1.247358971823</v>
      </c>
      <c r="F19">
        <v>2.5822718427162901</v>
      </c>
      <c r="G19">
        <v>-1.2375822724422001</v>
      </c>
      <c r="H19">
        <v>3.7497859274626002</v>
      </c>
      <c r="I19">
        <v>0.84173382419129195</v>
      </c>
      <c r="J19">
        <v>-0.98274913449828005</v>
      </c>
      <c r="K19">
        <v>-0.45129669157730001</v>
      </c>
      <c r="L19">
        <v>-1.3718464661737</v>
      </c>
    </row>
    <row r="20" spans="1:12" x14ac:dyDescent="0.25">
      <c r="A20">
        <v>1.986767724815</v>
      </c>
      <c r="B20">
        <v>-1.7833248515119</v>
      </c>
      <c r="C20">
        <v>3.3493638764473999</v>
      </c>
      <c r="D20">
        <v>1.4676175818531001</v>
      </c>
      <c r="F20">
        <v>2.6699195427382998</v>
      </c>
      <c r="G20">
        <v>-0.92241165914376</v>
      </c>
      <c r="H20">
        <v>4.2131795652499999</v>
      </c>
      <c r="I20">
        <v>0.92884287457600001</v>
      </c>
      <c r="J20">
        <v>-0.74564678412350005</v>
      </c>
      <c r="K20">
        <v>-0.35216719563575999</v>
      </c>
      <c r="L20">
        <v>-1.3424227464109999</v>
      </c>
    </row>
    <row r="21" spans="1:12" x14ac:dyDescent="0.25">
      <c r="A21">
        <v>2.23564524834</v>
      </c>
      <c r="B21">
        <v>-1.65425561174</v>
      </c>
      <c r="C21">
        <v>3.4279246744935898</v>
      </c>
      <c r="D21">
        <v>1.8637292462999999</v>
      </c>
      <c r="F21">
        <v>2.8449719859821001</v>
      </c>
      <c r="G21">
        <v>-0.85641933965999995</v>
      </c>
      <c r="H21">
        <v>4.5361586548219996</v>
      </c>
      <c r="I21">
        <v>0.94768859836872998</v>
      </c>
      <c r="J21">
        <v>0.78398315134399998</v>
      </c>
      <c r="K21">
        <v>-0.34162165533159999</v>
      </c>
      <c r="L21">
        <v>-1.3239949488799501</v>
      </c>
    </row>
    <row r="22" spans="1:12" x14ac:dyDescent="0.25">
      <c r="A22">
        <v>2.5643121299999998</v>
      </c>
      <c r="B22">
        <v>-1.6459866441767801</v>
      </c>
      <c r="C22">
        <v>3.5279174242359002</v>
      </c>
      <c r="D22">
        <v>1.9877779872579999</v>
      </c>
      <c r="F22">
        <v>2.8572444372630001</v>
      </c>
      <c r="G22">
        <v>0.58621197698487004</v>
      </c>
      <c r="H22">
        <v>5.3779634491510997</v>
      </c>
      <c r="I22">
        <v>0.96974393819122995</v>
      </c>
      <c r="J22">
        <v>0.82912457658880001</v>
      </c>
      <c r="K22">
        <v>-0.32569595934895001</v>
      </c>
      <c r="L22">
        <v>-0.96931782819000001</v>
      </c>
    </row>
    <row r="23" spans="1:12" x14ac:dyDescent="0.25">
      <c r="A23">
        <v>2.6789841251770001</v>
      </c>
      <c r="B23">
        <v>-0.68778627951628002</v>
      </c>
      <c r="C23">
        <v>3.5752612515775999</v>
      </c>
      <c r="D23">
        <v>2.1275413147319</v>
      </c>
      <c r="F23">
        <v>2.8837944375646001</v>
      </c>
      <c r="G23">
        <v>0.59466117137184005</v>
      </c>
      <c r="H23">
        <v>7.3893931669528197</v>
      </c>
      <c r="I23">
        <v>0.99866173115430001</v>
      </c>
      <c r="J23">
        <v>1.5193877918111001</v>
      </c>
      <c r="K23">
        <v>-0.31992225248181</v>
      </c>
    </row>
    <row r="24" spans="1:12" x14ac:dyDescent="0.25">
      <c r="A24">
        <v>2.6949433853835298</v>
      </c>
      <c r="B24">
        <v>1.4176796813520001</v>
      </c>
      <c r="C24">
        <v>3.6373825586639001</v>
      </c>
      <c r="D24">
        <v>2.1529148274100001</v>
      </c>
      <c r="F24">
        <v>2.9571641716378001</v>
      </c>
      <c r="G24">
        <v>0.72752789231899995</v>
      </c>
      <c r="I24">
        <v>1.1165781537237001</v>
      </c>
      <c r="J24">
        <v>2.1311852715537198</v>
      </c>
      <c r="K24">
        <v>-0.24752691265099999</v>
      </c>
    </row>
    <row r="25" spans="1:12" x14ac:dyDescent="0.25">
      <c r="A25">
        <v>2.7337983936366999</v>
      </c>
      <c r="B25">
        <v>2.2157167264989002</v>
      </c>
      <c r="C25">
        <v>3.8414325355274999</v>
      </c>
      <c r="D25">
        <v>2.2256329795251002</v>
      </c>
      <c r="F25">
        <v>3.5323322431580002</v>
      </c>
      <c r="G25">
        <v>0.74463539933732004</v>
      </c>
      <c r="I25">
        <v>1.1452522999270001</v>
      </c>
      <c r="J25">
        <v>2.3511753135350002</v>
      </c>
    </row>
    <row r="26" spans="1:12" x14ac:dyDescent="0.25">
      <c r="A26">
        <v>3.2539361555382</v>
      </c>
      <c r="B26">
        <v>6.243676731751</v>
      </c>
      <c r="C26">
        <v>3.9179667776499998</v>
      </c>
      <c r="D26">
        <v>2.8975551398996</v>
      </c>
      <c r="G26">
        <v>0.83723372929286</v>
      </c>
      <c r="I26">
        <v>1.149774859311</v>
      </c>
      <c r="J26">
        <v>2.4494442411844899</v>
      </c>
    </row>
    <row r="27" spans="1:12" x14ac:dyDescent="0.25">
      <c r="A27">
        <v>3.3152389987520001</v>
      </c>
      <c r="C27">
        <v>3.997675479942</v>
      </c>
      <c r="D27">
        <v>3.64343463355564</v>
      </c>
      <c r="G27">
        <v>0.93287678972775001</v>
      </c>
      <c r="I27">
        <v>1.1549912961616</v>
      </c>
      <c r="J27">
        <v>2.6639245976515999</v>
      </c>
    </row>
    <row r="28" spans="1:12" x14ac:dyDescent="0.25">
      <c r="A28">
        <v>3.3456141982780001</v>
      </c>
      <c r="C28">
        <v>4.1523168535888004</v>
      </c>
      <c r="D28">
        <v>3.7763895276919999</v>
      </c>
      <c r="G28">
        <v>1.8737141926940999</v>
      </c>
      <c r="I28">
        <v>1.1597268363844</v>
      </c>
      <c r="J28">
        <v>2.767568164279</v>
      </c>
    </row>
    <row r="29" spans="1:12" x14ac:dyDescent="0.25">
      <c r="A29">
        <v>4.2234496529719001</v>
      </c>
      <c r="C29">
        <v>4.2117474729</v>
      </c>
      <c r="D29">
        <v>4.2218132673615703</v>
      </c>
      <c r="G29">
        <v>4.2867321612888798</v>
      </c>
      <c r="I29">
        <v>1.1716791826616499</v>
      </c>
    </row>
    <row r="30" spans="1:12" x14ac:dyDescent="0.25">
      <c r="A30">
        <v>4.5888591971970003</v>
      </c>
      <c r="C30">
        <v>4.2695188984100003</v>
      </c>
      <c r="D30">
        <v>5.6713539716436099</v>
      </c>
      <c r="I30">
        <v>1.2436792416272</v>
      </c>
    </row>
    <row r="31" spans="1:12" x14ac:dyDescent="0.25">
      <c r="A31">
        <v>4.7566285654492004</v>
      </c>
      <c r="C31">
        <v>4.3375345832469998</v>
      </c>
      <c r="D31">
        <v>5.7193145645829997</v>
      </c>
      <c r="I31">
        <v>1.3221675152000001</v>
      </c>
    </row>
    <row r="32" spans="1:12" x14ac:dyDescent="0.25">
      <c r="C32">
        <v>4.4317136721769703</v>
      </c>
      <c r="D32">
        <v>8.3238816818846999</v>
      </c>
      <c r="I32">
        <v>1.3385598452559999</v>
      </c>
    </row>
    <row r="33" spans="3:9" x14ac:dyDescent="0.25">
      <c r="C33">
        <v>5.6419127785940999</v>
      </c>
      <c r="I33">
        <v>1.3632182829699999</v>
      </c>
    </row>
    <row r="34" spans="3:9" x14ac:dyDescent="0.25">
      <c r="C34">
        <v>5.6434424385929001</v>
      </c>
      <c r="I34">
        <v>1.3735225531691</v>
      </c>
    </row>
    <row r="35" spans="3:9" x14ac:dyDescent="0.25">
      <c r="C35">
        <v>5.7153887864913004</v>
      </c>
      <c r="I35">
        <v>1.3797862643679999</v>
      </c>
    </row>
    <row r="36" spans="3:9" x14ac:dyDescent="0.25">
      <c r="C36">
        <v>6.1827581582261004</v>
      </c>
      <c r="I36">
        <v>1.414191581544</v>
      </c>
    </row>
    <row r="37" spans="3:9" x14ac:dyDescent="0.25">
      <c r="C37">
        <v>6.2874874367196201</v>
      </c>
      <c r="I37">
        <v>1.4162563651527</v>
      </c>
    </row>
    <row r="38" spans="3:9" x14ac:dyDescent="0.25">
      <c r="I38">
        <v>1.4217764448236001</v>
      </c>
    </row>
    <row r="39" spans="3:9" x14ac:dyDescent="0.25">
      <c r="I39">
        <v>1.4224295926251</v>
      </c>
    </row>
    <row r="40" spans="3:9" x14ac:dyDescent="0.25">
      <c r="I40">
        <v>1.458231978455</v>
      </c>
    </row>
    <row r="41" spans="3:9" x14ac:dyDescent="0.25">
      <c r="I41">
        <v>1.5844354117399999</v>
      </c>
    </row>
    <row r="42" spans="3:9" x14ac:dyDescent="0.25">
      <c r="I42">
        <v>1.699716614947</v>
      </c>
    </row>
    <row r="43" spans="3:9" x14ac:dyDescent="0.25">
      <c r="I43">
        <v>1.8412312198</v>
      </c>
    </row>
    <row r="44" spans="3:9" x14ac:dyDescent="0.25">
      <c r="I44">
        <v>1.8497594748446</v>
      </c>
    </row>
    <row r="45" spans="3:9" x14ac:dyDescent="0.25">
      <c r="I45">
        <v>1.8617932829599999</v>
      </c>
    </row>
    <row r="46" spans="3:9" x14ac:dyDescent="0.25">
      <c r="I46">
        <v>1.9624128926</v>
      </c>
    </row>
    <row r="47" spans="3:9" x14ac:dyDescent="0.25">
      <c r="I47">
        <v>2.1229324631000002</v>
      </c>
    </row>
    <row r="48" spans="3:9" x14ac:dyDescent="0.25">
      <c r="I48">
        <v>2.1728838325790001</v>
      </c>
    </row>
    <row r="49" spans="9:9" x14ac:dyDescent="0.25">
      <c r="I49">
        <v>2.1973855141269998</v>
      </c>
    </row>
    <row r="50" spans="9:9" x14ac:dyDescent="0.25">
      <c r="I50">
        <v>2.2289579900000001</v>
      </c>
    </row>
    <row r="51" spans="9:9" x14ac:dyDescent="0.25">
      <c r="I51">
        <v>2.28283537611197</v>
      </c>
    </row>
    <row r="52" spans="9:9" x14ac:dyDescent="0.25">
      <c r="I52">
        <v>2.3116221257328</v>
      </c>
    </row>
    <row r="53" spans="9:9" x14ac:dyDescent="0.25">
      <c r="I53">
        <v>2.36936236799</v>
      </c>
    </row>
    <row r="54" spans="9:9" x14ac:dyDescent="0.25">
      <c r="I54">
        <v>2.4464158535423199</v>
      </c>
    </row>
    <row r="55" spans="9:9" x14ac:dyDescent="0.25">
      <c r="I55">
        <v>2.8694395366465502</v>
      </c>
    </row>
    <row r="56" spans="9:9" x14ac:dyDescent="0.25">
      <c r="I56">
        <v>3.2799347920000002</v>
      </c>
    </row>
    <row r="57" spans="9:9" x14ac:dyDescent="0.25">
      <c r="I57">
        <v>3.3737577428250001</v>
      </c>
    </row>
    <row r="58" spans="9:9" x14ac:dyDescent="0.25">
      <c r="I58">
        <v>3.4238422546899998</v>
      </c>
    </row>
    <row r="59" spans="9:9" x14ac:dyDescent="0.25">
      <c r="I59">
        <v>3.4252977585118001</v>
      </c>
    </row>
    <row r="60" spans="9:9" x14ac:dyDescent="0.25">
      <c r="I60">
        <v>3.4863352745396101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H64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515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0.93769256122473699</v>
      </c>
      <c r="B2">
        <v>-5.1483644666527999</v>
      </c>
      <c r="C2">
        <v>-5.5213332242998003</v>
      </c>
      <c r="D2">
        <v>-4.3383681863838</v>
      </c>
      <c r="E2">
        <v>-6.1174651276500001</v>
      </c>
      <c r="F2">
        <v>-2.1165598634428</v>
      </c>
      <c r="G2">
        <v>-3.1425392474715501</v>
      </c>
      <c r="H2">
        <v>-3.6412835687649698</v>
      </c>
      <c r="I2">
        <v>-5.9813676998389997</v>
      </c>
      <c r="J2">
        <v>-3.9911856916277002</v>
      </c>
      <c r="K2">
        <v>-2.1866337269569298</v>
      </c>
      <c r="L2">
        <v>-2.2897571792117</v>
      </c>
      <c r="M2">
        <v>-2.1579334328948101</v>
      </c>
      <c r="N2">
        <v>-0.54237769288990001</v>
      </c>
      <c r="O2">
        <v>-0.56575731664841999</v>
      </c>
      <c r="S2" s="14" t="s">
        <v>526</v>
      </c>
      <c r="T2">
        <f>MIN(A:A)</f>
        <v>0.93769256122473699</v>
      </c>
      <c r="U2">
        <f t="shared" ref="U2:AH2" si="0">MIN(B:B)</f>
        <v>-5.1483644666527999</v>
      </c>
      <c r="V2">
        <f t="shared" si="0"/>
        <v>-5.5213332242998003</v>
      </c>
      <c r="W2">
        <f t="shared" si="0"/>
        <v>-4.3383681863838</v>
      </c>
      <c r="X2">
        <f t="shared" si="0"/>
        <v>-6.1174651276500001</v>
      </c>
      <c r="Y2">
        <f t="shared" si="0"/>
        <v>-2.1165598634428</v>
      </c>
      <c r="Z2">
        <f t="shared" si="0"/>
        <v>-3.1425392474715501</v>
      </c>
      <c r="AA2">
        <f t="shared" si="0"/>
        <v>-3.6412835687649698</v>
      </c>
      <c r="AB2">
        <f t="shared" si="0"/>
        <v>-5.9813676998389997</v>
      </c>
      <c r="AC2">
        <f t="shared" si="0"/>
        <v>-3.9911856916277002</v>
      </c>
      <c r="AD2">
        <f t="shared" si="0"/>
        <v>-2.1866337269569298</v>
      </c>
      <c r="AE2">
        <f t="shared" si="0"/>
        <v>-2.2897571792117</v>
      </c>
      <c r="AF2">
        <f t="shared" si="0"/>
        <v>-2.1579334328948101</v>
      </c>
      <c r="AG2">
        <f t="shared" si="0"/>
        <v>-0.54237769288990001</v>
      </c>
      <c r="AH2">
        <f t="shared" si="0"/>
        <v>-0.56575731664841999</v>
      </c>
    </row>
    <row r="3" spans="1:34" x14ac:dyDescent="0.25">
      <c r="A3">
        <v>0.98953625212814</v>
      </c>
      <c r="B3">
        <v>-3.7688486622499999</v>
      </c>
      <c r="C3">
        <v>-5.2883862639399997</v>
      </c>
      <c r="D3">
        <v>-3.9929357525159999</v>
      </c>
      <c r="E3">
        <v>-5.46823966994</v>
      </c>
      <c r="F3">
        <v>-1.924197936668</v>
      </c>
      <c r="G3">
        <v>-2.9583634717612202</v>
      </c>
      <c r="H3">
        <v>-3.618843326415</v>
      </c>
      <c r="I3">
        <v>-4.2727385533530002</v>
      </c>
      <c r="J3">
        <v>-3.8774236722620001</v>
      </c>
      <c r="K3">
        <v>-1.994314669714</v>
      </c>
      <c r="L3">
        <v>-1.98363691316</v>
      </c>
      <c r="M3">
        <v>-1.9833459616289999</v>
      </c>
      <c r="N3">
        <v>-0.51257467259650003</v>
      </c>
      <c r="O3">
        <v>-0.45385839496753999</v>
      </c>
      <c r="S3" s="14" t="s">
        <v>527</v>
      </c>
      <c r="T3">
        <f>MAX(A:A)</f>
        <v>4.5355334856287</v>
      </c>
      <c r="U3">
        <f t="shared" ref="U3:AH3" si="1">MAX(B:B)</f>
        <v>2.3894521958527002</v>
      </c>
      <c r="V3">
        <f t="shared" si="1"/>
        <v>7.1644578143939004</v>
      </c>
      <c r="W3">
        <f t="shared" si="1"/>
        <v>4.4147969578487301</v>
      </c>
      <c r="X3">
        <f t="shared" si="1"/>
        <v>3.7742479327449998</v>
      </c>
      <c r="Y3">
        <f t="shared" si="1"/>
        <v>5.9352388375557998</v>
      </c>
      <c r="Z3">
        <f t="shared" si="1"/>
        <v>1.5676711826775001</v>
      </c>
      <c r="AA3">
        <f t="shared" si="1"/>
        <v>7.3893931669528197</v>
      </c>
      <c r="AB3">
        <f t="shared" si="1"/>
        <v>3.4863352745396101</v>
      </c>
      <c r="AC3">
        <f t="shared" si="1"/>
        <v>2.624325788583</v>
      </c>
      <c r="AD3">
        <f t="shared" si="1"/>
        <v>-0.31992225248181</v>
      </c>
      <c r="AE3">
        <f t="shared" si="1"/>
        <v>-0.61923796255568997</v>
      </c>
      <c r="AF3">
        <f t="shared" si="1"/>
        <v>-0.57595154279399996</v>
      </c>
      <c r="AG3">
        <f t="shared" si="1"/>
        <v>-0.19678766353348001</v>
      </c>
      <c r="AH3">
        <f t="shared" si="1"/>
        <v>-0.24813344676963101</v>
      </c>
    </row>
    <row r="4" spans="1:34" x14ac:dyDescent="0.25">
      <c r="A4">
        <v>1.1169286912</v>
      </c>
      <c r="B4">
        <v>-3.7257579715159999</v>
      </c>
      <c r="C4">
        <v>-4.6589667646199002</v>
      </c>
      <c r="D4">
        <v>-3.9369815821562999</v>
      </c>
      <c r="E4">
        <v>-4.6555312227629004</v>
      </c>
      <c r="F4">
        <v>-1.858565281</v>
      </c>
      <c r="G4">
        <v>-2.61397835874256</v>
      </c>
      <c r="H4">
        <v>-3.6114253889399999</v>
      </c>
      <c r="I4">
        <v>-3.3173119449500001</v>
      </c>
      <c r="J4">
        <v>-3.7336346162665</v>
      </c>
      <c r="K4">
        <v>-1.3993251978500001</v>
      </c>
      <c r="L4">
        <v>-1.9186815864466</v>
      </c>
      <c r="M4">
        <v>-1.9768977668515999</v>
      </c>
      <c r="N4">
        <v>-0.48177391852233598</v>
      </c>
      <c r="O4">
        <v>-0.37766464541</v>
      </c>
      <c r="S4" s="14" t="s">
        <v>528</v>
      </c>
      <c r="T4">
        <f>AVERAGE(A:A)</f>
        <v>2.1293025465655027</v>
      </c>
      <c r="U4">
        <f t="shared" ref="U4:AH4" si="2">AVERAGE(B:B)</f>
        <v>-1.3433859102467058</v>
      </c>
      <c r="V4">
        <f t="shared" si="2"/>
        <v>3.1587272168387952</v>
      </c>
      <c r="W4">
        <f t="shared" si="2"/>
        <v>-0.40316595895758073</v>
      </c>
      <c r="X4">
        <f t="shared" si="2"/>
        <v>0.22405092991801864</v>
      </c>
      <c r="Y4">
        <f t="shared" si="2"/>
        <v>1.1229272567452353</v>
      </c>
      <c r="Z4">
        <f t="shared" si="2"/>
        <v>-1.0817326261535507</v>
      </c>
      <c r="AA4">
        <f t="shared" si="2"/>
        <v>0.81852766526298837</v>
      </c>
      <c r="AB4">
        <f t="shared" si="2"/>
        <v>0.70821062986091132</v>
      </c>
      <c r="AC4">
        <f t="shared" si="2"/>
        <v>-1.4587482694053924</v>
      </c>
      <c r="AD4">
        <f t="shared" si="2"/>
        <v>-0.87553293094445872</v>
      </c>
      <c r="AE4">
        <f t="shared" si="2"/>
        <v>-1.5769014145145974</v>
      </c>
      <c r="AF4">
        <f t="shared" si="2"/>
        <v>-1.4798120747831274</v>
      </c>
      <c r="AG4">
        <f t="shared" si="2"/>
        <v>-0.34021429878857301</v>
      </c>
      <c r="AH4">
        <f t="shared" si="2"/>
        <v>-0.35555237181687821</v>
      </c>
    </row>
    <row r="5" spans="1:34" x14ac:dyDescent="0.25">
      <c r="A5">
        <v>1.1196796241689999</v>
      </c>
      <c r="B5">
        <v>-3.63521787616</v>
      </c>
      <c r="C5">
        <v>0.71844449109999997</v>
      </c>
      <c r="D5">
        <v>-3.46129919419</v>
      </c>
      <c r="E5">
        <v>-4.5272282727700004</v>
      </c>
      <c r="F5">
        <v>-1.81964788986792</v>
      </c>
      <c r="G5">
        <v>-2.6124782451256001</v>
      </c>
      <c r="H5">
        <v>-3.5693822919675</v>
      </c>
      <c r="I5">
        <v>-3.2995727822613001</v>
      </c>
      <c r="J5">
        <v>-3.6765921458844</v>
      </c>
      <c r="K5">
        <v>-1.24159526783548</v>
      </c>
      <c r="L5">
        <v>-1.8824658752651999</v>
      </c>
      <c r="M5">
        <v>-1.8813888411999999</v>
      </c>
      <c r="N5">
        <v>-0.47881861977491202</v>
      </c>
      <c r="O5">
        <v>-0.36153933583881998</v>
      </c>
      <c r="S5" s="14" t="s">
        <v>525</v>
      </c>
      <c r="T5">
        <f>COUNT(A2:A84)</f>
        <v>32</v>
      </c>
      <c r="U5">
        <f>COUNT(B2:B84)</f>
        <v>36</v>
      </c>
      <c r="V5">
        <f t="shared" ref="V5:AH5" si="3">COUNT(C2:C84)</f>
        <v>29</v>
      </c>
      <c r="W5">
        <f t="shared" si="3"/>
        <v>36</v>
      </c>
      <c r="X5">
        <f t="shared" si="3"/>
        <v>26</v>
      </c>
      <c r="Y5">
        <f t="shared" si="3"/>
        <v>31</v>
      </c>
      <c r="Z5">
        <f t="shared" si="3"/>
        <v>31</v>
      </c>
      <c r="AA5">
        <f t="shared" si="3"/>
        <v>63</v>
      </c>
      <c r="AB5">
        <f t="shared" si="3"/>
        <v>22</v>
      </c>
      <c r="AC5">
        <f t="shared" si="3"/>
        <v>29</v>
      </c>
      <c r="AD5">
        <f t="shared" si="3"/>
        <v>21</v>
      </c>
      <c r="AE5">
        <f t="shared" si="3"/>
        <v>19</v>
      </c>
      <c r="AF5">
        <f t="shared" si="3"/>
        <v>20</v>
      </c>
      <c r="AG5">
        <f t="shared" si="3"/>
        <v>16</v>
      </c>
      <c r="AH5">
        <f t="shared" si="3"/>
        <v>11</v>
      </c>
    </row>
    <row r="6" spans="1:34" x14ac:dyDescent="0.25">
      <c r="A6">
        <v>1.1572844529360999</v>
      </c>
      <c r="B6">
        <v>-3.4584771499350002</v>
      </c>
      <c r="C6">
        <v>1.1699729447750999</v>
      </c>
      <c r="D6">
        <v>-3.3749465278350002</v>
      </c>
      <c r="E6">
        <v>-3.5799835348509998</v>
      </c>
      <c r="F6">
        <v>-1.5794269758620001</v>
      </c>
      <c r="G6">
        <v>-2.4485277211945</v>
      </c>
      <c r="H6">
        <v>-2.5629953364318001</v>
      </c>
      <c r="I6">
        <v>-2.6454156144500001</v>
      </c>
      <c r="J6">
        <v>-3.572378846456</v>
      </c>
      <c r="K6">
        <v>-1.1487812989591999</v>
      </c>
      <c r="L6">
        <v>-1.8483441813099999</v>
      </c>
      <c r="M6">
        <v>-1.674345179778</v>
      </c>
      <c r="N6">
        <v>-0.37933495834549003</v>
      </c>
      <c r="O6">
        <v>-0.35411937455451997</v>
      </c>
    </row>
    <row r="7" spans="1:34" x14ac:dyDescent="0.25">
      <c r="A7">
        <v>1.1691351594238999</v>
      </c>
      <c r="B7">
        <v>-3.2948336817533899</v>
      </c>
      <c r="C7">
        <v>1.7317852476237301</v>
      </c>
      <c r="D7">
        <v>-3.283656133799</v>
      </c>
      <c r="E7">
        <v>-3.3523354964565999</v>
      </c>
      <c r="F7">
        <v>-1.2949722151555001</v>
      </c>
      <c r="G7">
        <v>-2.39977964314</v>
      </c>
      <c r="H7">
        <v>-2.1573489346647698</v>
      </c>
      <c r="I7">
        <v>-2.5665483362572998</v>
      </c>
      <c r="J7">
        <v>-3.5345529869756001</v>
      </c>
      <c r="K7">
        <v>-0.98775579125754998</v>
      </c>
      <c r="L7">
        <v>-1.6339528561700001</v>
      </c>
      <c r="M7">
        <v>-1.6188413928389001</v>
      </c>
      <c r="N7">
        <v>-0.36251182739635501</v>
      </c>
      <c r="O7">
        <v>-0.34859993626278002</v>
      </c>
    </row>
    <row r="8" spans="1:34" x14ac:dyDescent="0.25">
      <c r="A8">
        <v>1.1813747745865999</v>
      </c>
      <c r="B8">
        <v>-2.8625897362599999</v>
      </c>
      <c r="C8">
        <v>1.94536123978716</v>
      </c>
      <c r="D8">
        <v>-3.1822583344240001</v>
      </c>
      <c r="E8">
        <v>-2.2867954132169999</v>
      </c>
      <c r="F8">
        <v>-1.2455286124193601</v>
      </c>
      <c r="G8">
        <v>-2.3362536146730002</v>
      </c>
      <c r="H8">
        <v>-2.1223877766152799</v>
      </c>
      <c r="I8">
        <v>-2.1771735691899998</v>
      </c>
      <c r="J8">
        <v>-3.3568277979685299</v>
      </c>
      <c r="K8">
        <v>-0.93147676228559995</v>
      </c>
      <c r="L8">
        <v>-1.6324785432460001</v>
      </c>
      <c r="M8">
        <v>-1.6176164134833999</v>
      </c>
      <c r="N8">
        <v>-0.319132365737398</v>
      </c>
      <c r="O8">
        <v>-0.34728582322669999</v>
      </c>
    </row>
    <row r="9" spans="1:34" x14ac:dyDescent="0.25">
      <c r="A9">
        <v>1.1873294743514999</v>
      </c>
      <c r="B9">
        <v>-2.8347938314532999</v>
      </c>
      <c r="C9">
        <v>1.98943731728135</v>
      </c>
      <c r="D9">
        <v>-3.1141994437544001</v>
      </c>
      <c r="E9">
        <v>-2.2278169271162001</v>
      </c>
      <c r="F9">
        <v>-1.1628957364935999</v>
      </c>
      <c r="G9">
        <v>-2.2298522669510001</v>
      </c>
      <c r="H9">
        <v>-1.7617941996527999</v>
      </c>
      <c r="I9">
        <v>1.8497594748446</v>
      </c>
      <c r="J9">
        <v>-3.3228519931517999</v>
      </c>
      <c r="K9">
        <v>-0.91213941682489996</v>
      </c>
      <c r="L9">
        <v>-1.6255195757471801</v>
      </c>
      <c r="M9">
        <v>-1.58983357781733</v>
      </c>
      <c r="N9">
        <v>-0.31571872111444699</v>
      </c>
      <c r="O9">
        <v>-0.31252897649728001</v>
      </c>
    </row>
    <row r="10" spans="1:34" x14ac:dyDescent="0.25">
      <c r="A10">
        <v>1.26244447316</v>
      </c>
      <c r="B10">
        <v>-2.7658225657000002</v>
      </c>
      <c r="C10">
        <v>2.9191883817918001</v>
      </c>
      <c r="D10">
        <v>-2.6753185883600001</v>
      </c>
      <c r="E10">
        <v>-2.1968798874685298</v>
      </c>
      <c r="F10">
        <v>-1.1192625199120001</v>
      </c>
      <c r="G10">
        <v>-2.1494472980000001</v>
      </c>
      <c r="H10">
        <v>-1.752424254713</v>
      </c>
      <c r="I10">
        <v>2.1229324631000002</v>
      </c>
      <c r="J10">
        <v>-2.911474497141</v>
      </c>
      <c r="K10">
        <v>-0.87284592652299997</v>
      </c>
      <c r="L10">
        <v>-1.5883765589646901</v>
      </c>
      <c r="M10">
        <v>-1.5721196435910001</v>
      </c>
      <c r="N10">
        <v>-0.29185177478520002</v>
      </c>
      <c r="O10">
        <v>-0.28779546337667</v>
      </c>
    </row>
    <row r="11" spans="1:34" x14ac:dyDescent="0.25">
      <c r="A11">
        <v>1.38953911489944</v>
      </c>
      <c r="B11">
        <v>-2.76377727295516</v>
      </c>
      <c r="C11">
        <v>3.1227211697394099</v>
      </c>
      <c r="D11">
        <v>-2.5878989382639999</v>
      </c>
      <c r="E11">
        <v>-2.1791662752126002</v>
      </c>
      <c r="F11">
        <v>-0.94979942931811201</v>
      </c>
      <c r="G11">
        <v>-1.9928176478724999</v>
      </c>
      <c r="H11">
        <v>-1.4662592286651499</v>
      </c>
      <c r="I11">
        <v>2.1728838325790001</v>
      </c>
      <c r="J11">
        <v>-2.85473839229171</v>
      </c>
      <c r="K11">
        <v>-0.83667616115279997</v>
      </c>
      <c r="L11">
        <v>-1.55835136177246</v>
      </c>
      <c r="M11">
        <v>-1.5669327879299499</v>
      </c>
      <c r="N11">
        <v>-0.286863991691236</v>
      </c>
      <c r="O11">
        <v>-0.25379337643330002</v>
      </c>
    </row>
    <row r="12" spans="1:34" x14ac:dyDescent="0.25">
      <c r="A12">
        <v>1.4392528358900001</v>
      </c>
      <c r="B12">
        <v>-2.6897988799719998</v>
      </c>
      <c r="C12">
        <v>3.1322313688149999</v>
      </c>
      <c r="D12">
        <v>-2.55617541756637</v>
      </c>
      <c r="E12">
        <v>1.54518613782</v>
      </c>
      <c r="F12">
        <v>-0.87895822397650003</v>
      </c>
      <c r="G12">
        <v>-1.8999332989254001</v>
      </c>
      <c r="H12">
        <v>-1.4488665536755001</v>
      </c>
      <c r="I12">
        <v>2.1973855141269998</v>
      </c>
      <c r="J12">
        <v>-2.4467676233623998</v>
      </c>
      <c r="K12">
        <v>-0.76498134921399996</v>
      </c>
      <c r="L12">
        <v>-1.55571572985823</v>
      </c>
      <c r="M12">
        <v>-1.5368327548981</v>
      </c>
      <c r="N12">
        <v>-0.28584318984200002</v>
      </c>
      <c r="O12">
        <v>-0.24813344676963101</v>
      </c>
    </row>
    <row r="13" spans="1:34" x14ac:dyDescent="0.25">
      <c r="A13">
        <v>1.4446295613158999</v>
      </c>
      <c r="B13">
        <v>-2.5828678890000001</v>
      </c>
      <c r="C13">
        <v>3.199389392993</v>
      </c>
      <c r="D13">
        <v>-1.9622351626361001</v>
      </c>
      <c r="E13">
        <v>1.9716261615699999</v>
      </c>
      <c r="F13">
        <v>0.92262824370999996</v>
      </c>
      <c r="G13">
        <v>-1.8277274792989999</v>
      </c>
      <c r="H13">
        <v>-1.4279137453320001</v>
      </c>
      <c r="I13">
        <v>2.2289579900000001</v>
      </c>
      <c r="J13">
        <v>-2.3139624241295902</v>
      </c>
      <c r="K13">
        <v>-0.75546462329499997</v>
      </c>
      <c r="L13">
        <v>-1.5277293525983</v>
      </c>
      <c r="M13">
        <v>-1.5279976397620001</v>
      </c>
      <c r="N13">
        <v>-0.27964346541637403</v>
      </c>
    </row>
    <row r="14" spans="1:34" x14ac:dyDescent="0.25">
      <c r="A14">
        <v>1.4875136816744501</v>
      </c>
      <c r="B14">
        <v>-2.365222459196</v>
      </c>
      <c r="C14">
        <v>3.3493638764473999</v>
      </c>
      <c r="D14">
        <v>-1.9233418341199999</v>
      </c>
      <c r="E14">
        <v>2.1271947396487998</v>
      </c>
      <c r="F14">
        <v>0.96444887351999997</v>
      </c>
      <c r="G14">
        <v>-1.79132779947513</v>
      </c>
      <c r="H14">
        <v>-1.3995799144225201</v>
      </c>
      <c r="I14">
        <v>2.28283537611197</v>
      </c>
      <c r="J14">
        <v>-1.9975746332394</v>
      </c>
      <c r="K14">
        <v>-0.73322684381799996</v>
      </c>
      <c r="L14">
        <v>-1.484414693757</v>
      </c>
      <c r="M14">
        <v>-1.4676321336463001</v>
      </c>
      <c r="N14">
        <v>-0.25734176573630002</v>
      </c>
    </row>
    <row r="15" spans="1:34" x14ac:dyDescent="0.25">
      <c r="A15">
        <v>1.5788448944263</v>
      </c>
      <c r="B15">
        <v>-2.3593772394379999</v>
      </c>
      <c r="C15">
        <v>3.387996896867</v>
      </c>
      <c r="D15">
        <v>-1.916786774562</v>
      </c>
      <c r="E15">
        <v>2.2181882511616</v>
      </c>
      <c r="F15">
        <v>1.5642955175964599</v>
      </c>
      <c r="G15">
        <v>-1.7464662759709999</v>
      </c>
      <c r="H15">
        <v>-1.3949912862660001</v>
      </c>
      <c r="I15">
        <v>2.3116221257328</v>
      </c>
      <c r="J15">
        <v>-1.8393646133315</v>
      </c>
      <c r="K15">
        <v>-0.64954597186176599</v>
      </c>
      <c r="L15">
        <v>-1.4771265743588999</v>
      </c>
      <c r="M15">
        <v>-1.3572543953217999</v>
      </c>
      <c r="N15">
        <v>-0.25463639740999999</v>
      </c>
    </row>
    <row r="16" spans="1:34" x14ac:dyDescent="0.25">
      <c r="A16">
        <v>1.6451839640000001</v>
      </c>
      <c r="B16">
        <v>-2.1426543782710001</v>
      </c>
      <c r="C16">
        <v>3.4889724258981998</v>
      </c>
      <c r="D16">
        <v>-1.8746369539809999</v>
      </c>
      <c r="E16">
        <v>2.2477393353658002</v>
      </c>
      <c r="F16">
        <v>1.58625536569</v>
      </c>
      <c r="G16">
        <v>-1.49491194132</v>
      </c>
      <c r="H16">
        <v>-1.3649413935914001</v>
      </c>
      <c r="I16">
        <v>2.36936236799</v>
      </c>
      <c r="J16">
        <v>-1.7768647541767</v>
      </c>
      <c r="K16">
        <v>-0.59896323234112303</v>
      </c>
      <c r="L16">
        <v>-1.4337223719145999</v>
      </c>
      <c r="M16">
        <v>-1.3299364787600001</v>
      </c>
      <c r="N16">
        <v>-0.19821775582524001</v>
      </c>
    </row>
    <row r="17" spans="1:14" x14ac:dyDescent="0.25">
      <c r="A17">
        <v>1.6731581287737001</v>
      </c>
      <c r="B17">
        <v>-2.1348773268549999</v>
      </c>
      <c r="C17">
        <v>3.76154179654</v>
      </c>
      <c r="D17">
        <v>-1.6763588696828</v>
      </c>
      <c r="E17">
        <v>2.5124995788929998</v>
      </c>
      <c r="F17">
        <v>1.67939166966</v>
      </c>
      <c r="G17">
        <v>-1.4793565646242</v>
      </c>
      <c r="H17">
        <v>-1.29135193273</v>
      </c>
      <c r="I17">
        <v>2.4464158535423199</v>
      </c>
      <c r="J17">
        <v>-1.568797515617</v>
      </c>
      <c r="K17">
        <v>-0.581761555568861</v>
      </c>
      <c r="L17">
        <v>-1.3582712475765</v>
      </c>
      <c r="M17">
        <v>-1.2269832399530001</v>
      </c>
      <c r="N17">
        <v>-0.19678766353348001</v>
      </c>
    </row>
    <row r="18" spans="1:14" x14ac:dyDescent="0.25">
      <c r="A18">
        <v>1.7664522486359999</v>
      </c>
      <c r="B18">
        <v>-2.1259353217600001</v>
      </c>
      <c r="C18">
        <v>4.1523168535888004</v>
      </c>
      <c r="D18">
        <v>-1.5527885522381</v>
      </c>
      <c r="E18">
        <v>2.5278767235399999</v>
      </c>
      <c r="F18">
        <v>1.681253762946</v>
      </c>
      <c r="G18">
        <v>-1.395662846447</v>
      </c>
      <c r="H18">
        <v>-1.2467727533424999</v>
      </c>
      <c r="I18">
        <v>2.8694395366465502</v>
      </c>
      <c r="J18">
        <v>-1.41638942495</v>
      </c>
      <c r="K18">
        <v>-0.45129669157730001</v>
      </c>
      <c r="L18">
        <v>-1.3117685464685001</v>
      </c>
      <c r="M18">
        <v>-1.1584397252758001</v>
      </c>
    </row>
    <row r="19" spans="1:14" x14ac:dyDescent="0.25">
      <c r="A19">
        <v>1.87872776161</v>
      </c>
      <c r="B19">
        <v>-1.9747672356129999</v>
      </c>
      <c r="C19">
        <v>4.2117474729</v>
      </c>
      <c r="D19">
        <v>-1.256517545895</v>
      </c>
      <c r="E19">
        <v>2.5893478898310001</v>
      </c>
      <c r="F19">
        <v>1.6844829259572001</v>
      </c>
      <c r="G19">
        <v>-1.29824865743285</v>
      </c>
      <c r="H19">
        <v>-1.228848113537</v>
      </c>
      <c r="I19">
        <v>3.2799347920000002</v>
      </c>
      <c r="J19">
        <v>-1.33431274668</v>
      </c>
      <c r="K19">
        <v>-0.35216719563575999</v>
      </c>
      <c r="L19">
        <v>-1.2315757653957999</v>
      </c>
      <c r="M19">
        <v>-1.1328236253420001</v>
      </c>
    </row>
    <row r="20" spans="1:14" x14ac:dyDescent="0.25">
      <c r="A20">
        <v>1.896836149679</v>
      </c>
      <c r="B20">
        <v>-1.9747197845996001</v>
      </c>
      <c r="C20">
        <v>4.2695188984100003</v>
      </c>
      <c r="D20">
        <v>-0.92221998414951001</v>
      </c>
      <c r="E20">
        <v>2.6897878617522002</v>
      </c>
      <c r="F20">
        <v>2.1577379817911</v>
      </c>
      <c r="G20">
        <v>-1.278315834434</v>
      </c>
      <c r="H20">
        <v>-1.1344672831837099</v>
      </c>
      <c r="I20">
        <v>3.3737577428250001</v>
      </c>
      <c r="J20">
        <v>-1.2322861872919999</v>
      </c>
      <c r="K20">
        <v>-0.34162165533159999</v>
      </c>
      <c r="L20">
        <v>-0.61923796255568997</v>
      </c>
      <c r="M20">
        <v>-0.64313496189554997</v>
      </c>
    </row>
    <row r="21" spans="1:14" x14ac:dyDescent="0.25">
      <c r="A21">
        <v>2.23564524834</v>
      </c>
      <c r="B21">
        <v>-1.924612288931</v>
      </c>
      <c r="C21">
        <v>4.3375345832469998</v>
      </c>
      <c r="D21">
        <v>0.99937274799839804</v>
      </c>
      <c r="E21">
        <v>2.7716116355699998</v>
      </c>
      <c r="F21">
        <v>2.1836349988379999</v>
      </c>
      <c r="G21">
        <v>-0.99346747281119996</v>
      </c>
      <c r="H21">
        <v>-0.98557297182329995</v>
      </c>
      <c r="I21">
        <v>3.4238422546899998</v>
      </c>
      <c r="J21">
        <v>-1.229948692</v>
      </c>
      <c r="K21">
        <v>-0.32569595934895001</v>
      </c>
      <c r="M21">
        <v>-0.57595154279399996</v>
      </c>
    </row>
    <row r="22" spans="1:14" x14ac:dyDescent="0.25">
      <c r="A22">
        <v>2.5643121299999998</v>
      </c>
      <c r="B22">
        <v>-1.82242622662663</v>
      </c>
      <c r="C22">
        <v>4.7723496718150002</v>
      </c>
      <c r="D22">
        <v>1.1117872621937099</v>
      </c>
      <c r="E22">
        <v>2.7751278147843399</v>
      </c>
      <c r="F22">
        <v>2.3381491315343399</v>
      </c>
      <c r="G22">
        <v>-0.95869265714392005</v>
      </c>
      <c r="H22">
        <v>-0.72911235182529999</v>
      </c>
      <c r="I22">
        <v>3.4252977585118001</v>
      </c>
      <c r="J22">
        <v>-0.87713752912515996</v>
      </c>
      <c r="K22">
        <v>-0.31992225248181</v>
      </c>
    </row>
    <row r="23" spans="1:14" x14ac:dyDescent="0.25">
      <c r="A23">
        <v>2.6789841251770001</v>
      </c>
      <c r="B23">
        <v>-1.4892148595936301</v>
      </c>
      <c r="C23">
        <v>5.2734566475579996</v>
      </c>
      <c r="D23">
        <v>1.116195872132</v>
      </c>
      <c r="E23">
        <v>2.8273423171699998</v>
      </c>
      <c r="F23">
        <v>2.3554427975336001</v>
      </c>
      <c r="G23">
        <v>-0.8469353182146</v>
      </c>
      <c r="H23">
        <v>0.65166395494497997</v>
      </c>
      <c r="I23">
        <v>3.4863352745396101</v>
      </c>
      <c r="J23">
        <v>-0.74564678412350005</v>
      </c>
    </row>
    <row r="24" spans="1:14" x14ac:dyDescent="0.25">
      <c r="A24">
        <v>2.6949433853835298</v>
      </c>
      <c r="B24">
        <v>-1.3947119462253501</v>
      </c>
      <c r="C24">
        <v>5.6824372837499997</v>
      </c>
      <c r="D24">
        <v>1.25232222165927</v>
      </c>
      <c r="E24">
        <v>2.8371648723549998</v>
      </c>
      <c r="F24">
        <v>2.5685964933099998</v>
      </c>
      <c r="G24">
        <v>0.67448176685824002</v>
      </c>
      <c r="H24">
        <v>0.79754736358577005</v>
      </c>
      <c r="J24">
        <v>0.78398315134399998</v>
      </c>
    </row>
    <row r="25" spans="1:14" x14ac:dyDescent="0.25">
      <c r="A25">
        <v>2.7337983936366999</v>
      </c>
      <c r="B25">
        <v>-1.156694326282</v>
      </c>
      <c r="C25">
        <v>5.9824461697681004</v>
      </c>
      <c r="D25">
        <v>1.26592419563</v>
      </c>
      <c r="E25">
        <v>3.4132493597239999</v>
      </c>
      <c r="F25">
        <v>2.6699195427382998</v>
      </c>
      <c r="G25">
        <v>0.67853873149180999</v>
      </c>
      <c r="H25">
        <v>0.92794735973577003</v>
      </c>
      <c r="J25">
        <v>0.82912457658880001</v>
      </c>
    </row>
    <row r="26" spans="1:14" x14ac:dyDescent="0.25">
      <c r="A26">
        <v>2.8189833498263002</v>
      </c>
      <c r="B26">
        <v>-0.68778627951628002</v>
      </c>
      <c r="C26">
        <v>6.7164845142700003</v>
      </c>
      <c r="D26">
        <v>1.4339746679383001</v>
      </c>
      <c r="E26">
        <v>3.5885753933825701</v>
      </c>
      <c r="F26">
        <v>2.6893539118761902</v>
      </c>
      <c r="G26">
        <v>0.69742618842290005</v>
      </c>
      <c r="H26">
        <v>0.95215883689549996</v>
      </c>
      <c r="J26">
        <v>1.4578387333</v>
      </c>
    </row>
    <row r="27" spans="1:14" x14ac:dyDescent="0.25">
      <c r="A27">
        <v>3.2164891738731902</v>
      </c>
      <c r="B27">
        <v>0.39278356726217101</v>
      </c>
      <c r="C27">
        <v>6.7196225843972002</v>
      </c>
      <c r="D27">
        <v>1.4676175818531001</v>
      </c>
      <c r="E27">
        <v>3.7742479327449998</v>
      </c>
      <c r="F27">
        <v>2.7695245337859999</v>
      </c>
      <c r="G27">
        <v>0.72752789231899995</v>
      </c>
      <c r="H27">
        <v>0.9559586886168</v>
      </c>
      <c r="J27">
        <v>1.6992493717382999</v>
      </c>
    </row>
    <row r="28" spans="1:14" x14ac:dyDescent="0.25">
      <c r="A28">
        <v>3.3456141982780001</v>
      </c>
      <c r="B28">
        <v>0.43272183158172001</v>
      </c>
      <c r="C28">
        <v>6.7351723589376</v>
      </c>
      <c r="D28">
        <v>1.5569674675178999</v>
      </c>
      <c r="F28">
        <v>2.8449719859821001</v>
      </c>
      <c r="G28">
        <v>0.72869673414142999</v>
      </c>
      <c r="H28">
        <v>0.96979413248669999</v>
      </c>
      <c r="J28">
        <v>1.779576489856</v>
      </c>
    </row>
    <row r="29" spans="1:14" x14ac:dyDescent="0.25">
      <c r="A29">
        <v>3.566264529373</v>
      </c>
      <c r="B29">
        <v>0.45126854917551501</v>
      </c>
      <c r="C29">
        <v>7.1378241384900001</v>
      </c>
      <c r="D29">
        <v>1.6899824662612</v>
      </c>
      <c r="F29">
        <v>3.1719595824</v>
      </c>
      <c r="G29">
        <v>0.74463539933732004</v>
      </c>
      <c r="H29">
        <v>0.97612179714258895</v>
      </c>
      <c r="J29">
        <v>2.1329156438860002</v>
      </c>
    </row>
    <row r="30" spans="1:14" x14ac:dyDescent="0.25">
      <c r="A30">
        <v>3.5741423138939998</v>
      </c>
      <c r="B30">
        <v>0.49367699657190001</v>
      </c>
      <c r="C30">
        <v>7.1644578143939004</v>
      </c>
      <c r="D30">
        <v>1.9128839258966699</v>
      </c>
      <c r="F30">
        <v>4.1351613131800002</v>
      </c>
      <c r="G30">
        <v>1.2446229565219999</v>
      </c>
      <c r="H30">
        <v>1.1149361175870001</v>
      </c>
      <c r="J30">
        <v>2.624325788583</v>
      </c>
    </row>
    <row r="31" spans="1:14" x14ac:dyDescent="0.25">
      <c r="A31">
        <v>3.6279776996290001</v>
      </c>
      <c r="B31">
        <v>0.86876845738674402</v>
      </c>
      <c r="D31">
        <v>1.9877779872579999</v>
      </c>
      <c r="F31">
        <v>4.8581121736129997</v>
      </c>
      <c r="G31">
        <v>1.2977713984999499</v>
      </c>
      <c r="H31">
        <v>1.19134359247698</v>
      </c>
    </row>
    <row r="32" spans="1:14" x14ac:dyDescent="0.25">
      <c r="A32">
        <v>4.2234496529719001</v>
      </c>
      <c r="B32">
        <v>0.97753148467456996</v>
      </c>
      <c r="D32">
        <v>2.1158664325268002</v>
      </c>
      <c r="F32">
        <v>5.9352388375557998</v>
      </c>
      <c r="G32">
        <v>1.5676711826775001</v>
      </c>
      <c r="H32">
        <v>1.2449482576171</v>
      </c>
    </row>
    <row r="33" spans="1:8" x14ac:dyDescent="0.25">
      <c r="A33">
        <v>4.5355334856287</v>
      </c>
      <c r="B33">
        <v>1.78216169416</v>
      </c>
      <c r="D33">
        <v>2.1646692761261201</v>
      </c>
      <c r="H33">
        <v>1.2677221988834999</v>
      </c>
    </row>
    <row r="34" spans="1:8" x14ac:dyDescent="0.25">
      <c r="B34">
        <v>2.2157167264989002</v>
      </c>
      <c r="D34">
        <v>2.4717436898890002</v>
      </c>
      <c r="H34">
        <v>1.2737327813699999</v>
      </c>
    </row>
    <row r="35" spans="1:8" x14ac:dyDescent="0.25">
      <c r="B35">
        <v>2.33628183178</v>
      </c>
      <c r="D35">
        <v>3.8912532339496999</v>
      </c>
      <c r="H35">
        <v>1.3213733317</v>
      </c>
    </row>
    <row r="36" spans="1:8" x14ac:dyDescent="0.25">
      <c r="B36">
        <v>2.3818935526895002</v>
      </c>
      <c r="D36">
        <v>4.2218132673615703</v>
      </c>
      <c r="H36">
        <v>1.3429726275456799</v>
      </c>
    </row>
    <row r="37" spans="1:8" x14ac:dyDescent="0.25">
      <c r="B37">
        <v>2.3894521958527002</v>
      </c>
      <c r="D37">
        <v>4.4147969578487301</v>
      </c>
      <c r="H37">
        <v>1.41536459545</v>
      </c>
    </row>
    <row r="38" spans="1:8" x14ac:dyDescent="0.25">
      <c r="H38">
        <v>1.4817166238199999</v>
      </c>
    </row>
    <row r="39" spans="1:8" x14ac:dyDescent="0.25">
      <c r="H39">
        <v>1.494951838749</v>
      </c>
    </row>
    <row r="40" spans="1:8" x14ac:dyDescent="0.25">
      <c r="H40">
        <v>1.5414428278186001</v>
      </c>
    </row>
    <row r="41" spans="1:8" x14ac:dyDescent="0.25">
      <c r="H41">
        <v>1.5738117941351999</v>
      </c>
    </row>
    <row r="42" spans="1:8" x14ac:dyDescent="0.25">
      <c r="H42">
        <v>1.5985629581</v>
      </c>
    </row>
    <row r="43" spans="1:8" x14ac:dyDescent="0.25">
      <c r="H43">
        <v>1.655651732428</v>
      </c>
    </row>
    <row r="44" spans="1:8" x14ac:dyDescent="0.25">
      <c r="H44">
        <v>1.767454553366</v>
      </c>
    </row>
    <row r="45" spans="1:8" x14ac:dyDescent="0.25">
      <c r="H45">
        <v>1.9575667474689999</v>
      </c>
    </row>
    <row r="46" spans="1:8" x14ac:dyDescent="0.25">
      <c r="H46">
        <v>2.1112812527826001</v>
      </c>
    </row>
    <row r="47" spans="1:8" x14ac:dyDescent="0.25">
      <c r="H47">
        <v>2.1465497631644999</v>
      </c>
    </row>
    <row r="48" spans="1:8" x14ac:dyDescent="0.25">
      <c r="H48">
        <v>2.1735672673874999</v>
      </c>
    </row>
    <row r="49" spans="8:8" x14ac:dyDescent="0.25">
      <c r="H49">
        <v>2.2984117854619801</v>
      </c>
    </row>
    <row r="50" spans="8:8" x14ac:dyDescent="0.25">
      <c r="H50">
        <v>2.3128227938484001</v>
      </c>
    </row>
    <row r="51" spans="8:8" x14ac:dyDescent="0.25">
      <c r="H51">
        <v>2.3335692514935902</v>
      </c>
    </row>
    <row r="52" spans="8:8" x14ac:dyDescent="0.25">
      <c r="H52">
        <v>2.3418118111132</v>
      </c>
    </row>
    <row r="53" spans="8:8" x14ac:dyDescent="0.25">
      <c r="H53">
        <v>2.4674419626500002</v>
      </c>
    </row>
    <row r="54" spans="8:8" x14ac:dyDescent="0.25">
      <c r="H54">
        <v>2.5158516239000002</v>
      </c>
    </row>
    <row r="55" spans="8:8" x14ac:dyDescent="0.25">
      <c r="H55">
        <v>2.64424999478</v>
      </c>
    </row>
    <row r="56" spans="8:8" x14ac:dyDescent="0.25">
      <c r="H56">
        <v>3.2292957924213002</v>
      </c>
    </row>
    <row r="57" spans="8:8" x14ac:dyDescent="0.25">
      <c r="H57">
        <v>3.2789543816919999</v>
      </c>
    </row>
    <row r="58" spans="8:8" x14ac:dyDescent="0.25">
      <c r="H58">
        <v>3.3653529149699999</v>
      </c>
    </row>
    <row r="59" spans="8:8" x14ac:dyDescent="0.25">
      <c r="H59">
        <v>3.5234194469000002</v>
      </c>
    </row>
    <row r="60" spans="8:8" x14ac:dyDescent="0.25">
      <c r="H60">
        <v>3.7497859274626002</v>
      </c>
    </row>
    <row r="61" spans="8:8" x14ac:dyDescent="0.25">
      <c r="H61">
        <v>4.2131795652499999</v>
      </c>
    </row>
    <row r="62" spans="8:8" x14ac:dyDescent="0.25">
      <c r="H62">
        <v>4.5361586548219996</v>
      </c>
    </row>
    <row r="63" spans="8:8" x14ac:dyDescent="0.25">
      <c r="H63">
        <v>5.3779634491510997</v>
      </c>
    </row>
    <row r="64" spans="8:8" x14ac:dyDescent="0.25">
      <c r="H64">
        <v>7.3893931669528197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H64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510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0.41363275379395298</v>
      </c>
      <c r="B2">
        <v>-5.8145231142830003</v>
      </c>
      <c r="C2">
        <v>-16.389865191335002</v>
      </c>
      <c r="D2">
        <v>-4.3383681863838</v>
      </c>
      <c r="E2">
        <v>-6.1174651276500001</v>
      </c>
      <c r="F2">
        <v>-2.51539546887</v>
      </c>
      <c r="G2">
        <v>-3.4777382992392298</v>
      </c>
      <c r="H2">
        <v>-2.5629953364318001</v>
      </c>
      <c r="I2">
        <v>-5.9813676998389997</v>
      </c>
      <c r="J2">
        <v>-3.572378846456</v>
      </c>
      <c r="K2">
        <v>-3.4461686659813999</v>
      </c>
      <c r="L2">
        <v>-2.2897571792117</v>
      </c>
      <c r="M2">
        <v>-2.1579334328948101</v>
      </c>
      <c r="N2">
        <v>-0.54237769288990001</v>
      </c>
      <c r="O2">
        <v>-0.56575731664841999</v>
      </c>
      <c r="S2" s="14" t="s">
        <v>526</v>
      </c>
      <c r="T2">
        <f>MIN(A:A)</f>
        <v>0.41363275379395298</v>
      </c>
      <c r="U2">
        <f t="shared" ref="U2:AH2" si="0">MIN(B:B)</f>
        <v>-5.8145231142830003</v>
      </c>
      <c r="V2">
        <f t="shared" si="0"/>
        <v>-16.389865191335002</v>
      </c>
      <c r="W2">
        <f t="shared" si="0"/>
        <v>-4.3383681863838</v>
      </c>
      <c r="X2">
        <f t="shared" si="0"/>
        <v>-6.1174651276500001</v>
      </c>
      <c r="Y2">
        <f t="shared" si="0"/>
        <v>-2.51539546887</v>
      </c>
      <c r="Z2">
        <f t="shared" si="0"/>
        <v>-3.4777382992392298</v>
      </c>
      <c r="AA2">
        <f t="shared" si="0"/>
        <v>-2.5629953364318001</v>
      </c>
      <c r="AB2">
        <f t="shared" si="0"/>
        <v>-5.9813676998389997</v>
      </c>
      <c r="AC2">
        <f t="shared" si="0"/>
        <v>-3.572378846456</v>
      </c>
      <c r="AD2">
        <f t="shared" si="0"/>
        <v>-3.4461686659813999</v>
      </c>
      <c r="AE2">
        <f t="shared" si="0"/>
        <v>-2.2897571792117</v>
      </c>
      <c r="AF2">
        <f t="shared" si="0"/>
        <v>-2.1579334328948101</v>
      </c>
      <c r="AG2">
        <f t="shared" si="0"/>
        <v>-0.54237769288990001</v>
      </c>
      <c r="AH2">
        <f t="shared" si="0"/>
        <v>-0.56575731664841999</v>
      </c>
    </row>
    <row r="3" spans="1:34" x14ac:dyDescent="0.25">
      <c r="A3">
        <v>0.67197723637310003</v>
      </c>
      <c r="B3">
        <v>-5.2549288450000002</v>
      </c>
      <c r="C3">
        <v>-7.1591617925576001</v>
      </c>
      <c r="D3">
        <v>-3.9929357525159999</v>
      </c>
      <c r="E3">
        <v>-5.5184512392169998</v>
      </c>
      <c r="F3">
        <v>-1.924197936668</v>
      </c>
      <c r="G3">
        <v>-3.1435229582389201</v>
      </c>
      <c r="H3">
        <v>-2.1573489346647698</v>
      </c>
      <c r="I3">
        <v>-4.2727385533530002</v>
      </c>
      <c r="J3">
        <v>-3.3228519931517999</v>
      </c>
      <c r="K3">
        <v>-2.2374163424870002</v>
      </c>
      <c r="L3">
        <v>-2.247267316796</v>
      </c>
      <c r="M3">
        <v>-1.9833459616289999</v>
      </c>
      <c r="N3">
        <v>-0.48177391852233598</v>
      </c>
      <c r="O3">
        <v>-0.459567621466</v>
      </c>
      <c r="S3" s="14" t="s">
        <v>527</v>
      </c>
      <c r="T3">
        <f>MAX(A:A)</f>
        <v>4.7566285654492004</v>
      </c>
      <c r="U3">
        <f t="shared" ref="U3:AH3" si="1">MAX(B:B)</f>
        <v>6.243676731751</v>
      </c>
      <c r="V3">
        <f t="shared" si="1"/>
        <v>6.1827581582261004</v>
      </c>
      <c r="W3">
        <f t="shared" si="1"/>
        <v>8.3238816818846999</v>
      </c>
      <c r="X3">
        <f t="shared" si="1"/>
        <v>2.8273423171699998</v>
      </c>
      <c r="Y3">
        <f t="shared" si="1"/>
        <v>3.5323322431580002</v>
      </c>
      <c r="Z3">
        <f t="shared" si="1"/>
        <v>4.2867321612888798</v>
      </c>
      <c r="AA3">
        <f t="shared" si="1"/>
        <v>7.3893931669528197</v>
      </c>
      <c r="AB3">
        <f t="shared" si="1"/>
        <v>2.36936236799</v>
      </c>
      <c r="AC3">
        <f t="shared" si="1"/>
        <v>2.767568164279</v>
      </c>
      <c r="AD3">
        <f t="shared" si="1"/>
        <v>-0.36162716268997003</v>
      </c>
      <c r="AE3">
        <f t="shared" si="1"/>
        <v>0.68219792658816003</v>
      </c>
      <c r="AF3">
        <f t="shared" si="1"/>
        <v>-0.46633294624799998</v>
      </c>
      <c r="AG3">
        <f t="shared" si="1"/>
        <v>-0.21673122781199999</v>
      </c>
      <c r="AH3">
        <f t="shared" si="1"/>
        <v>-0.21827759727500001</v>
      </c>
    </row>
    <row r="4" spans="1:34" x14ac:dyDescent="0.25">
      <c r="A4">
        <v>0.69529316825270004</v>
      </c>
      <c r="B4">
        <v>-5.1483644666527999</v>
      </c>
      <c r="C4">
        <v>-5.5213332242998003</v>
      </c>
      <c r="D4">
        <v>-3.3366234625818998</v>
      </c>
      <c r="E4">
        <v>-5.46823966994</v>
      </c>
      <c r="F4">
        <v>-1.81964788986792</v>
      </c>
      <c r="G4">
        <v>-3.1425392474715501</v>
      </c>
      <c r="H4">
        <v>-2.1223877766152799</v>
      </c>
      <c r="I4">
        <v>-3.3173119449500001</v>
      </c>
      <c r="J4">
        <v>-2.911474497141</v>
      </c>
      <c r="K4">
        <v>-2.1866337269569298</v>
      </c>
      <c r="L4">
        <v>-1.9744968816249</v>
      </c>
      <c r="M4">
        <v>-1.9768977668515999</v>
      </c>
      <c r="N4">
        <v>-0.43583928646879999</v>
      </c>
      <c r="O4">
        <v>-0.45385839496753999</v>
      </c>
      <c r="S4" s="14" t="s">
        <v>528</v>
      </c>
      <c r="T4">
        <f>AVERAGE(A:A)</f>
        <v>2.2933379387104527</v>
      </c>
      <c r="U4">
        <f t="shared" ref="U4:AH4" si="2">AVERAGE(B:B)</f>
        <v>-1.6390367685261673</v>
      </c>
      <c r="V4">
        <f t="shared" si="2"/>
        <v>1.9097786394041047</v>
      </c>
      <c r="W4">
        <f t="shared" si="2"/>
        <v>1.2685850229609115</v>
      </c>
      <c r="X4">
        <f t="shared" si="2"/>
        <v>-1.8239611754457141</v>
      </c>
      <c r="Y4">
        <f t="shared" si="2"/>
        <v>0.52030496034350071</v>
      </c>
      <c r="Z4">
        <f t="shared" si="2"/>
        <v>-1.214737731601492</v>
      </c>
      <c r="AA4">
        <f t="shared" si="2"/>
        <v>1.4037928321105533</v>
      </c>
      <c r="AB4">
        <f t="shared" si="2"/>
        <v>-0.25242712479995671</v>
      </c>
      <c r="AC4">
        <f t="shared" si="2"/>
        <v>-0.61956399687020558</v>
      </c>
      <c r="AD4">
        <f t="shared" si="2"/>
        <v>-1.0296727742377159</v>
      </c>
      <c r="AE4">
        <f t="shared" si="2"/>
        <v>-1.1565510054920216</v>
      </c>
      <c r="AF4">
        <f t="shared" si="2"/>
        <v>-1.1160362176043868</v>
      </c>
      <c r="AG4">
        <f t="shared" si="2"/>
        <v>-0.37639612150213747</v>
      </c>
      <c r="AH4">
        <f t="shared" si="2"/>
        <v>-0.321168009438694</v>
      </c>
    </row>
    <row r="5" spans="1:34" x14ac:dyDescent="0.25">
      <c r="A5">
        <v>0.88375291625563002</v>
      </c>
      <c r="B5">
        <v>-4.6156937131614999</v>
      </c>
      <c r="C5">
        <v>0.56943746562461095</v>
      </c>
      <c r="D5">
        <v>-2.5878989382639999</v>
      </c>
      <c r="E5">
        <v>-4.6555312227629004</v>
      </c>
      <c r="F5">
        <v>-1.8186255967984</v>
      </c>
      <c r="G5">
        <v>-2.9583634717612202</v>
      </c>
      <c r="H5">
        <v>-1.3949912862660001</v>
      </c>
      <c r="I5">
        <v>-3.2995727822613001</v>
      </c>
      <c r="J5">
        <v>-2.7116942491263001</v>
      </c>
      <c r="K5">
        <v>-1.994314669714</v>
      </c>
      <c r="L5">
        <v>-1.6779358672212199</v>
      </c>
      <c r="M5">
        <v>-1.4636638165553</v>
      </c>
      <c r="N5">
        <v>-0.37933495834549003</v>
      </c>
      <c r="O5">
        <v>-0.44763416269811002</v>
      </c>
      <c r="S5" s="14" t="s">
        <v>525</v>
      </c>
      <c r="T5">
        <f>COUNT(A2:A84)</f>
        <v>48</v>
      </c>
      <c r="U5">
        <f>COUNT(B2:B84)</f>
        <v>35</v>
      </c>
      <c r="V5">
        <f t="shared" ref="V5:AH5" si="3">COUNT(C2:C84)</f>
        <v>30</v>
      </c>
      <c r="W5">
        <f t="shared" si="3"/>
        <v>31</v>
      </c>
      <c r="X5">
        <f t="shared" si="3"/>
        <v>30</v>
      </c>
      <c r="Y5">
        <f t="shared" si="3"/>
        <v>29</v>
      </c>
      <c r="Z5">
        <f t="shared" si="3"/>
        <v>63</v>
      </c>
      <c r="AA5">
        <f t="shared" si="3"/>
        <v>31</v>
      </c>
      <c r="AB5">
        <f t="shared" si="3"/>
        <v>28</v>
      </c>
      <c r="AC5">
        <f t="shared" si="3"/>
        <v>25</v>
      </c>
      <c r="AD5">
        <f t="shared" si="3"/>
        <v>19</v>
      </c>
      <c r="AE5">
        <f t="shared" si="3"/>
        <v>18</v>
      </c>
      <c r="AF5">
        <f t="shared" si="3"/>
        <v>15</v>
      </c>
      <c r="AG5">
        <f t="shared" si="3"/>
        <v>7</v>
      </c>
      <c r="AH5">
        <f t="shared" si="3"/>
        <v>23</v>
      </c>
    </row>
    <row r="6" spans="1:34" x14ac:dyDescent="0.25">
      <c r="A6">
        <v>0.93769256122473699</v>
      </c>
      <c r="B6">
        <v>-3.7688486622499999</v>
      </c>
      <c r="C6">
        <v>0.64123582356389996</v>
      </c>
      <c r="D6">
        <v>-2.55617541756637</v>
      </c>
      <c r="E6">
        <v>-4.5626886846769397</v>
      </c>
      <c r="F6">
        <v>-1.615846597237</v>
      </c>
      <c r="G6">
        <v>-2.9491855454145002</v>
      </c>
      <c r="H6">
        <v>-1.29135193273</v>
      </c>
      <c r="I6">
        <v>-2.6454156144500001</v>
      </c>
      <c r="J6">
        <v>-2.4838193292168</v>
      </c>
      <c r="K6">
        <v>-0.98775579125754998</v>
      </c>
      <c r="L6">
        <v>-1.6771738434492001</v>
      </c>
      <c r="M6">
        <v>-1.3299364787600001</v>
      </c>
      <c r="N6">
        <v>-0.29185177478520002</v>
      </c>
      <c r="O6">
        <v>-0.38843794778500002</v>
      </c>
    </row>
    <row r="7" spans="1:34" x14ac:dyDescent="0.25">
      <c r="A7">
        <v>0.95988974797509996</v>
      </c>
      <c r="B7">
        <v>-3.7399125946299998</v>
      </c>
      <c r="C7">
        <v>0.95257834942715602</v>
      </c>
      <c r="D7">
        <v>0.87435478561289004</v>
      </c>
      <c r="E7">
        <v>-4.5272282727700004</v>
      </c>
      <c r="F7">
        <v>-1.5794269758620001</v>
      </c>
      <c r="G7">
        <v>-2.7241331767849002</v>
      </c>
      <c r="H7">
        <v>-1.1344672831837099</v>
      </c>
      <c r="I7">
        <v>-2.5665483362572998</v>
      </c>
      <c r="J7">
        <v>-1.9975746332394</v>
      </c>
      <c r="K7">
        <v>-0.93147676228559995</v>
      </c>
      <c r="L7">
        <v>-1.6754513678673</v>
      </c>
      <c r="M7">
        <v>-1.2269832399530001</v>
      </c>
      <c r="N7">
        <v>-0.286863991691236</v>
      </c>
      <c r="O7">
        <v>-0.37766464541</v>
      </c>
    </row>
    <row r="8" spans="1:34" x14ac:dyDescent="0.25">
      <c r="A8">
        <v>0.98571967384496995</v>
      </c>
      <c r="B8">
        <v>-3.3235845233879999</v>
      </c>
      <c r="C8">
        <v>1.1699729447750999</v>
      </c>
      <c r="D8">
        <v>0.97147471897589999</v>
      </c>
      <c r="E8">
        <v>-3.5799835348509998</v>
      </c>
      <c r="F8">
        <v>-1.4746593798957</v>
      </c>
      <c r="G8">
        <v>-2.6423469424381998</v>
      </c>
      <c r="H8">
        <v>-0.98557297182329995</v>
      </c>
      <c r="I8">
        <v>-2.1771735691899998</v>
      </c>
      <c r="J8">
        <v>-1.8393646133315</v>
      </c>
      <c r="K8">
        <v>-0.91213941682489996</v>
      </c>
      <c r="L8">
        <v>-1.484414693757</v>
      </c>
      <c r="M8">
        <v>-1.1584397252758001</v>
      </c>
      <c r="N8">
        <v>-0.21673122781199999</v>
      </c>
      <c r="O8">
        <v>-0.36153933583881998</v>
      </c>
    </row>
    <row r="9" spans="1:34" x14ac:dyDescent="0.25">
      <c r="A9">
        <v>1.1169286912</v>
      </c>
      <c r="B9">
        <v>-2.9325941145249601</v>
      </c>
      <c r="C9">
        <v>1.5762595641549999</v>
      </c>
      <c r="D9">
        <v>0.99937274799839804</v>
      </c>
      <c r="E9">
        <v>-3.5637215178430002</v>
      </c>
      <c r="F9">
        <v>-1.2949722151555001</v>
      </c>
      <c r="G9">
        <v>-2.61397835874256</v>
      </c>
      <c r="H9">
        <v>-0.72911235182529999</v>
      </c>
      <c r="I9">
        <v>-1.7547124815194499</v>
      </c>
      <c r="J9">
        <v>-1.7768647541767</v>
      </c>
      <c r="K9">
        <v>-0.87284592652299997</v>
      </c>
      <c r="L9">
        <v>-1.3582712475765</v>
      </c>
      <c r="M9">
        <v>-0.99118982673287404</v>
      </c>
      <c r="O9">
        <v>-0.35411937455451997</v>
      </c>
    </row>
    <row r="10" spans="1:34" x14ac:dyDescent="0.25">
      <c r="A10">
        <v>1.1196796241689999</v>
      </c>
      <c r="B10">
        <v>-2.7658225657000002</v>
      </c>
      <c r="C10">
        <v>1.7317852476237301</v>
      </c>
      <c r="D10">
        <v>1.1117872621937099</v>
      </c>
      <c r="E10">
        <v>-3.3523354964565999</v>
      </c>
      <c r="F10">
        <v>-1.2455286124193601</v>
      </c>
      <c r="G10">
        <v>-2.6124782451256001</v>
      </c>
      <c r="H10">
        <v>0.65166395494497997</v>
      </c>
      <c r="I10">
        <v>-1.7382777612</v>
      </c>
      <c r="J10">
        <v>-1.586843171768</v>
      </c>
      <c r="K10">
        <v>-0.84155727388848101</v>
      </c>
      <c r="L10">
        <v>-1.3239949488799501</v>
      </c>
      <c r="M10">
        <v>-0.87726487244932005</v>
      </c>
      <c r="O10">
        <v>-0.34859993626278002</v>
      </c>
    </row>
    <row r="11" spans="1:34" x14ac:dyDescent="0.25">
      <c r="A11">
        <v>1.1691351594238999</v>
      </c>
      <c r="B11">
        <v>-2.76377727295516</v>
      </c>
      <c r="C11">
        <v>1.7995295571633001</v>
      </c>
      <c r="D11">
        <v>1.116195872132</v>
      </c>
      <c r="E11">
        <v>-3.2551188328781002</v>
      </c>
      <c r="F11">
        <v>-1.1628957364935999</v>
      </c>
      <c r="G11">
        <v>-2.5698355971216</v>
      </c>
      <c r="H11">
        <v>0.92794735973577003</v>
      </c>
      <c r="I11">
        <v>-0.92485938447420002</v>
      </c>
      <c r="J11">
        <v>-1.41638942495</v>
      </c>
      <c r="K11">
        <v>-0.75546462329499997</v>
      </c>
      <c r="L11">
        <v>-1.3117685464685001</v>
      </c>
      <c r="M11">
        <v>-0.83317327495335802</v>
      </c>
      <c r="O11">
        <v>-0.34728582322669999</v>
      </c>
    </row>
    <row r="12" spans="1:34" x14ac:dyDescent="0.25">
      <c r="A12">
        <v>1.1873294743514999</v>
      </c>
      <c r="B12">
        <v>-2.6897988799719998</v>
      </c>
      <c r="C12">
        <v>2.7988688253915002</v>
      </c>
      <c r="D12">
        <v>1.247358971823</v>
      </c>
      <c r="E12">
        <v>-2.5946221247782701</v>
      </c>
      <c r="F12">
        <v>-1.1192625199120001</v>
      </c>
      <c r="G12">
        <v>-2.5165567256200001</v>
      </c>
      <c r="H12">
        <v>0.95215883689549996</v>
      </c>
      <c r="I12">
        <v>-0.786129542214691</v>
      </c>
      <c r="J12">
        <v>-1.33431274668</v>
      </c>
      <c r="K12">
        <v>-0.66376197584832997</v>
      </c>
      <c r="L12">
        <v>-0.96931782819000001</v>
      </c>
      <c r="M12">
        <v>-0.64313496189554997</v>
      </c>
      <c r="O12">
        <v>-0.32473826275000001</v>
      </c>
    </row>
    <row r="13" spans="1:34" x14ac:dyDescent="0.25">
      <c r="A13">
        <v>1.26244447316</v>
      </c>
      <c r="B13">
        <v>-2.5186753883267601</v>
      </c>
      <c r="C13">
        <v>2.8751325178186802</v>
      </c>
      <c r="D13">
        <v>1.25232222165927</v>
      </c>
      <c r="E13">
        <v>-2.3726773196357001</v>
      </c>
      <c r="F13">
        <v>-0.94979942931811201</v>
      </c>
      <c r="G13">
        <v>-2.4989999814536001</v>
      </c>
      <c r="H13">
        <v>0.9559586886168</v>
      </c>
      <c r="I13">
        <v>0.42723531896559003</v>
      </c>
      <c r="J13">
        <v>-1.2322861872919999</v>
      </c>
      <c r="K13">
        <v>-0.66187798825257005</v>
      </c>
      <c r="L13">
        <v>-0.91237695232500005</v>
      </c>
      <c r="M13">
        <v>-0.57595154279399996</v>
      </c>
      <c r="O13">
        <v>-0.31252897649728001</v>
      </c>
    </row>
    <row r="14" spans="1:34" x14ac:dyDescent="0.25">
      <c r="A14">
        <v>1.3757577512279999</v>
      </c>
      <c r="B14">
        <v>-2.3727651334100002</v>
      </c>
      <c r="C14">
        <v>2.893245744393</v>
      </c>
      <c r="D14">
        <v>1.26592419563</v>
      </c>
      <c r="E14">
        <v>-2.3542734255933002</v>
      </c>
      <c r="F14">
        <v>-0.46997538912631998</v>
      </c>
      <c r="G14">
        <v>-2.4868239727753099</v>
      </c>
      <c r="H14">
        <v>1.1149361175870001</v>
      </c>
      <c r="I14">
        <v>0.57449617928635399</v>
      </c>
      <c r="J14">
        <v>-1.229948692</v>
      </c>
      <c r="K14">
        <v>-0.581761555568861</v>
      </c>
      <c r="L14">
        <v>-0.61923796255568997</v>
      </c>
      <c r="M14">
        <v>-0.5417426796482</v>
      </c>
      <c r="O14">
        <v>-0.28779546337667</v>
      </c>
    </row>
    <row r="15" spans="1:34" x14ac:dyDescent="0.25">
      <c r="A15">
        <v>1.38953911489944</v>
      </c>
      <c r="B15">
        <v>-2.2651386933855999</v>
      </c>
      <c r="C15">
        <v>2.9688615739999999</v>
      </c>
      <c r="D15">
        <v>1.4339746679383001</v>
      </c>
      <c r="E15">
        <v>-2.2423755518866</v>
      </c>
      <c r="F15">
        <v>0.92262824370999996</v>
      </c>
      <c r="G15">
        <v>-2.4485277211945</v>
      </c>
      <c r="H15">
        <v>1.19134359247698</v>
      </c>
      <c r="I15">
        <v>0.81173144778626005</v>
      </c>
      <c r="J15">
        <v>-0.98274913449828005</v>
      </c>
      <c r="K15">
        <v>-0.45696269493528002</v>
      </c>
      <c r="L15">
        <v>-0.55352382421123003</v>
      </c>
      <c r="M15">
        <v>-0.51455273742498997</v>
      </c>
      <c r="O15">
        <v>-0.26881218367210002</v>
      </c>
    </row>
    <row r="16" spans="1:34" x14ac:dyDescent="0.25">
      <c r="A16">
        <v>1.4392528358900001</v>
      </c>
      <c r="B16">
        <v>-2.1259353217600001</v>
      </c>
      <c r="C16">
        <v>3.1227211697394099</v>
      </c>
      <c r="D16">
        <v>1.4676175818531001</v>
      </c>
      <c r="E16">
        <v>-2.1955847564244499</v>
      </c>
      <c r="F16">
        <v>0.96444887351999997</v>
      </c>
      <c r="G16">
        <v>-2.39977964314</v>
      </c>
      <c r="H16">
        <v>1.2449482576171</v>
      </c>
      <c r="I16">
        <v>0.99866173115430001</v>
      </c>
      <c r="J16">
        <v>-0.87713752912515996</v>
      </c>
      <c r="K16">
        <v>-0.45129669157730001</v>
      </c>
      <c r="L16">
        <v>-0.52558971181900005</v>
      </c>
      <c r="M16">
        <v>-0.46633294624799998</v>
      </c>
      <c r="O16">
        <v>-0.25379337643330002</v>
      </c>
    </row>
    <row r="17" spans="1:15" x14ac:dyDescent="0.25">
      <c r="A17">
        <v>1.6731581287737001</v>
      </c>
      <c r="B17">
        <v>-1.9747672356129999</v>
      </c>
      <c r="C17">
        <v>3.199389392993</v>
      </c>
      <c r="D17">
        <v>1.6161741254099999</v>
      </c>
      <c r="E17">
        <v>-2.1539581733519499</v>
      </c>
      <c r="F17">
        <v>1.2393379841837</v>
      </c>
      <c r="G17">
        <v>-2.3549821268810001</v>
      </c>
      <c r="H17">
        <v>1.3213733317</v>
      </c>
      <c r="I17">
        <v>1.1165781537237001</v>
      </c>
      <c r="J17">
        <v>-0.75233834558989998</v>
      </c>
      <c r="K17">
        <v>-0.44532982887</v>
      </c>
      <c r="L17">
        <v>-0.48165217615951</v>
      </c>
      <c r="O17">
        <v>-0.2491191428816</v>
      </c>
    </row>
    <row r="18" spans="1:15" x14ac:dyDescent="0.25">
      <c r="A18">
        <v>1.87872776161</v>
      </c>
      <c r="B18">
        <v>-1.9548918624678</v>
      </c>
      <c r="C18">
        <v>3.2455841819889999</v>
      </c>
      <c r="D18">
        <v>1.6591499549223501</v>
      </c>
      <c r="E18">
        <v>-2.1354378595657302</v>
      </c>
      <c r="F18">
        <v>1.2862247683710999</v>
      </c>
      <c r="G18">
        <v>-2.3362536146730002</v>
      </c>
      <c r="H18">
        <v>1.3429726275456799</v>
      </c>
      <c r="I18">
        <v>1.1716791826616499</v>
      </c>
      <c r="J18">
        <v>-0.74564678412350005</v>
      </c>
      <c r="K18">
        <v>-0.41123227163384002</v>
      </c>
      <c r="L18">
        <v>-0.41788567733185</v>
      </c>
      <c r="O18">
        <v>-0.24813344676963101</v>
      </c>
    </row>
    <row r="19" spans="1:15" x14ac:dyDescent="0.25">
      <c r="A19">
        <v>1.896836149679</v>
      </c>
      <c r="B19">
        <v>-1.9163977811370001</v>
      </c>
      <c r="C19">
        <v>3.3493638764473999</v>
      </c>
      <c r="D19">
        <v>1.6699538764888999</v>
      </c>
      <c r="E19">
        <v>-1.8731832575268801</v>
      </c>
      <c r="F19">
        <v>1.3432239325369999</v>
      </c>
      <c r="G19">
        <v>-2.2298522669510001</v>
      </c>
      <c r="H19">
        <v>1.41536459545</v>
      </c>
      <c r="I19">
        <v>1.2436792416272</v>
      </c>
      <c r="J19">
        <v>-0.68184134347499004</v>
      </c>
      <c r="K19">
        <v>-0.364159341926587</v>
      </c>
      <c r="L19">
        <v>0.68219792658816003</v>
      </c>
      <c r="O19">
        <v>-0.23574742461133999</v>
      </c>
    </row>
    <row r="20" spans="1:15" x14ac:dyDescent="0.25">
      <c r="A20">
        <v>1.986767724815</v>
      </c>
      <c r="B20">
        <v>-1.8667268189827</v>
      </c>
      <c r="C20">
        <v>3.387996896867</v>
      </c>
      <c r="D20">
        <v>1.6899824662612</v>
      </c>
      <c r="E20">
        <v>-1.69523172732714</v>
      </c>
      <c r="F20">
        <v>1.681253762946</v>
      </c>
      <c r="G20">
        <v>-2.1814224288676298</v>
      </c>
      <c r="H20">
        <v>1.5985629581</v>
      </c>
      <c r="I20">
        <v>1.3385598452559999</v>
      </c>
      <c r="J20">
        <v>1.4578387333</v>
      </c>
      <c r="K20">
        <v>-0.36162716268997003</v>
      </c>
      <c r="O20">
        <v>-0.22812127442251001</v>
      </c>
    </row>
    <row r="21" spans="1:15" x14ac:dyDescent="0.25">
      <c r="A21">
        <v>2.1345456529218501</v>
      </c>
      <c r="B21">
        <v>-1.82242622662663</v>
      </c>
      <c r="C21">
        <v>3.4279246744935898</v>
      </c>
      <c r="D21">
        <v>1.8637292462999999</v>
      </c>
      <c r="E21">
        <v>-1.6636723517873</v>
      </c>
      <c r="F21">
        <v>2.1836349988379999</v>
      </c>
      <c r="G21">
        <v>-2.1494472980000001</v>
      </c>
      <c r="H21">
        <v>1.655651732428</v>
      </c>
      <c r="I21">
        <v>1.3735225531691</v>
      </c>
      <c r="J21">
        <v>1.779576489856</v>
      </c>
      <c r="O21">
        <v>-0.21854313999543001</v>
      </c>
    </row>
    <row r="22" spans="1:15" x14ac:dyDescent="0.25">
      <c r="A22">
        <v>2.2166875995300002</v>
      </c>
      <c r="B22">
        <v>-1.65425561174</v>
      </c>
      <c r="C22">
        <v>3.4889724258981998</v>
      </c>
      <c r="D22">
        <v>1.9128839258966699</v>
      </c>
      <c r="E22">
        <v>-1.6571188137499999</v>
      </c>
      <c r="F22">
        <v>2.3381491315343399</v>
      </c>
      <c r="G22">
        <v>-2.1252218283772999</v>
      </c>
      <c r="H22">
        <v>1.9575667474689999</v>
      </c>
      <c r="I22">
        <v>1.414191581544</v>
      </c>
      <c r="J22">
        <v>2.1329156438860002</v>
      </c>
      <c r="O22">
        <v>-0.21846798966950001</v>
      </c>
    </row>
    <row r="23" spans="1:15" x14ac:dyDescent="0.25">
      <c r="A23">
        <v>2.23564524834</v>
      </c>
      <c r="B23">
        <v>-1.6117173768699999</v>
      </c>
      <c r="C23">
        <v>3.6373825586639001</v>
      </c>
      <c r="D23">
        <v>1.9877779872579999</v>
      </c>
      <c r="E23">
        <v>-1.61729642585522</v>
      </c>
      <c r="F23">
        <v>2.3554427975336001</v>
      </c>
      <c r="G23">
        <v>-1.9928176478724999</v>
      </c>
      <c r="H23">
        <v>2.2984117854619801</v>
      </c>
      <c r="I23">
        <v>1.4162563651527</v>
      </c>
      <c r="J23">
        <v>2.4494442411844899</v>
      </c>
      <c r="O23">
        <v>-0.21832137987771</v>
      </c>
    </row>
    <row r="24" spans="1:15" x14ac:dyDescent="0.25">
      <c r="A24">
        <v>2.23751839919447</v>
      </c>
      <c r="B24">
        <v>-1.156694326282</v>
      </c>
      <c r="C24">
        <v>3.76154179654</v>
      </c>
      <c r="D24">
        <v>2.1158664325268002</v>
      </c>
      <c r="E24">
        <v>0.85126241532239999</v>
      </c>
      <c r="F24">
        <v>2.3757318871120998</v>
      </c>
      <c r="G24">
        <v>-1.9467452957335001</v>
      </c>
      <c r="H24">
        <v>2.4674419626500002</v>
      </c>
      <c r="I24">
        <v>1.4217764448236001</v>
      </c>
      <c r="J24">
        <v>2.6639245976515999</v>
      </c>
      <c r="O24">
        <v>-0.21827759727500001</v>
      </c>
    </row>
    <row r="25" spans="1:15" x14ac:dyDescent="0.25">
      <c r="A25">
        <v>2.257296543881</v>
      </c>
      <c r="B25">
        <v>-0.93414647445689603</v>
      </c>
      <c r="C25">
        <v>3.997675479942</v>
      </c>
      <c r="D25">
        <v>2.1275413147319</v>
      </c>
      <c r="E25">
        <v>0.87445351246946001</v>
      </c>
      <c r="F25">
        <v>2.4756685779762999</v>
      </c>
      <c r="G25">
        <v>-1.9319494418447001</v>
      </c>
      <c r="H25">
        <v>2.64424999478</v>
      </c>
      <c r="I25">
        <v>1.4224295926251</v>
      </c>
      <c r="J25">
        <v>2.7151484834291</v>
      </c>
    </row>
    <row r="26" spans="1:15" x14ac:dyDescent="0.25">
      <c r="A26">
        <v>2.2714717959840001</v>
      </c>
      <c r="B26">
        <v>-0.89482236357260003</v>
      </c>
      <c r="C26">
        <v>4.4317136721769703</v>
      </c>
      <c r="D26">
        <v>2.12952325867517</v>
      </c>
      <c r="E26">
        <v>1.54518613782</v>
      </c>
      <c r="F26">
        <v>2.5822718427162901</v>
      </c>
      <c r="G26">
        <v>-1.8999332989254001</v>
      </c>
      <c r="H26">
        <v>3.3653529149699999</v>
      </c>
      <c r="I26">
        <v>1.5844354117399999</v>
      </c>
      <c r="J26">
        <v>2.767568164279</v>
      </c>
    </row>
    <row r="27" spans="1:15" x14ac:dyDescent="0.25">
      <c r="A27">
        <v>2.2927592666724999</v>
      </c>
      <c r="B27">
        <v>-0.86743559665369996</v>
      </c>
      <c r="C27">
        <v>4.7723496718150002</v>
      </c>
      <c r="D27">
        <v>2.1529148274100001</v>
      </c>
      <c r="E27">
        <v>1.5918735198989999</v>
      </c>
      <c r="F27">
        <v>2.7695245337859999</v>
      </c>
      <c r="G27">
        <v>-1.8411241829767</v>
      </c>
      <c r="H27">
        <v>3.5234194469000002</v>
      </c>
      <c r="I27">
        <v>1.8497594748446</v>
      </c>
    </row>
    <row r="28" spans="1:15" x14ac:dyDescent="0.25">
      <c r="A28">
        <v>2.3457633255700001</v>
      </c>
      <c r="B28">
        <v>-0.68778627951628002</v>
      </c>
      <c r="C28">
        <v>5.2734566475579996</v>
      </c>
      <c r="D28">
        <v>2.1646692761261201</v>
      </c>
      <c r="E28">
        <v>1.9716261615699999</v>
      </c>
      <c r="F28">
        <v>2.8572444372630001</v>
      </c>
      <c r="G28">
        <v>-1.8277274792989999</v>
      </c>
      <c r="H28">
        <v>3.7497859274626002</v>
      </c>
      <c r="I28">
        <v>1.8617932829599999</v>
      </c>
    </row>
    <row r="29" spans="1:15" x14ac:dyDescent="0.25">
      <c r="A29">
        <v>2.3668584939521802</v>
      </c>
      <c r="B29">
        <v>0.39278356726217101</v>
      </c>
      <c r="C29">
        <v>5.4255438892800001</v>
      </c>
      <c r="D29">
        <v>2.8975551398996</v>
      </c>
      <c r="E29">
        <v>2.2477393353658002</v>
      </c>
      <c r="F29">
        <v>3.1719595824</v>
      </c>
      <c r="G29">
        <v>-1.7925614148492</v>
      </c>
      <c r="H29">
        <v>4.2131795652499999</v>
      </c>
      <c r="I29">
        <v>2.36936236799</v>
      </c>
    </row>
    <row r="30" spans="1:15" x14ac:dyDescent="0.25">
      <c r="A30">
        <v>2.5643121299999998</v>
      </c>
      <c r="B30">
        <v>0.43272183158172001</v>
      </c>
      <c r="C30">
        <v>5.6824372837499997</v>
      </c>
      <c r="D30">
        <v>4.4147969578487301</v>
      </c>
      <c r="E30">
        <v>2.5278767235399999</v>
      </c>
      <c r="F30">
        <v>3.5323322431580002</v>
      </c>
      <c r="G30">
        <v>-1.79132779947513</v>
      </c>
      <c r="H30">
        <v>4.5361586548219996</v>
      </c>
    </row>
    <row r="31" spans="1:15" x14ac:dyDescent="0.25">
      <c r="A31">
        <v>2.6453285838234</v>
      </c>
      <c r="B31">
        <v>0.45126854917551501</v>
      </c>
      <c r="C31">
        <v>6.1827581582261004</v>
      </c>
      <c r="D31">
        <v>5.6713539716436099</v>
      </c>
      <c r="E31">
        <v>2.8273423171699998</v>
      </c>
      <c r="G31">
        <v>-1.7824316189588001</v>
      </c>
      <c r="H31">
        <v>5.3779634491510997</v>
      </c>
    </row>
    <row r="32" spans="1:15" x14ac:dyDescent="0.25">
      <c r="A32">
        <v>2.6789841251770001</v>
      </c>
      <c r="B32">
        <v>0.49367699657190001</v>
      </c>
      <c r="D32">
        <v>8.3238816818846999</v>
      </c>
      <c r="G32">
        <v>-1.7464662759709999</v>
      </c>
      <c r="H32">
        <v>7.3893931669528197</v>
      </c>
    </row>
    <row r="33" spans="1:7" x14ac:dyDescent="0.25">
      <c r="A33">
        <v>2.6949433853835298</v>
      </c>
      <c r="B33">
        <v>0.86876845738674402</v>
      </c>
      <c r="G33">
        <v>-1.7176338763915999</v>
      </c>
    </row>
    <row r="34" spans="1:7" x14ac:dyDescent="0.25">
      <c r="A34">
        <v>2.7337983936366999</v>
      </c>
      <c r="B34">
        <v>0.97753148467456996</v>
      </c>
      <c r="G34">
        <v>-1.6883851739419999</v>
      </c>
    </row>
    <row r="35" spans="1:7" x14ac:dyDescent="0.25">
      <c r="A35">
        <v>2.7464724466549</v>
      </c>
      <c r="B35">
        <v>2.2157167264989002</v>
      </c>
      <c r="G35">
        <v>-1.5141116595463</v>
      </c>
    </row>
    <row r="36" spans="1:7" x14ac:dyDescent="0.25">
      <c r="A36">
        <v>2.8134479810999999</v>
      </c>
      <c r="B36">
        <v>6.243676731751</v>
      </c>
      <c r="G36">
        <v>-1.49491194132</v>
      </c>
    </row>
    <row r="37" spans="1:7" x14ac:dyDescent="0.25">
      <c r="A37">
        <v>2.8189833498263002</v>
      </c>
      <c r="G37">
        <v>-1.4793565646242</v>
      </c>
    </row>
    <row r="38" spans="1:7" x14ac:dyDescent="0.25">
      <c r="A38">
        <v>2.9777554189500002</v>
      </c>
      <c r="G38">
        <v>-1.4311121415100001</v>
      </c>
    </row>
    <row r="39" spans="1:7" x14ac:dyDescent="0.25">
      <c r="A39">
        <v>3.2164891738731902</v>
      </c>
      <c r="G39">
        <v>-1.395662846447</v>
      </c>
    </row>
    <row r="40" spans="1:7" x14ac:dyDescent="0.25">
      <c r="A40">
        <v>3.2539361555382</v>
      </c>
      <c r="G40">
        <v>-1.29824865743285</v>
      </c>
    </row>
    <row r="41" spans="1:7" x14ac:dyDescent="0.25">
      <c r="A41">
        <v>3.3152389987520001</v>
      </c>
      <c r="G41">
        <v>-1.278315834434</v>
      </c>
    </row>
    <row r="42" spans="1:7" x14ac:dyDescent="0.25">
      <c r="A42">
        <v>3.3456141982780001</v>
      </c>
      <c r="G42">
        <v>-1.2375822724422001</v>
      </c>
    </row>
    <row r="43" spans="1:7" x14ac:dyDescent="0.25">
      <c r="A43">
        <v>3.566264529373</v>
      </c>
      <c r="G43">
        <v>-0.99662284187000005</v>
      </c>
    </row>
    <row r="44" spans="1:7" x14ac:dyDescent="0.25">
      <c r="A44">
        <v>3.5741423138939998</v>
      </c>
      <c r="G44">
        <v>-0.99346747281119996</v>
      </c>
    </row>
    <row r="45" spans="1:7" x14ac:dyDescent="0.25">
      <c r="A45">
        <v>3.6279776996290001</v>
      </c>
      <c r="G45">
        <v>-0.95869265714392005</v>
      </c>
    </row>
    <row r="46" spans="1:7" x14ac:dyDescent="0.25">
      <c r="A46">
        <v>4.2234496529719001</v>
      </c>
      <c r="G46">
        <v>-0.92241165914376</v>
      </c>
    </row>
    <row r="47" spans="1:7" x14ac:dyDescent="0.25">
      <c r="A47">
        <v>4.5355334856287</v>
      </c>
      <c r="G47">
        <v>-0.85641933965999995</v>
      </c>
    </row>
    <row r="48" spans="1:7" x14ac:dyDescent="0.25">
      <c r="A48">
        <v>4.5888591971970003</v>
      </c>
      <c r="G48">
        <v>-0.8469353182146</v>
      </c>
    </row>
    <row r="49" spans="1:7" x14ac:dyDescent="0.25">
      <c r="A49">
        <v>4.7566285654492004</v>
      </c>
      <c r="G49">
        <v>-0.776335199413277</v>
      </c>
    </row>
    <row r="50" spans="1:7" x14ac:dyDescent="0.25">
      <c r="G50">
        <v>0.58621197698487004</v>
      </c>
    </row>
    <row r="51" spans="1:7" x14ac:dyDescent="0.25">
      <c r="G51">
        <v>0.59466117137184005</v>
      </c>
    </row>
    <row r="52" spans="1:7" x14ac:dyDescent="0.25">
      <c r="G52">
        <v>0.67448176685824002</v>
      </c>
    </row>
    <row r="53" spans="1:7" x14ac:dyDescent="0.25">
      <c r="G53">
        <v>0.67853873149180999</v>
      </c>
    </row>
    <row r="54" spans="1:7" x14ac:dyDescent="0.25">
      <c r="G54">
        <v>0.69742618842290005</v>
      </c>
    </row>
    <row r="55" spans="1:7" x14ac:dyDescent="0.25">
      <c r="G55">
        <v>0.72752789231899995</v>
      </c>
    </row>
    <row r="56" spans="1:7" x14ac:dyDescent="0.25">
      <c r="G56">
        <v>0.72869673414142999</v>
      </c>
    </row>
    <row r="57" spans="1:7" x14ac:dyDescent="0.25">
      <c r="G57">
        <v>0.74463539933732004</v>
      </c>
    </row>
    <row r="58" spans="1:7" x14ac:dyDescent="0.25">
      <c r="G58">
        <v>0.83723372929286</v>
      </c>
    </row>
    <row r="59" spans="1:7" x14ac:dyDescent="0.25">
      <c r="G59">
        <v>0.93287678972775001</v>
      </c>
    </row>
    <row r="60" spans="1:7" x14ac:dyDescent="0.25">
      <c r="G60">
        <v>1.2446229565219999</v>
      </c>
    </row>
    <row r="61" spans="1:7" x14ac:dyDescent="0.25">
      <c r="G61">
        <v>1.2977713984999499</v>
      </c>
    </row>
    <row r="62" spans="1:7" x14ac:dyDescent="0.25">
      <c r="G62">
        <v>1.5676711826775001</v>
      </c>
    </row>
    <row r="63" spans="1:7" x14ac:dyDescent="0.25">
      <c r="G63">
        <v>1.8737141926940999</v>
      </c>
    </row>
    <row r="64" spans="1:7" x14ac:dyDescent="0.25">
      <c r="G64">
        <v>4.2867321612888798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64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509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0.41363275379395298</v>
      </c>
      <c r="B2">
        <v>-3.7688486622499999</v>
      </c>
      <c r="C2">
        <v>-8.3398755733919998</v>
      </c>
      <c r="D2">
        <v>-4.7172248655138</v>
      </c>
      <c r="E2">
        <v>-6.1174651276500001</v>
      </c>
      <c r="F2">
        <v>-3.4814961349944999</v>
      </c>
      <c r="G2">
        <v>-3.4777382992392298</v>
      </c>
      <c r="H2">
        <v>-2.5629953364318001</v>
      </c>
      <c r="I2">
        <v>-3.2995727822613001</v>
      </c>
      <c r="J2">
        <v>-5.7829556296621698</v>
      </c>
      <c r="K2">
        <v>-1.994314669714</v>
      </c>
      <c r="L2">
        <v>-2.811453577814</v>
      </c>
      <c r="M2">
        <v>-1.9614378244748001</v>
      </c>
      <c r="N2">
        <v>-0.64893982818524998</v>
      </c>
      <c r="O2">
        <v>-0.459567621466</v>
      </c>
      <c r="S2" s="14" t="s">
        <v>526</v>
      </c>
      <c r="T2">
        <f>MIN(A:A)</f>
        <v>0.41363275379395298</v>
      </c>
      <c r="U2">
        <f t="shared" ref="U2:AH2" si="0">MIN(B:B)</f>
        <v>-3.7688486622499999</v>
      </c>
      <c r="V2">
        <f t="shared" si="0"/>
        <v>-8.3398755733919998</v>
      </c>
      <c r="W2">
        <f t="shared" si="0"/>
        <v>-4.7172248655138</v>
      </c>
      <c r="X2">
        <f t="shared" si="0"/>
        <v>-6.1174651276500001</v>
      </c>
      <c r="Y2">
        <f t="shared" si="0"/>
        <v>-3.4814961349944999</v>
      </c>
      <c r="Z2">
        <f t="shared" si="0"/>
        <v>-3.4777382992392298</v>
      </c>
      <c r="AA2">
        <f t="shared" si="0"/>
        <v>-2.5629953364318001</v>
      </c>
      <c r="AB2">
        <f t="shared" si="0"/>
        <v>-3.2995727822613001</v>
      </c>
      <c r="AC2">
        <f t="shared" si="0"/>
        <v>-5.7829556296621698</v>
      </c>
      <c r="AD2">
        <f t="shared" si="0"/>
        <v>-1.994314669714</v>
      </c>
      <c r="AE2">
        <f t="shared" si="0"/>
        <v>-2.811453577814</v>
      </c>
      <c r="AF2">
        <f t="shared" si="0"/>
        <v>-1.9614378244748001</v>
      </c>
      <c r="AG2">
        <f t="shared" si="0"/>
        <v>-0.64893982818524998</v>
      </c>
      <c r="AH2">
        <f t="shared" si="0"/>
        <v>-0.459567621466</v>
      </c>
    </row>
    <row r="3" spans="1:34" x14ac:dyDescent="0.25">
      <c r="A3">
        <v>0.62922523971690003</v>
      </c>
      <c r="B3">
        <v>-3.7399125946299998</v>
      </c>
      <c r="C3">
        <v>-5.2883862639399997</v>
      </c>
      <c r="D3">
        <v>-3.9369815821562999</v>
      </c>
      <c r="E3">
        <v>-5.5184512392169998</v>
      </c>
      <c r="F3">
        <v>-2.83843841359</v>
      </c>
      <c r="G3">
        <v>-2.9583634717612202</v>
      </c>
      <c r="H3">
        <v>-2.1573489346647698</v>
      </c>
      <c r="I3">
        <v>-2.6454156144500001</v>
      </c>
      <c r="J3">
        <v>-4.6237463375664101</v>
      </c>
      <c r="K3">
        <v>-1.4842629521563</v>
      </c>
      <c r="L3">
        <v>-1.98363691316</v>
      </c>
      <c r="M3">
        <v>-1.8813888411999999</v>
      </c>
      <c r="N3">
        <v>-0.58728868885120999</v>
      </c>
      <c r="O3">
        <v>-0.44763416269811002</v>
      </c>
      <c r="S3" s="14" t="s">
        <v>527</v>
      </c>
      <c r="T3">
        <f>MAX(A:A)</f>
        <v>4.7566285654492004</v>
      </c>
      <c r="U3">
        <f t="shared" ref="U3:AH3" si="1">MAX(B:B)</f>
        <v>5.9597465984192999</v>
      </c>
      <c r="V3">
        <f t="shared" si="1"/>
        <v>6.7196225843972002</v>
      </c>
      <c r="W3">
        <f t="shared" si="1"/>
        <v>5.7193145645829997</v>
      </c>
      <c r="X3">
        <f t="shared" si="1"/>
        <v>3.7742479327449998</v>
      </c>
      <c r="Y3">
        <f t="shared" si="1"/>
        <v>5.9352388375557998</v>
      </c>
      <c r="Z3">
        <f t="shared" si="1"/>
        <v>0.83723372929286</v>
      </c>
      <c r="AA3">
        <f t="shared" si="1"/>
        <v>4.5361586548219996</v>
      </c>
      <c r="AB3">
        <f t="shared" si="1"/>
        <v>3.2799347920000002</v>
      </c>
      <c r="AC3">
        <f t="shared" si="1"/>
        <v>-1.8393646133315</v>
      </c>
      <c r="AD3">
        <f t="shared" si="1"/>
        <v>-0.24752691265099999</v>
      </c>
      <c r="AE3">
        <f t="shared" si="1"/>
        <v>-0.61923796255568997</v>
      </c>
      <c r="AF3">
        <f t="shared" si="1"/>
        <v>-0.57595154279399996</v>
      </c>
      <c r="AG3">
        <f t="shared" si="1"/>
        <v>-0.25734526517</v>
      </c>
      <c r="AH3">
        <f t="shared" si="1"/>
        <v>-0.2136545692945</v>
      </c>
    </row>
    <row r="4" spans="1:34" x14ac:dyDescent="0.25">
      <c r="A4">
        <v>0.64523559282326004</v>
      </c>
      <c r="B4">
        <v>-3.3235845233879999</v>
      </c>
      <c r="C4">
        <v>-4.6589667646199002</v>
      </c>
      <c r="D4">
        <v>-3.4993543395315498</v>
      </c>
      <c r="E4">
        <v>-5.46823966994</v>
      </c>
      <c r="F4">
        <v>-2.7645439883699998</v>
      </c>
      <c r="G4">
        <v>-2.9491855454145002</v>
      </c>
      <c r="H4">
        <v>-2.1223877766152799</v>
      </c>
      <c r="I4">
        <v>-1.7547124815194499</v>
      </c>
      <c r="J4">
        <v>-3.9911856916277002</v>
      </c>
      <c r="K4">
        <v>-1.2666949976999999</v>
      </c>
      <c r="L4">
        <v>-1.9744968816249</v>
      </c>
      <c r="M4">
        <v>-1.7138851529000001</v>
      </c>
      <c r="N4">
        <v>-0.51257467259650003</v>
      </c>
      <c r="O4">
        <v>-0.37766464541</v>
      </c>
      <c r="S4" s="14" t="s">
        <v>528</v>
      </c>
      <c r="T4">
        <f>AVERAGE(A:A)</f>
        <v>1.8179558141764229</v>
      </c>
      <c r="U4">
        <f t="shared" ref="U4:AH4" si="2">AVERAGE(B:B)</f>
        <v>-0.23815992341765468</v>
      </c>
      <c r="V4">
        <f t="shared" si="2"/>
        <v>1.2594696123091345</v>
      </c>
      <c r="W4">
        <f t="shared" si="2"/>
        <v>0.40490398778352871</v>
      </c>
      <c r="X4">
        <f t="shared" si="2"/>
        <v>-1.2204544678085671</v>
      </c>
      <c r="Y4">
        <f t="shared" si="2"/>
        <v>0.53473942194835788</v>
      </c>
      <c r="Z4">
        <f t="shared" si="2"/>
        <v>-1.3595248135489868</v>
      </c>
      <c r="AA4">
        <f t="shared" si="2"/>
        <v>1.0566994049432703</v>
      </c>
      <c r="AB4">
        <f t="shared" si="2"/>
        <v>0.79219133746819048</v>
      </c>
      <c r="AC4">
        <f t="shared" si="2"/>
        <v>-3.1821619838285793</v>
      </c>
      <c r="AD4">
        <f t="shared" si="2"/>
        <v>-0.88320166897112717</v>
      </c>
      <c r="AE4">
        <f t="shared" si="2"/>
        <v>-1.5850354352491638</v>
      </c>
      <c r="AF4">
        <f t="shared" si="2"/>
        <v>-1.3719755036829375</v>
      </c>
      <c r="AG4">
        <f t="shared" si="2"/>
        <v>-0.39557156100791868</v>
      </c>
      <c r="AH4">
        <f t="shared" si="2"/>
        <v>-0.32251263517147266</v>
      </c>
    </row>
    <row r="5" spans="1:34" x14ac:dyDescent="0.25">
      <c r="A5">
        <v>0.65654487742231205</v>
      </c>
      <c r="B5">
        <v>-2.9325941145249601</v>
      </c>
      <c r="C5">
        <v>-4.5412595972753103</v>
      </c>
      <c r="D5">
        <v>-3.46129919419</v>
      </c>
      <c r="E5">
        <v>-4.5626886846769397</v>
      </c>
      <c r="F5">
        <v>-2.7585126355273002</v>
      </c>
      <c r="G5">
        <v>-2.6423469424381998</v>
      </c>
      <c r="H5">
        <v>-1.7617941996527999</v>
      </c>
      <c r="I5">
        <v>-1.7382777612</v>
      </c>
      <c r="J5">
        <v>-3.8774236722620001</v>
      </c>
      <c r="K5">
        <v>-1.24159526783548</v>
      </c>
      <c r="L5">
        <v>-1.9254692964147</v>
      </c>
      <c r="M5">
        <v>-1.6985843851785001</v>
      </c>
      <c r="N5">
        <v>-0.47881861977491202</v>
      </c>
      <c r="O5">
        <v>-0.36153933583881998</v>
      </c>
      <c r="S5" s="14" t="s">
        <v>525</v>
      </c>
      <c r="T5">
        <f>COUNT(A2:A84)</f>
        <v>50</v>
      </c>
      <c r="U5">
        <f>COUNT(B2:B84)</f>
        <v>35</v>
      </c>
      <c r="V5">
        <f t="shared" ref="V5:AH5" si="3">COUNT(C2:C84)</f>
        <v>27</v>
      </c>
      <c r="W5">
        <f t="shared" si="3"/>
        <v>25</v>
      </c>
      <c r="X5">
        <f t="shared" si="3"/>
        <v>29</v>
      </c>
      <c r="Y5">
        <f t="shared" si="3"/>
        <v>63</v>
      </c>
      <c r="Z5">
        <f t="shared" si="3"/>
        <v>29</v>
      </c>
      <c r="AA5">
        <f t="shared" si="3"/>
        <v>31</v>
      </c>
      <c r="AB5">
        <f t="shared" si="3"/>
        <v>24</v>
      </c>
      <c r="AC5">
        <f t="shared" si="3"/>
        <v>19</v>
      </c>
      <c r="AD5">
        <f t="shared" si="3"/>
        <v>23</v>
      </c>
      <c r="AE5">
        <f t="shared" si="3"/>
        <v>23</v>
      </c>
      <c r="AF5">
        <f t="shared" si="3"/>
        <v>20</v>
      </c>
      <c r="AG5">
        <f t="shared" si="3"/>
        <v>14</v>
      </c>
      <c r="AH5">
        <f t="shared" si="3"/>
        <v>11</v>
      </c>
    </row>
    <row r="6" spans="1:34" x14ac:dyDescent="0.25">
      <c r="A6">
        <v>0.66212571715500002</v>
      </c>
      <c r="B6">
        <v>-2.76377727295516</v>
      </c>
      <c r="C6">
        <v>-4.3824179748240004</v>
      </c>
      <c r="D6">
        <v>-3.3458788984590999</v>
      </c>
      <c r="E6">
        <v>-4.5272282727700004</v>
      </c>
      <c r="F6">
        <v>-2.51539546887</v>
      </c>
      <c r="G6">
        <v>-2.61397835874256</v>
      </c>
      <c r="H6">
        <v>-1.752424254713</v>
      </c>
      <c r="I6">
        <v>0.74312421776213999</v>
      </c>
      <c r="J6">
        <v>-3.7336346162665</v>
      </c>
      <c r="K6">
        <v>-1.1487812989591999</v>
      </c>
      <c r="L6">
        <v>-1.9186815864466</v>
      </c>
      <c r="M6">
        <v>-1.674345179778</v>
      </c>
      <c r="N6">
        <v>-0.435682474524</v>
      </c>
      <c r="O6">
        <v>-0.34859993626278002</v>
      </c>
    </row>
    <row r="7" spans="1:34" x14ac:dyDescent="0.25">
      <c r="A7">
        <v>0.67197723637310003</v>
      </c>
      <c r="B7">
        <v>-2.6897988799719998</v>
      </c>
      <c r="C7">
        <v>-3.3883377316876002</v>
      </c>
      <c r="D7">
        <v>-3.1113741481299999</v>
      </c>
      <c r="E7">
        <v>-2.9676614477999999</v>
      </c>
      <c r="F7">
        <v>-2.1745251666456</v>
      </c>
      <c r="G7">
        <v>-2.4868239727753099</v>
      </c>
      <c r="H7">
        <v>-1.4488665536755001</v>
      </c>
      <c r="I7">
        <v>0.7951638111332</v>
      </c>
      <c r="J7">
        <v>-3.6765921458844</v>
      </c>
      <c r="K7">
        <v>-0.98775579125754998</v>
      </c>
      <c r="L7">
        <v>-1.8987991768628001</v>
      </c>
      <c r="M7">
        <v>-1.6465857558274</v>
      </c>
      <c r="N7">
        <v>-0.4136325336951</v>
      </c>
      <c r="O7">
        <v>-0.31252897649728001</v>
      </c>
    </row>
    <row r="8" spans="1:34" x14ac:dyDescent="0.25">
      <c r="A8">
        <v>0.74169142189917003</v>
      </c>
      <c r="B8">
        <v>-2.5186753883267601</v>
      </c>
      <c r="C8">
        <v>0.56943746562461095</v>
      </c>
      <c r="D8">
        <v>-1.6763588696828</v>
      </c>
      <c r="E8">
        <v>-2.46668289533</v>
      </c>
      <c r="F8">
        <v>-2.1384849878990999</v>
      </c>
      <c r="G8">
        <v>-2.3362536146730002</v>
      </c>
      <c r="H8">
        <v>0.79754736358577005</v>
      </c>
      <c r="I8">
        <v>0.81173144778626005</v>
      </c>
      <c r="J8">
        <v>-3.572378846456</v>
      </c>
      <c r="K8">
        <v>-0.93147676228559995</v>
      </c>
      <c r="L8">
        <v>-1.8824658752651999</v>
      </c>
      <c r="M8">
        <v>-1.6188413928389001</v>
      </c>
      <c r="N8">
        <v>-0.35529925817948599</v>
      </c>
      <c r="O8">
        <v>-0.29462871491786002</v>
      </c>
    </row>
    <row r="9" spans="1:34" x14ac:dyDescent="0.25">
      <c r="A9">
        <v>0.81427723446136002</v>
      </c>
      <c r="B9">
        <v>-2.2651386933855999</v>
      </c>
      <c r="C9">
        <v>0.58286574765537003</v>
      </c>
      <c r="D9">
        <v>-1.5527885522381</v>
      </c>
      <c r="E9">
        <v>-2.45744344484</v>
      </c>
      <c r="F9">
        <v>-2.1165598634428</v>
      </c>
      <c r="G9">
        <v>-1.9928176478724999</v>
      </c>
      <c r="H9">
        <v>0.95215883689549996</v>
      </c>
      <c r="I9">
        <v>0.84173382419129195</v>
      </c>
      <c r="J9">
        <v>-3.5345529869756001</v>
      </c>
      <c r="K9">
        <v>-0.91213941682489996</v>
      </c>
      <c r="L9">
        <v>-1.8769619297560001</v>
      </c>
      <c r="M9">
        <v>-1.5669327879299499</v>
      </c>
      <c r="N9">
        <v>-0.35478541263240998</v>
      </c>
      <c r="O9">
        <v>-0.26795232546699999</v>
      </c>
    </row>
    <row r="10" spans="1:34" x14ac:dyDescent="0.25">
      <c r="A10">
        <v>0.93769256122473699</v>
      </c>
      <c r="B10">
        <v>-1.9747672356129999</v>
      </c>
      <c r="C10">
        <v>0.61154939382950002</v>
      </c>
      <c r="D10">
        <v>-1.256517545895</v>
      </c>
      <c r="E10">
        <v>-2.3542734255933002</v>
      </c>
      <c r="F10">
        <v>-1.9928627763415701</v>
      </c>
      <c r="G10">
        <v>-1.8999332989254001</v>
      </c>
      <c r="H10">
        <v>0.9559586886168</v>
      </c>
      <c r="I10">
        <v>0.92884287457600001</v>
      </c>
      <c r="J10">
        <v>-3.3568277979685299</v>
      </c>
      <c r="K10">
        <v>-0.84155727388848101</v>
      </c>
      <c r="L10">
        <v>-1.8483441813099999</v>
      </c>
      <c r="M10">
        <v>-1.4636638165553</v>
      </c>
      <c r="N10">
        <v>-0.34943267876718398</v>
      </c>
      <c r="O10">
        <v>-0.23574742461133999</v>
      </c>
    </row>
    <row r="11" spans="1:34" x14ac:dyDescent="0.25">
      <c r="A11">
        <v>0.95988974797509996</v>
      </c>
      <c r="B11">
        <v>-1.924612288931</v>
      </c>
      <c r="C11">
        <v>0.64123582356389996</v>
      </c>
      <c r="D11">
        <v>-0.92221998414951001</v>
      </c>
      <c r="E11">
        <v>-2.227429218553</v>
      </c>
      <c r="F11">
        <v>-1.9429523552246</v>
      </c>
      <c r="G11">
        <v>-1.8277274792989999</v>
      </c>
      <c r="H11">
        <v>0.96979413248669999</v>
      </c>
      <c r="I11">
        <v>0.94768859836872998</v>
      </c>
      <c r="J11">
        <v>-3.3228519931517999</v>
      </c>
      <c r="K11">
        <v>-0.83667616115279997</v>
      </c>
      <c r="L11">
        <v>-1.6779358672212199</v>
      </c>
      <c r="M11">
        <v>-1.414847199584</v>
      </c>
      <c r="N11">
        <v>-0.29185177478520002</v>
      </c>
      <c r="O11">
        <v>-0.22812127442251001</v>
      </c>
    </row>
    <row r="12" spans="1:34" x14ac:dyDescent="0.25">
      <c r="A12">
        <v>0.98571967384496995</v>
      </c>
      <c r="B12">
        <v>-1.82242622662663</v>
      </c>
      <c r="C12">
        <v>0.71844449109999997</v>
      </c>
      <c r="D12">
        <v>1.116195872132</v>
      </c>
      <c r="E12">
        <v>-2.2191618855721802</v>
      </c>
      <c r="F12">
        <v>-1.924197936668</v>
      </c>
      <c r="G12">
        <v>-1.7925614148492</v>
      </c>
      <c r="H12">
        <v>1.1149361175870001</v>
      </c>
      <c r="I12">
        <v>0.99866173115430001</v>
      </c>
      <c r="J12">
        <v>-2.85473839229171</v>
      </c>
      <c r="K12">
        <v>-0.79757959247300003</v>
      </c>
      <c r="L12">
        <v>-1.5533594245</v>
      </c>
      <c r="M12">
        <v>-1.351617763121</v>
      </c>
      <c r="N12">
        <v>-0.286863991691236</v>
      </c>
      <c r="O12">
        <v>-0.2136545692945</v>
      </c>
    </row>
    <row r="13" spans="1:34" x14ac:dyDescent="0.25">
      <c r="A13">
        <v>0.98953625212814</v>
      </c>
      <c r="B13">
        <v>-1.7833248515119</v>
      </c>
      <c r="C13">
        <v>0.95257834942715602</v>
      </c>
      <c r="D13">
        <v>1.25232222165927</v>
      </c>
      <c r="E13">
        <v>-2.1822814428999999</v>
      </c>
      <c r="F13">
        <v>-1.858565281</v>
      </c>
      <c r="G13">
        <v>-1.7824316189588001</v>
      </c>
      <c r="H13">
        <v>1.19134359247698</v>
      </c>
      <c r="I13">
        <v>1.1165781537237001</v>
      </c>
      <c r="J13">
        <v>-2.7116942491263001</v>
      </c>
      <c r="K13">
        <v>-0.77686763568219996</v>
      </c>
      <c r="L13">
        <v>-1.484414693757</v>
      </c>
      <c r="M13">
        <v>-1.3299364787600001</v>
      </c>
      <c r="N13">
        <v>-0.28584318984200002</v>
      </c>
    </row>
    <row r="14" spans="1:34" x14ac:dyDescent="0.25">
      <c r="A14">
        <v>1.1169286912</v>
      </c>
      <c r="B14">
        <v>-1.6459866441767801</v>
      </c>
      <c r="C14">
        <v>1.1699729447750999</v>
      </c>
      <c r="D14">
        <v>1.4339746679383001</v>
      </c>
      <c r="E14">
        <v>-2.1552236729900001</v>
      </c>
      <c r="F14">
        <v>-1.81964788986792</v>
      </c>
      <c r="G14">
        <v>-1.7464662759709999</v>
      </c>
      <c r="H14">
        <v>1.2449482576171</v>
      </c>
      <c r="I14">
        <v>1.1452522999270001</v>
      </c>
      <c r="J14">
        <v>-2.4838193292168</v>
      </c>
      <c r="K14">
        <v>-0.76521965285912996</v>
      </c>
      <c r="L14">
        <v>-1.4337223719145999</v>
      </c>
      <c r="M14">
        <v>-1.2269832399530001</v>
      </c>
      <c r="N14">
        <v>-0.27964346541637403</v>
      </c>
    </row>
    <row r="15" spans="1:34" x14ac:dyDescent="0.25">
      <c r="A15">
        <v>1.1691351594238999</v>
      </c>
      <c r="B15">
        <v>-1.6117173768699999</v>
      </c>
      <c r="C15">
        <v>1.5762595641549999</v>
      </c>
      <c r="D15">
        <v>1.5569674675178999</v>
      </c>
      <c r="E15">
        <v>-2.1354378595657302</v>
      </c>
      <c r="F15">
        <v>-1.8186255967984</v>
      </c>
      <c r="G15">
        <v>-1.6883851739419999</v>
      </c>
      <c r="H15">
        <v>1.2677221988834999</v>
      </c>
      <c r="I15">
        <v>1.1549912961616</v>
      </c>
      <c r="J15">
        <v>-2.4467676233623998</v>
      </c>
      <c r="K15">
        <v>-0.76498134921399996</v>
      </c>
      <c r="L15">
        <v>-1.415321873396</v>
      </c>
      <c r="M15">
        <v>-1.1799536662193999</v>
      </c>
      <c r="N15">
        <v>-0.25734526517</v>
      </c>
    </row>
    <row r="16" spans="1:34" x14ac:dyDescent="0.25">
      <c r="A16">
        <v>1.1813747745865999</v>
      </c>
      <c r="B16">
        <v>-1.4892148595936301</v>
      </c>
      <c r="C16">
        <v>1.7995295571633001</v>
      </c>
      <c r="D16">
        <v>1.6899824662612</v>
      </c>
      <c r="E16">
        <v>-2.1338641839800001</v>
      </c>
      <c r="F16">
        <v>-1.615846597237</v>
      </c>
      <c r="G16">
        <v>-1.49491194132</v>
      </c>
      <c r="H16">
        <v>1.2737327813699999</v>
      </c>
      <c r="I16">
        <v>1.1716791826616499</v>
      </c>
      <c r="J16">
        <v>-2.3163374337759999</v>
      </c>
      <c r="K16">
        <v>-0.75546462329499997</v>
      </c>
      <c r="L16">
        <v>-1.3718464661737</v>
      </c>
      <c r="M16">
        <v>-1.1584397252758001</v>
      </c>
    </row>
    <row r="17" spans="1:13" x14ac:dyDescent="0.25">
      <c r="A17">
        <v>1.26244447316</v>
      </c>
      <c r="B17">
        <v>-1.3947119462253501</v>
      </c>
      <c r="C17">
        <v>3.2455841819889999</v>
      </c>
      <c r="D17">
        <v>1.8637292462999999</v>
      </c>
      <c r="E17">
        <v>-1.99822951499474</v>
      </c>
      <c r="F17">
        <v>-1.5794269758620001</v>
      </c>
      <c r="G17">
        <v>-1.4793565646242</v>
      </c>
      <c r="H17">
        <v>1.3213733317</v>
      </c>
      <c r="I17">
        <v>1.2436792416272</v>
      </c>
      <c r="J17">
        <v>-2.3139624241295902</v>
      </c>
      <c r="K17">
        <v>-0.74837499433960997</v>
      </c>
      <c r="L17">
        <v>-1.3582712475765</v>
      </c>
      <c r="M17">
        <v>-1.1328236253420001</v>
      </c>
    </row>
    <row r="18" spans="1:13" x14ac:dyDescent="0.25">
      <c r="A18">
        <v>1.2918622513733</v>
      </c>
      <c r="B18">
        <v>0.39278356726217101</v>
      </c>
      <c r="C18">
        <v>3.387996896867</v>
      </c>
      <c r="D18">
        <v>1.9128839258966699</v>
      </c>
      <c r="E18">
        <v>-1.987968494397</v>
      </c>
      <c r="F18">
        <v>-1.4746593798957</v>
      </c>
      <c r="G18">
        <v>-1.278315834434</v>
      </c>
      <c r="H18">
        <v>1.3429726275456799</v>
      </c>
      <c r="I18">
        <v>1.3797862643679999</v>
      </c>
      <c r="J18">
        <v>-2.13465438838799</v>
      </c>
      <c r="K18">
        <v>-0.74749899254574104</v>
      </c>
      <c r="L18">
        <v>-1.3424227464109999</v>
      </c>
      <c r="M18">
        <v>-0.99118982673287404</v>
      </c>
    </row>
    <row r="19" spans="1:13" x14ac:dyDescent="0.25">
      <c r="A19">
        <v>1.3371484794199999</v>
      </c>
      <c r="B19">
        <v>0.43272183158172001</v>
      </c>
      <c r="C19">
        <v>3.4279246744935898</v>
      </c>
      <c r="D19">
        <v>1.9877779872579999</v>
      </c>
      <c r="E19">
        <v>-1.8731832575268801</v>
      </c>
      <c r="F19">
        <v>-1.463458388866</v>
      </c>
      <c r="G19">
        <v>-1.2375822724422001</v>
      </c>
      <c r="H19">
        <v>1.41536459545</v>
      </c>
      <c r="I19">
        <v>1.4162563651527</v>
      </c>
      <c r="J19">
        <v>-1.8875895212995999</v>
      </c>
      <c r="K19">
        <v>-0.73373518144600003</v>
      </c>
      <c r="L19">
        <v>-1.3239949488799501</v>
      </c>
      <c r="M19">
        <v>-0.97483699674449997</v>
      </c>
    </row>
    <row r="20" spans="1:13" x14ac:dyDescent="0.25">
      <c r="A20">
        <v>1.3757577512279999</v>
      </c>
      <c r="B20">
        <v>0.45126854917551501</v>
      </c>
      <c r="C20">
        <v>3.4889724258981998</v>
      </c>
      <c r="D20">
        <v>2.12952325867517</v>
      </c>
      <c r="E20">
        <v>-1.6443126528567</v>
      </c>
      <c r="F20">
        <v>-1.2949722151555001</v>
      </c>
      <c r="G20">
        <v>-0.99662284187000005</v>
      </c>
      <c r="H20">
        <v>1.4817166238199999</v>
      </c>
      <c r="I20">
        <v>1.5844354117399999</v>
      </c>
      <c r="J20">
        <v>-1.8393646133315</v>
      </c>
      <c r="K20">
        <v>-0.73258495471575003</v>
      </c>
      <c r="L20">
        <v>-1.3117685464685001</v>
      </c>
      <c r="M20">
        <v>-0.87726487244932005</v>
      </c>
    </row>
    <row r="21" spans="1:13" x14ac:dyDescent="0.25">
      <c r="A21">
        <v>1.38953911489944</v>
      </c>
      <c r="B21">
        <v>0.49367699657190001</v>
      </c>
      <c r="C21">
        <v>3.6373825586639001</v>
      </c>
      <c r="D21">
        <v>2.1529148274100001</v>
      </c>
      <c r="E21">
        <v>-1.6196578564299999</v>
      </c>
      <c r="F21">
        <v>-1.265583431</v>
      </c>
      <c r="G21">
        <v>-0.95869265714392005</v>
      </c>
      <c r="H21">
        <v>1.494951838749</v>
      </c>
      <c r="I21">
        <v>1.8617932829599999</v>
      </c>
      <c r="K21">
        <v>-0.69625738153490002</v>
      </c>
      <c r="L21">
        <v>-1.2423158496366</v>
      </c>
      <c r="M21">
        <v>-0.57595154279399996</v>
      </c>
    </row>
    <row r="22" spans="1:13" x14ac:dyDescent="0.25">
      <c r="A22">
        <v>1.4392528358900001</v>
      </c>
      <c r="B22">
        <v>0.76649361341592603</v>
      </c>
      <c r="C22">
        <v>3.76154179654</v>
      </c>
      <c r="D22">
        <v>2.8975551398996</v>
      </c>
      <c r="E22">
        <v>0.87445351246946001</v>
      </c>
      <c r="F22">
        <v>-1.2455286124193601</v>
      </c>
      <c r="G22">
        <v>-0.92241165914376</v>
      </c>
      <c r="H22">
        <v>1.5414428278186001</v>
      </c>
      <c r="I22">
        <v>1.9624128926</v>
      </c>
      <c r="K22">
        <v>-0.45696269493528002</v>
      </c>
      <c r="L22">
        <v>-1.2315757653957999</v>
      </c>
    </row>
    <row r="23" spans="1:13" x14ac:dyDescent="0.25">
      <c r="A23">
        <v>1.4446295613158999</v>
      </c>
      <c r="B23">
        <v>0.76734677898699999</v>
      </c>
      <c r="C23">
        <v>4.6858643716822996</v>
      </c>
      <c r="D23">
        <v>3.7763895276919999</v>
      </c>
      <c r="E23">
        <v>1.54518613782</v>
      </c>
      <c r="F23">
        <v>-1.1628957364935999</v>
      </c>
      <c r="G23">
        <v>-0.85641933965999995</v>
      </c>
      <c r="H23">
        <v>1.5985629581</v>
      </c>
      <c r="I23">
        <v>2.1973855141269998</v>
      </c>
      <c r="K23">
        <v>-0.44532982887</v>
      </c>
      <c r="L23">
        <v>-0.96931782819000001</v>
      </c>
    </row>
    <row r="24" spans="1:13" x14ac:dyDescent="0.25">
      <c r="A24">
        <v>1.4481416747923199</v>
      </c>
      <c r="B24">
        <v>0.812785437986</v>
      </c>
      <c r="C24">
        <v>5.6434424385929001</v>
      </c>
      <c r="D24">
        <v>3.8912532339496999</v>
      </c>
      <c r="E24">
        <v>1.5918735198989999</v>
      </c>
      <c r="F24">
        <v>-1.1355944973600001</v>
      </c>
      <c r="G24">
        <v>-0.8469353182146</v>
      </c>
      <c r="H24">
        <v>1.655651732428</v>
      </c>
      <c r="I24">
        <v>2.8694395366465502</v>
      </c>
      <c r="K24">
        <v>-0.24752691265099999</v>
      </c>
      <c r="L24">
        <v>-0.61923796255568997</v>
      </c>
    </row>
    <row r="25" spans="1:13" x14ac:dyDescent="0.25">
      <c r="A25">
        <v>1.4875136816744501</v>
      </c>
      <c r="B25">
        <v>0.81986748351509997</v>
      </c>
      <c r="C25">
        <v>5.7147845651797002</v>
      </c>
      <c r="D25">
        <v>4.2218132673615703</v>
      </c>
      <c r="E25">
        <v>2.7716116355699998</v>
      </c>
      <c r="F25">
        <v>-1.1215459547313</v>
      </c>
      <c r="G25">
        <v>-0.776335199413277</v>
      </c>
      <c r="H25">
        <v>1.767454553366</v>
      </c>
      <c r="I25">
        <v>3.2799347920000002</v>
      </c>
    </row>
    <row r="26" spans="1:13" x14ac:dyDescent="0.25">
      <c r="A26">
        <v>1.5788448944263</v>
      </c>
      <c r="B26">
        <v>0.82511729633278996</v>
      </c>
      <c r="C26">
        <v>5.9824461697681004</v>
      </c>
      <c r="D26">
        <v>5.7193145645829997</v>
      </c>
      <c r="E26">
        <v>2.8273423171699998</v>
      </c>
      <c r="F26">
        <v>-1.1192625199120001</v>
      </c>
      <c r="G26">
        <v>0.67448176685824002</v>
      </c>
      <c r="H26">
        <v>1.9575667474689999</v>
      </c>
    </row>
    <row r="27" spans="1:13" x14ac:dyDescent="0.25">
      <c r="A27">
        <v>1.6451839640000001</v>
      </c>
      <c r="B27">
        <v>0.85423822223182</v>
      </c>
      <c r="C27">
        <v>6.2874874367196201</v>
      </c>
      <c r="E27">
        <v>2.8371648723549998</v>
      </c>
      <c r="F27">
        <v>-0.94979942931811201</v>
      </c>
      <c r="G27">
        <v>0.67853873149180999</v>
      </c>
      <c r="H27">
        <v>2.1112812527826001</v>
      </c>
    </row>
    <row r="28" spans="1:13" x14ac:dyDescent="0.25">
      <c r="A28">
        <v>1.6731581287737001</v>
      </c>
      <c r="B28">
        <v>0.86876845738674402</v>
      </c>
      <c r="C28">
        <v>6.7196225843972002</v>
      </c>
      <c r="E28">
        <v>3.4132493597239999</v>
      </c>
      <c r="F28">
        <v>-0.87895822397650003</v>
      </c>
      <c r="G28">
        <v>0.69742618842290005</v>
      </c>
      <c r="H28">
        <v>2.3128227938484001</v>
      </c>
    </row>
    <row r="29" spans="1:13" x14ac:dyDescent="0.25">
      <c r="A29">
        <v>1.7353491312223801</v>
      </c>
      <c r="B29">
        <v>0.97753148467456996</v>
      </c>
      <c r="E29">
        <v>3.5885753933825701</v>
      </c>
      <c r="F29">
        <v>-0.46997538912631998</v>
      </c>
      <c r="G29">
        <v>0.72869673414142999</v>
      </c>
      <c r="H29">
        <v>3.2292957924213002</v>
      </c>
    </row>
    <row r="30" spans="1:13" x14ac:dyDescent="0.25">
      <c r="A30">
        <v>1.7664522486359999</v>
      </c>
      <c r="B30">
        <v>1.4176796813520001</v>
      </c>
      <c r="E30">
        <v>3.7742479327449998</v>
      </c>
      <c r="F30">
        <v>0.92262824370999996</v>
      </c>
      <c r="G30">
        <v>0.83723372929286</v>
      </c>
      <c r="H30">
        <v>3.2789543816919999</v>
      </c>
    </row>
    <row r="31" spans="1:13" x14ac:dyDescent="0.25">
      <c r="A31">
        <v>1.87872776161</v>
      </c>
      <c r="B31">
        <v>1.78216169416</v>
      </c>
      <c r="F31">
        <v>0.96444887351999997</v>
      </c>
      <c r="H31">
        <v>3.7497859274626002</v>
      </c>
    </row>
    <row r="32" spans="1:13" x14ac:dyDescent="0.25">
      <c r="A32">
        <v>1.896836149679</v>
      </c>
      <c r="B32">
        <v>2.33628183178</v>
      </c>
      <c r="F32">
        <v>1.2393379841837</v>
      </c>
      <c r="H32">
        <v>4.5361586548219996</v>
      </c>
    </row>
    <row r="33" spans="1:6" x14ac:dyDescent="0.25">
      <c r="A33">
        <v>1.9256399371499899</v>
      </c>
      <c r="B33">
        <v>2.3818935526895002</v>
      </c>
      <c r="F33">
        <v>1.263567672225</v>
      </c>
    </row>
    <row r="34" spans="1:6" x14ac:dyDescent="0.25">
      <c r="A34">
        <v>1.9323212516746</v>
      </c>
      <c r="B34">
        <v>2.3894521958527002</v>
      </c>
      <c r="F34">
        <v>1.2862247683710999</v>
      </c>
    </row>
    <row r="35" spans="1:6" x14ac:dyDescent="0.25">
      <c r="A35">
        <v>1.97585948157127</v>
      </c>
      <c r="B35">
        <v>4.5836789659881001</v>
      </c>
      <c r="F35">
        <v>1.3432239325369999</v>
      </c>
    </row>
    <row r="36" spans="1:6" x14ac:dyDescent="0.25">
      <c r="A36">
        <v>1.986767724815</v>
      </c>
      <c r="B36">
        <v>5.9597465984192999</v>
      </c>
      <c r="F36">
        <v>1.4716374942611701</v>
      </c>
    </row>
    <row r="37" spans="1:6" x14ac:dyDescent="0.25">
      <c r="A37">
        <v>2.1947323138188</v>
      </c>
      <c r="F37">
        <v>1.49248596343759</v>
      </c>
    </row>
    <row r="38" spans="1:6" x14ac:dyDescent="0.25">
      <c r="A38">
        <v>2.23751839919447</v>
      </c>
      <c r="F38">
        <v>1.5642955175964599</v>
      </c>
    </row>
    <row r="39" spans="1:6" x14ac:dyDescent="0.25">
      <c r="A39">
        <v>2.2522174881370001</v>
      </c>
      <c r="F39">
        <v>1.58625536569</v>
      </c>
    </row>
    <row r="40" spans="1:6" x14ac:dyDescent="0.25">
      <c r="A40">
        <v>2.257296543881</v>
      </c>
      <c r="F40">
        <v>1.67939166966</v>
      </c>
    </row>
    <row r="41" spans="1:6" x14ac:dyDescent="0.25">
      <c r="A41">
        <v>2.3978922289</v>
      </c>
      <c r="F41">
        <v>1.681253762946</v>
      </c>
    </row>
    <row r="42" spans="1:6" x14ac:dyDescent="0.25">
      <c r="A42">
        <v>2.44889915789989</v>
      </c>
      <c r="F42">
        <v>1.6844829259572001</v>
      </c>
    </row>
    <row r="43" spans="1:6" x14ac:dyDescent="0.25">
      <c r="A43">
        <v>2.6453285838234</v>
      </c>
      <c r="F43">
        <v>1.834699127783</v>
      </c>
    </row>
    <row r="44" spans="1:6" x14ac:dyDescent="0.25">
      <c r="A44">
        <v>2.6789841251770001</v>
      </c>
      <c r="F44">
        <v>2.1577379817911</v>
      </c>
    </row>
    <row r="45" spans="1:6" x14ac:dyDescent="0.25">
      <c r="A45">
        <v>2.6949433853835298</v>
      </c>
      <c r="F45">
        <v>2.1836349988379999</v>
      </c>
    </row>
    <row r="46" spans="1:6" x14ac:dyDescent="0.25">
      <c r="A46">
        <v>2.9682975739890001</v>
      </c>
      <c r="F46">
        <v>2.2549552458950002</v>
      </c>
    </row>
    <row r="47" spans="1:6" x14ac:dyDescent="0.25">
      <c r="A47">
        <v>3.566264529373</v>
      </c>
      <c r="F47">
        <v>2.3381491315343399</v>
      </c>
    </row>
    <row r="48" spans="1:6" x14ac:dyDescent="0.25">
      <c r="A48">
        <v>3.6279776996290001</v>
      </c>
      <c r="F48">
        <v>2.3554427975336001</v>
      </c>
    </row>
    <row r="49" spans="1:6" x14ac:dyDescent="0.25">
      <c r="A49">
        <v>4.5355334856287</v>
      </c>
      <c r="F49">
        <v>2.3757318871120998</v>
      </c>
    </row>
    <row r="50" spans="1:6" x14ac:dyDescent="0.25">
      <c r="A50">
        <v>4.5888591971970003</v>
      </c>
      <c r="F50">
        <v>2.4756685779762999</v>
      </c>
    </row>
    <row r="51" spans="1:6" x14ac:dyDescent="0.25">
      <c r="A51">
        <v>4.7566285654492004</v>
      </c>
      <c r="F51">
        <v>2.5685964933099998</v>
      </c>
    </row>
    <row r="52" spans="1:6" x14ac:dyDescent="0.25">
      <c r="F52">
        <v>2.5822718427162901</v>
      </c>
    </row>
    <row r="53" spans="1:6" x14ac:dyDescent="0.25">
      <c r="F53">
        <v>2.6699195427382998</v>
      </c>
    </row>
    <row r="54" spans="1:6" x14ac:dyDescent="0.25">
      <c r="F54">
        <v>2.6893539118761902</v>
      </c>
    </row>
    <row r="55" spans="1:6" x14ac:dyDescent="0.25">
      <c r="F55">
        <v>2.7695245337859999</v>
      </c>
    </row>
    <row r="56" spans="1:6" x14ac:dyDescent="0.25">
      <c r="F56">
        <v>2.8449719859821001</v>
      </c>
    </row>
    <row r="57" spans="1:6" x14ac:dyDescent="0.25">
      <c r="F57">
        <v>2.8572444372630001</v>
      </c>
    </row>
    <row r="58" spans="1:6" x14ac:dyDescent="0.25">
      <c r="F58">
        <v>2.8837944375646001</v>
      </c>
    </row>
    <row r="59" spans="1:6" x14ac:dyDescent="0.25">
      <c r="F59">
        <v>2.9571641716378001</v>
      </c>
    </row>
    <row r="60" spans="1:6" x14ac:dyDescent="0.25">
      <c r="F60">
        <v>3.1719595824</v>
      </c>
    </row>
    <row r="61" spans="1:6" x14ac:dyDescent="0.25">
      <c r="F61">
        <v>3.5323322431580002</v>
      </c>
    </row>
    <row r="62" spans="1:6" x14ac:dyDescent="0.25">
      <c r="F62">
        <v>4.1351613131800002</v>
      </c>
    </row>
    <row r="63" spans="1:6" x14ac:dyDescent="0.25">
      <c r="F63">
        <v>4.8581121736129997</v>
      </c>
    </row>
    <row r="64" spans="1:6" x14ac:dyDescent="0.25">
      <c r="F64">
        <v>5.9352388375557998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67"/>
  <sheetViews>
    <sheetView topLeftCell="F1" zoomScaleNormal="100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516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1.2918622513733</v>
      </c>
      <c r="B2">
        <v>-3.7688486622499999</v>
      </c>
      <c r="C2">
        <v>-7.9849147336464403</v>
      </c>
      <c r="D2">
        <v>-4.7172248655138</v>
      </c>
      <c r="E2">
        <v>-6.1174651276500001</v>
      </c>
      <c r="F2">
        <v>-3.4814961349944999</v>
      </c>
      <c r="G2">
        <v>-3.4777382992392298</v>
      </c>
      <c r="H2">
        <v>-3.6412835687649698</v>
      </c>
      <c r="I2">
        <v>-1.7547124815194499</v>
      </c>
      <c r="J2">
        <v>-5.7829556296621698</v>
      </c>
      <c r="K2">
        <v>-2.1866337269569298</v>
      </c>
      <c r="L2">
        <v>-2.811453577814</v>
      </c>
      <c r="M2">
        <v>-1.9768977668515999</v>
      </c>
      <c r="N2">
        <v>-0.64893982818524998</v>
      </c>
      <c r="O2">
        <v>-0.459567621466</v>
      </c>
      <c r="S2" s="14" t="s">
        <v>526</v>
      </c>
      <c r="T2">
        <f>MIN(A:A)</f>
        <v>1.2918622513733</v>
      </c>
      <c r="U2">
        <f t="shared" ref="U2:AH2" si="0">MIN(B:B)</f>
        <v>-3.7688486622499999</v>
      </c>
      <c r="V2">
        <f t="shared" si="0"/>
        <v>-7.9849147336464403</v>
      </c>
      <c r="W2">
        <f t="shared" si="0"/>
        <v>-4.7172248655138</v>
      </c>
      <c r="X2">
        <f t="shared" si="0"/>
        <v>-6.1174651276500001</v>
      </c>
      <c r="Y2">
        <f t="shared" si="0"/>
        <v>-3.4814961349944999</v>
      </c>
      <c r="Z2">
        <f t="shared" si="0"/>
        <v>-3.4777382992392298</v>
      </c>
      <c r="AA2">
        <f t="shared" si="0"/>
        <v>-3.6412835687649698</v>
      </c>
      <c r="AB2">
        <f t="shared" si="0"/>
        <v>-1.7547124815194499</v>
      </c>
      <c r="AC2">
        <f t="shared" si="0"/>
        <v>-5.7829556296621698</v>
      </c>
      <c r="AD2">
        <f t="shared" si="0"/>
        <v>-2.1866337269569298</v>
      </c>
      <c r="AE2">
        <f t="shared" si="0"/>
        <v>-2.811453577814</v>
      </c>
      <c r="AF2">
        <f t="shared" si="0"/>
        <v>-1.9768977668515999</v>
      </c>
      <c r="AG2">
        <f t="shared" si="0"/>
        <v>-0.64893982818524998</v>
      </c>
      <c r="AH2">
        <f t="shared" si="0"/>
        <v>-0.459567621466</v>
      </c>
    </row>
    <row r="3" spans="1:34" x14ac:dyDescent="0.25">
      <c r="A3">
        <v>1.3371484794199999</v>
      </c>
      <c r="B3">
        <v>-3.7257579715159999</v>
      </c>
      <c r="C3">
        <v>-5.5213332242998003</v>
      </c>
      <c r="D3">
        <v>-4.3383681863838</v>
      </c>
      <c r="E3">
        <v>-5.5184512392169998</v>
      </c>
      <c r="F3">
        <v>-2.83843841359</v>
      </c>
      <c r="G3">
        <v>-3.1435229582389201</v>
      </c>
      <c r="H3">
        <v>-3.618843326415</v>
      </c>
      <c r="I3">
        <v>-1.7382777612</v>
      </c>
      <c r="J3">
        <v>-4.6237463375664101</v>
      </c>
      <c r="K3">
        <v>-1.5581219972256499</v>
      </c>
      <c r="L3">
        <v>-2.2897571792117</v>
      </c>
      <c r="M3">
        <v>-1.9614378244748001</v>
      </c>
      <c r="N3">
        <v>-0.58728868885120999</v>
      </c>
      <c r="O3">
        <v>-0.44763416269811002</v>
      </c>
      <c r="S3" s="14" t="s">
        <v>527</v>
      </c>
      <c r="T3">
        <f>MAX(A:A)</f>
        <v>4.7566285654492004</v>
      </c>
      <c r="U3">
        <f t="shared" ref="U3:AH3" si="1">MAX(B:B)</f>
        <v>5.9597465984192999</v>
      </c>
      <c r="V3">
        <f t="shared" si="1"/>
        <v>7.1644578143939004</v>
      </c>
      <c r="W3">
        <f t="shared" si="1"/>
        <v>5.1253951469858103</v>
      </c>
      <c r="X3">
        <f t="shared" si="1"/>
        <v>3.7742479327449998</v>
      </c>
      <c r="Y3">
        <f t="shared" si="1"/>
        <v>5.9352388375557998</v>
      </c>
      <c r="Z3">
        <f t="shared" si="1"/>
        <v>1.5676711826775001</v>
      </c>
      <c r="AA3">
        <f t="shared" si="1"/>
        <v>3.2789543816919999</v>
      </c>
      <c r="AB3">
        <f t="shared" si="1"/>
        <v>3.4863352745396101</v>
      </c>
      <c r="AC3">
        <f t="shared" si="1"/>
        <v>2.624325788583</v>
      </c>
      <c r="AD3">
        <f t="shared" si="1"/>
        <v>-0.31123256333926003</v>
      </c>
      <c r="AE3">
        <f t="shared" si="1"/>
        <v>-0.41788567733185</v>
      </c>
      <c r="AF3">
        <f t="shared" si="1"/>
        <v>-0.46633294624799998</v>
      </c>
      <c r="AG3">
        <f t="shared" si="1"/>
        <v>-0.19678766353348001</v>
      </c>
      <c r="AH3">
        <f t="shared" si="1"/>
        <v>-0.2136545692945</v>
      </c>
    </row>
    <row r="4" spans="1:34" x14ac:dyDescent="0.25">
      <c r="A4">
        <v>1.4481416747923199</v>
      </c>
      <c r="B4">
        <v>-3.63521787616</v>
      </c>
      <c r="C4">
        <v>-4.6589667646199002</v>
      </c>
      <c r="D4">
        <v>-3.9929357525159999</v>
      </c>
      <c r="E4">
        <v>-5.46823966994</v>
      </c>
      <c r="F4">
        <v>-2.7645439883699998</v>
      </c>
      <c r="G4">
        <v>-3.1425392474715501</v>
      </c>
      <c r="H4">
        <v>-3.6114253889399999</v>
      </c>
      <c r="I4">
        <v>-0.92485938447420002</v>
      </c>
      <c r="J4">
        <v>-4.1776959938453304</v>
      </c>
      <c r="K4">
        <v>-1.3993251978500001</v>
      </c>
      <c r="L4">
        <v>-2.247267316796</v>
      </c>
      <c r="M4">
        <v>-1.7138851529000001</v>
      </c>
      <c r="N4">
        <v>-0.54237769288990001</v>
      </c>
      <c r="O4">
        <v>-0.38843794778500002</v>
      </c>
      <c r="S4" s="14" t="s">
        <v>528</v>
      </c>
      <c r="T4">
        <f>AVERAGE(A:A)</f>
        <v>2.6846621432560545</v>
      </c>
      <c r="U4">
        <f t="shared" ref="U4:AH4" si="2">AVERAGE(B:B)</f>
        <v>-0.72488038665653376</v>
      </c>
      <c r="V4">
        <f t="shared" si="2"/>
        <v>1.9435997986159834</v>
      </c>
      <c r="W4">
        <f t="shared" si="2"/>
        <v>0.13423467103490466</v>
      </c>
      <c r="X4">
        <f t="shared" si="2"/>
        <v>-1.0037831866802791</v>
      </c>
      <c r="Y4">
        <f t="shared" si="2"/>
        <v>2.5089998884585706E-2</v>
      </c>
      <c r="Z4">
        <f t="shared" si="2"/>
        <v>-1.6991344443498824</v>
      </c>
      <c r="AA4">
        <f t="shared" si="2"/>
        <v>0.47575747371365168</v>
      </c>
      <c r="AB4">
        <f t="shared" si="2"/>
        <v>1.1196535942048971</v>
      </c>
      <c r="AC4">
        <f t="shared" si="2"/>
        <v>-1.5908303902351342</v>
      </c>
      <c r="AD4">
        <f t="shared" si="2"/>
        <v>-0.73102337806452411</v>
      </c>
      <c r="AE4">
        <f t="shared" si="2"/>
        <v>-1.5015575976849869</v>
      </c>
      <c r="AF4">
        <f t="shared" si="2"/>
        <v>-1.2683604707631948</v>
      </c>
      <c r="AG4">
        <f t="shared" si="2"/>
        <v>-0.3848232354605377</v>
      </c>
      <c r="AH4">
        <f t="shared" si="2"/>
        <v>-0.28758367537306262</v>
      </c>
    </row>
    <row r="5" spans="1:34" x14ac:dyDescent="0.25">
      <c r="A5">
        <v>1.7353491312223801</v>
      </c>
      <c r="B5">
        <v>-3.4584771499350002</v>
      </c>
      <c r="C5">
        <v>-4.5412595972753103</v>
      </c>
      <c r="D5">
        <v>-3.3749465278350002</v>
      </c>
      <c r="E5">
        <v>-4.6555312227629004</v>
      </c>
      <c r="F5">
        <v>-2.7585126355273002</v>
      </c>
      <c r="G5">
        <v>-2.9583634717612202</v>
      </c>
      <c r="H5">
        <v>-3.5693822919675</v>
      </c>
      <c r="I5">
        <v>-0.786129542214691</v>
      </c>
      <c r="J5">
        <v>-3.8774236722620001</v>
      </c>
      <c r="K5">
        <v>-1.24159526783548</v>
      </c>
      <c r="L5">
        <v>-1.9877278533562599</v>
      </c>
      <c r="M5">
        <v>-1.6985843851785001</v>
      </c>
      <c r="N5">
        <v>-0.48177391852233598</v>
      </c>
      <c r="O5">
        <v>-0.36153933583881998</v>
      </c>
      <c r="S5" s="14" t="s">
        <v>525</v>
      </c>
      <c r="T5">
        <f>COUNT(A2:A84)</f>
        <v>39</v>
      </c>
      <c r="U5">
        <f>COUNT(B2:B84)</f>
        <v>38</v>
      </c>
      <c r="V5">
        <f t="shared" ref="V5:AH5" si="3">COUNT(C2:C84)</f>
        <v>32</v>
      </c>
      <c r="W5">
        <f t="shared" si="3"/>
        <v>35</v>
      </c>
      <c r="X5">
        <f t="shared" si="3"/>
        <v>66</v>
      </c>
      <c r="Y5">
        <f t="shared" si="3"/>
        <v>29</v>
      </c>
      <c r="Z5">
        <f t="shared" si="3"/>
        <v>30</v>
      </c>
      <c r="AA5">
        <f t="shared" si="3"/>
        <v>26</v>
      </c>
      <c r="AB5">
        <f t="shared" si="3"/>
        <v>17</v>
      </c>
      <c r="AC5">
        <f t="shared" si="3"/>
        <v>22</v>
      </c>
      <c r="AD5">
        <f t="shared" si="3"/>
        <v>27</v>
      </c>
      <c r="AE5">
        <f t="shared" si="3"/>
        <v>23</v>
      </c>
      <c r="AF5">
        <f t="shared" si="3"/>
        <v>20</v>
      </c>
      <c r="AG5">
        <f t="shared" si="3"/>
        <v>18</v>
      </c>
      <c r="AH5">
        <f t="shared" si="3"/>
        <v>19</v>
      </c>
    </row>
    <row r="6" spans="1:34" x14ac:dyDescent="0.25">
      <c r="A6">
        <v>1.9256399371499899</v>
      </c>
      <c r="B6">
        <v>-3.3235845233879999</v>
      </c>
      <c r="C6">
        <v>-3.4837137195593799</v>
      </c>
      <c r="D6">
        <v>-3.3458788984590999</v>
      </c>
      <c r="E6">
        <v>-4.5626886846769397</v>
      </c>
      <c r="F6">
        <v>-2.51539546887</v>
      </c>
      <c r="G6">
        <v>-2.7241331767849002</v>
      </c>
      <c r="H6">
        <v>-2.5629953364318001</v>
      </c>
      <c r="I6">
        <v>0.74312421776213999</v>
      </c>
      <c r="J6">
        <v>-3.7123286287397002</v>
      </c>
      <c r="K6">
        <v>-1.199584194314</v>
      </c>
      <c r="L6">
        <v>-1.9744968816249</v>
      </c>
      <c r="M6">
        <v>-1.61826489729</v>
      </c>
      <c r="N6">
        <v>-0.43583928646879999</v>
      </c>
      <c r="O6">
        <v>-0.34859993626278002</v>
      </c>
    </row>
    <row r="7" spans="1:34" x14ac:dyDescent="0.25">
      <c r="A7">
        <v>1.9323212516746</v>
      </c>
      <c r="B7">
        <v>-3.2948336817533899</v>
      </c>
      <c r="C7">
        <v>-3.3883377316876002</v>
      </c>
      <c r="D7">
        <v>-3.3366234625818998</v>
      </c>
      <c r="E7">
        <v>-4.5272282727700004</v>
      </c>
      <c r="F7">
        <v>-2.1745251666456</v>
      </c>
      <c r="G7">
        <v>-2.6423469424381998</v>
      </c>
      <c r="H7">
        <v>-2.1573489346647698</v>
      </c>
      <c r="I7">
        <v>0.78427791353559995</v>
      </c>
      <c r="J7">
        <v>-3.6765921458844</v>
      </c>
      <c r="K7">
        <v>-0.79757959247300003</v>
      </c>
      <c r="L7">
        <v>-1.8987991768628001</v>
      </c>
      <c r="M7">
        <v>-1.6176164134833999</v>
      </c>
      <c r="N7">
        <v>-0.43545174741881798</v>
      </c>
      <c r="O7">
        <v>-0.32473826275000001</v>
      </c>
    </row>
    <row r="8" spans="1:34" x14ac:dyDescent="0.25">
      <c r="A8">
        <v>1.97585948157127</v>
      </c>
      <c r="B8">
        <v>-2.9148148699629002</v>
      </c>
      <c r="C8">
        <v>-2.7311198527460001</v>
      </c>
      <c r="D8">
        <v>-3.283656133799</v>
      </c>
      <c r="E8">
        <v>-3.5799835348509998</v>
      </c>
      <c r="F8">
        <v>-2.1384849878990999</v>
      </c>
      <c r="G8">
        <v>-2.61397835874256</v>
      </c>
      <c r="H8">
        <v>-2.1223877766152799</v>
      </c>
      <c r="I8">
        <v>0.84173382419129195</v>
      </c>
      <c r="J8">
        <v>-3.3971217236581999</v>
      </c>
      <c r="K8">
        <v>-0.77686763568219996</v>
      </c>
      <c r="L8">
        <v>-1.8769619297560001</v>
      </c>
      <c r="M8">
        <v>-1.58983357781733</v>
      </c>
      <c r="N8">
        <v>-0.42461613243492002</v>
      </c>
      <c r="O8">
        <v>-0.29462871491786002</v>
      </c>
    </row>
    <row r="9" spans="1:34" x14ac:dyDescent="0.25">
      <c r="A9">
        <v>2.1345456529218501</v>
      </c>
      <c r="B9">
        <v>-2.8625897362599999</v>
      </c>
      <c r="C9">
        <v>0.58286574765537003</v>
      </c>
      <c r="D9">
        <v>-3.1822583344240001</v>
      </c>
      <c r="E9">
        <v>-3.5637215178430002</v>
      </c>
      <c r="F9">
        <v>-1.9928627763415701</v>
      </c>
      <c r="G9">
        <v>-2.6124782451256001</v>
      </c>
      <c r="H9">
        <v>-1.29135193273</v>
      </c>
      <c r="I9">
        <v>1.1597268363844</v>
      </c>
      <c r="J9">
        <v>-2.9817457176220001</v>
      </c>
      <c r="K9">
        <v>-0.76521965285912996</v>
      </c>
      <c r="L9">
        <v>-1.6339528561700001</v>
      </c>
      <c r="M9">
        <v>-1.5368327548981</v>
      </c>
      <c r="N9">
        <v>-0.37825649914142001</v>
      </c>
      <c r="O9">
        <v>-0.26881218367210002</v>
      </c>
    </row>
    <row r="10" spans="1:34" x14ac:dyDescent="0.25">
      <c r="A10">
        <v>2.1947323138188</v>
      </c>
      <c r="B10">
        <v>-2.84689845189979</v>
      </c>
      <c r="C10">
        <v>0.61154939382950002</v>
      </c>
      <c r="D10">
        <v>-3.1141994437544001</v>
      </c>
      <c r="E10">
        <v>-3.3523354964565999</v>
      </c>
      <c r="F10">
        <v>-1.9429523552246</v>
      </c>
      <c r="G10">
        <v>-2.5698355971216</v>
      </c>
      <c r="H10">
        <v>-1.1344672831837099</v>
      </c>
      <c r="I10">
        <v>1.1716791826616499</v>
      </c>
      <c r="J10">
        <v>-2.85473839229171</v>
      </c>
      <c r="K10">
        <v>-0.76498134921399996</v>
      </c>
      <c r="L10">
        <v>-1.6324785432460001</v>
      </c>
      <c r="M10">
        <v>-1.4936365939309999</v>
      </c>
      <c r="N10">
        <v>-0.35567353588169998</v>
      </c>
      <c r="O10">
        <v>-0.26795232546699999</v>
      </c>
    </row>
    <row r="11" spans="1:34" x14ac:dyDescent="0.25">
      <c r="A11">
        <v>2.2166875995300002</v>
      </c>
      <c r="B11">
        <v>-2.8347938314532999</v>
      </c>
      <c r="C11">
        <v>0.95257834942715602</v>
      </c>
      <c r="D11">
        <v>-2.6693672376371498</v>
      </c>
      <c r="E11">
        <v>-3.2551188328781002</v>
      </c>
      <c r="F11">
        <v>-1.924197936668</v>
      </c>
      <c r="G11">
        <v>-2.5165567256200001</v>
      </c>
      <c r="H11">
        <v>-0.72911235182529999</v>
      </c>
      <c r="I11">
        <v>1.3632182829699999</v>
      </c>
      <c r="J11">
        <v>-1.9975746332394</v>
      </c>
      <c r="K11">
        <v>-0.74837499433960997</v>
      </c>
      <c r="L11">
        <v>-1.6187574164131</v>
      </c>
      <c r="M11">
        <v>-1.4676321336463001</v>
      </c>
      <c r="N11">
        <v>-0.35529925817948599</v>
      </c>
      <c r="O11">
        <v>-0.25379337643330002</v>
      </c>
    </row>
    <row r="12" spans="1:34" x14ac:dyDescent="0.25">
      <c r="A12">
        <v>2.23751839919447</v>
      </c>
      <c r="B12">
        <v>-2.6431271921238002</v>
      </c>
      <c r="C12">
        <v>1.1699729447750999</v>
      </c>
      <c r="D12">
        <v>-2.5616727551668999</v>
      </c>
      <c r="E12">
        <v>-3.215975728354</v>
      </c>
      <c r="F12">
        <v>-1.81964788986792</v>
      </c>
      <c r="G12">
        <v>-2.4868239727753099</v>
      </c>
      <c r="H12">
        <v>1.5738117941351999</v>
      </c>
      <c r="I12">
        <v>1.4224295926251</v>
      </c>
      <c r="J12">
        <v>-1.7768647541767</v>
      </c>
      <c r="K12">
        <v>-0.74749899254574104</v>
      </c>
      <c r="L12">
        <v>-1.5883765589646901</v>
      </c>
      <c r="M12">
        <v>-1.414847199584</v>
      </c>
      <c r="N12">
        <v>-0.35478541263240998</v>
      </c>
      <c r="O12">
        <v>-0.2491191428816</v>
      </c>
    </row>
    <row r="13" spans="1:34" x14ac:dyDescent="0.25">
      <c r="A13">
        <v>2.2522174881370001</v>
      </c>
      <c r="B13">
        <v>-2.5826898752123801</v>
      </c>
      <c r="C13">
        <v>1.5762595641549999</v>
      </c>
      <c r="D13">
        <v>-1.4967734229191001</v>
      </c>
      <c r="E13">
        <v>-2.9676614477999999</v>
      </c>
      <c r="F13">
        <v>-1.8186255967984</v>
      </c>
      <c r="G13">
        <v>-2.39977964314</v>
      </c>
      <c r="H13">
        <v>1.655651732428</v>
      </c>
      <c r="I13">
        <v>1.458231978455</v>
      </c>
      <c r="J13">
        <v>-1.586843171768</v>
      </c>
      <c r="K13">
        <v>-0.73373518144600003</v>
      </c>
      <c r="L13">
        <v>-1.55835136177246</v>
      </c>
      <c r="M13">
        <v>-1.1799536662193999</v>
      </c>
      <c r="N13">
        <v>-0.34943267876718398</v>
      </c>
      <c r="O13">
        <v>-0.24813344676963101</v>
      </c>
    </row>
    <row r="14" spans="1:34" x14ac:dyDescent="0.25">
      <c r="A14">
        <v>2.257296543881</v>
      </c>
      <c r="B14">
        <v>-2.5186753883267601</v>
      </c>
      <c r="C14">
        <v>1.7995295571633001</v>
      </c>
      <c r="D14">
        <v>-1.4367319369574301</v>
      </c>
      <c r="E14">
        <v>-2.6587745611542899</v>
      </c>
      <c r="F14">
        <v>-1.615846597237</v>
      </c>
      <c r="G14">
        <v>-2.3549821268810001</v>
      </c>
      <c r="H14">
        <v>1.767454553366</v>
      </c>
      <c r="I14">
        <v>1.5844354117399999</v>
      </c>
      <c r="J14">
        <v>-1.2322861872919999</v>
      </c>
      <c r="K14">
        <v>-0.73322684381799996</v>
      </c>
      <c r="L14">
        <v>-1.5533594245</v>
      </c>
      <c r="M14">
        <v>-1.1328236253420001</v>
      </c>
      <c r="N14">
        <v>-0.319132365737398</v>
      </c>
      <c r="O14">
        <v>-0.23574742461133999</v>
      </c>
    </row>
    <row r="15" spans="1:34" x14ac:dyDescent="0.25">
      <c r="A15">
        <v>2.2714717959840001</v>
      </c>
      <c r="B15">
        <v>-2.3727651334100002</v>
      </c>
      <c r="C15">
        <v>2.58124648623938</v>
      </c>
      <c r="D15">
        <v>0.87435478561289004</v>
      </c>
      <c r="E15">
        <v>-2.5946221247782701</v>
      </c>
      <c r="F15">
        <v>-1.5794269758620001</v>
      </c>
      <c r="G15">
        <v>-2.1252218283772999</v>
      </c>
      <c r="H15">
        <v>1.9575667474689999</v>
      </c>
      <c r="I15">
        <v>3.3737577428250001</v>
      </c>
      <c r="J15">
        <v>-0.98274913449828005</v>
      </c>
      <c r="K15">
        <v>-0.73258495471575003</v>
      </c>
      <c r="L15">
        <v>-1.5474773742318</v>
      </c>
      <c r="M15">
        <v>-0.99118982673287404</v>
      </c>
      <c r="N15">
        <v>-0.31571872111444699</v>
      </c>
      <c r="O15">
        <v>-0.22812127442251001</v>
      </c>
    </row>
    <row r="16" spans="1:34" x14ac:dyDescent="0.25">
      <c r="A16">
        <v>2.2927592666724999</v>
      </c>
      <c r="B16">
        <v>-1.9747672356129999</v>
      </c>
      <c r="C16">
        <v>2.7988688253915002</v>
      </c>
      <c r="D16">
        <v>0.97147471897589999</v>
      </c>
      <c r="E16">
        <v>-2.4999934196172</v>
      </c>
      <c r="F16">
        <v>-1.4746593798957</v>
      </c>
      <c r="G16">
        <v>-1.9467452957335001</v>
      </c>
      <c r="H16">
        <v>2.1112812527826001</v>
      </c>
      <c r="I16">
        <v>3.4238422546899998</v>
      </c>
      <c r="J16">
        <v>-0.87713752912515996</v>
      </c>
      <c r="K16">
        <v>-0.69625738153490002</v>
      </c>
      <c r="L16">
        <v>-1.5363654657600001</v>
      </c>
      <c r="M16">
        <v>-0.97483699674449997</v>
      </c>
      <c r="N16">
        <v>-0.28988178753568</v>
      </c>
      <c r="O16">
        <v>-0.21854313999543001</v>
      </c>
    </row>
    <row r="17" spans="1:15" x14ac:dyDescent="0.25">
      <c r="A17">
        <v>2.3457633255700001</v>
      </c>
      <c r="B17">
        <v>-1.9548918624678</v>
      </c>
      <c r="C17">
        <v>2.8751325178186802</v>
      </c>
      <c r="D17">
        <v>0.99937274799839804</v>
      </c>
      <c r="E17">
        <v>-2.46668289533</v>
      </c>
      <c r="F17">
        <v>-1.1355944973600001</v>
      </c>
      <c r="G17">
        <v>-1.9319494418447001</v>
      </c>
      <c r="H17">
        <v>2.1465497631644999</v>
      </c>
      <c r="I17">
        <v>3.4252977585118001</v>
      </c>
      <c r="J17">
        <v>-0.75233834558989998</v>
      </c>
      <c r="K17">
        <v>-0.63939332313870001</v>
      </c>
      <c r="L17">
        <v>-1.415321873396</v>
      </c>
      <c r="M17">
        <v>-0.83317327495335802</v>
      </c>
      <c r="N17">
        <v>-0.25734526517</v>
      </c>
      <c r="O17">
        <v>-0.21846798966950001</v>
      </c>
    </row>
    <row r="18" spans="1:15" x14ac:dyDescent="0.25">
      <c r="A18">
        <v>2.3668584939521802</v>
      </c>
      <c r="B18">
        <v>-1.924612288931</v>
      </c>
      <c r="C18">
        <v>2.893245744393</v>
      </c>
      <c r="D18">
        <v>1.247358971823</v>
      </c>
      <c r="E18">
        <v>-2.45744344484</v>
      </c>
      <c r="F18">
        <v>-1.1215459547313</v>
      </c>
      <c r="G18">
        <v>-1.8411241829767</v>
      </c>
      <c r="H18">
        <v>2.1735672673874999</v>
      </c>
      <c r="I18">
        <v>3.4863352745396101</v>
      </c>
      <c r="J18">
        <v>-0.68184134347499004</v>
      </c>
      <c r="K18">
        <v>-0.45696269493528002</v>
      </c>
      <c r="L18">
        <v>-1.2423158496366</v>
      </c>
      <c r="M18">
        <v>-0.64313496189554997</v>
      </c>
      <c r="N18">
        <v>-0.19821775582524001</v>
      </c>
      <c r="O18">
        <v>-0.21832137987771</v>
      </c>
    </row>
    <row r="19" spans="1:15" x14ac:dyDescent="0.25">
      <c r="A19">
        <v>2.3893989535600002</v>
      </c>
      <c r="B19">
        <v>-1.9163977811370001</v>
      </c>
      <c r="C19">
        <v>2.9688615739999999</v>
      </c>
      <c r="D19">
        <v>1.25232222165927</v>
      </c>
      <c r="E19">
        <v>-2.3726773196357001</v>
      </c>
      <c r="F19">
        <v>1.263567672225</v>
      </c>
      <c r="G19">
        <v>-1.7824316189588001</v>
      </c>
      <c r="H19">
        <v>2.2984117854619801</v>
      </c>
      <c r="J19">
        <v>1.5193877918111001</v>
      </c>
      <c r="K19">
        <v>-0.44532982887</v>
      </c>
      <c r="L19">
        <v>-1.2315757653957999</v>
      </c>
      <c r="M19">
        <v>-0.5417426796482</v>
      </c>
      <c r="N19">
        <v>-0.19678766353348001</v>
      </c>
      <c r="O19">
        <v>-0.21827759727500001</v>
      </c>
    </row>
    <row r="20" spans="1:15" x14ac:dyDescent="0.25">
      <c r="A20">
        <v>2.3978922289</v>
      </c>
      <c r="B20">
        <v>-1.8667268189827</v>
      </c>
      <c r="C20">
        <v>3.1322313688149999</v>
      </c>
      <c r="D20">
        <v>1.26592419563</v>
      </c>
      <c r="E20">
        <v>-2.3542734255933002</v>
      </c>
      <c r="F20">
        <v>1.3432239325369999</v>
      </c>
      <c r="G20">
        <v>-1.7464662759709999</v>
      </c>
      <c r="H20">
        <v>2.3128227938484001</v>
      </c>
      <c r="J20">
        <v>1.6992493717382999</v>
      </c>
      <c r="K20">
        <v>-0.41123227163384002</v>
      </c>
      <c r="L20">
        <v>-0.91237695232500005</v>
      </c>
      <c r="M20">
        <v>-0.51455273742498997</v>
      </c>
      <c r="O20">
        <v>-0.2136545692945</v>
      </c>
    </row>
    <row r="21" spans="1:15" x14ac:dyDescent="0.25">
      <c r="A21">
        <v>2.4278346584260002</v>
      </c>
      <c r="B21">
        <v>-1.65425561174</v>
      </c>
      <c r="C21">
        <v>3.2455841819889999</v>
      </c>
      <c r="D21">
        <v>1.4339746679383001</v>
      </c>
      <c r="E21">
        <v>-2.2867954132169999</v>
      </c>
      <c r="F21">
        <v>1.49248596343759</v>
      </c>
      <c r="G21">
        <v>-1.7176338763915999</v>
      </c>
      <c r="H21">
        <v>2.3335692514935902</v>
      </c>
      <c r="J21">
        <v>1.779576489856</v>
      </c>
      <c r="K21">
        <v>-0.364159341926587</v>
      </c>
      <c r="L21">
        <v>-0.55352382421123003</v>
      </c>
      <c r="M21">
        <v>-0.46633294624799998</v>
      </c>
    </row>
    <row r="22" spans="1:15" x14ac:dyDescent="0.25">
      <c r="A22">
        <v>2.44889915789989</v>
      </c>
      <c r="B22">
        <v>-1.6117173768699999</v>
      </c>
      <c r="C22">
        <v>3.76154179654</v>
      </c>
      <c r="D22">
        <v>1.5569674675178999</v>
      </c>
      <c r="E22">
        <v>-2.2423755518866</v>
      </c>
      <c r="F22">
        <v>2.1577379817911</v>
      </c>
      <c r="G22">
        <v>-1.5141116595463</v>
      </c>
      <c r="H22">
        <v>2.3418118111132</v>
      </c>
      <c r="J22">
        <v>2.3511753135350002</v>
      </c>
      <c r="K22">
        <v>-0.36162716268997003</v>
      </c>
      <c r="L22">
        <v>-0.52558971181900005</v>
      </c>
    </row>
    <row r="23" spans="1:15" x14ac:dyDescent="0.25">
      <c r="A23">
        <v>2.5828293638547</v>
      </c>
      <c r="B23">
        <v>-1.156694326282</v>
      </c>
      <c r="C23">
        <v>3.997675479942</v>
      </c>
      <c r="D23">
        <v>1.6161741254099999</v>
      </c>
      <c r="E23">
        <v>-2.2278169271162001</v>
      </c>
      <c r="F23">
        <v>2.4756685779762999</v>
      </c>
      <c r="G23">
        <v>-1.4793565646242</v>
      </c>
      <c r="H23">
        <v>2.4674419626500002</v>
      </c>
      <c r="J23">
        <v>2.624325788583</v>
      </c>
      <c r="K23">
        <v>-0.35216719563575999</v>
      </c>
      <c r="L23">
        <v>-0.48165217615951</v>
      </c>
    </row>
    <row r="24" spans="1:15" x14ac:dyDescent="0.25">
      <c r="A24">
        <v>2.6453285838234</v>
      </c>
      <c r="B24">
        <v>-0.93414647445689603</v>
      </c>
      <c r="C24">
        <v>4.6858643716822996</v>
      </c>
      <c r="D24">
        <v>1.6591499549223501</v>
      </c>
      <c r="E24">
        <v>-2.227429218553</v>
      </c>
      <c r="F24">
        <v>2.6893539118761902</v>
      </c>
      <c r="G24">
        <v>-1.278315834434</v>
      </c>
      <c r="H24">
        <v>2.5158516239000002</v>
      </c>
      <c r="K24">
        <v>-0.34162165533159999</v>
      </c>
      <c r="L24">
        <v>-0.41788567733185</v>
      </c>
    </row>
    <row r="25" spans="1:15" x14ac:dyDescent="0.25">
      <c r="A25">
        <v>2.7464724466549</v>
      </c>
      <c r="B25">
        <v>-0.89482236357260003</v>
      </c>
      <c r="C25">
        <v>4.7723496718150002</v>
      </c>
      <c r="D25">
        <v>1.6699538764888999</v>
      </c>
      <c r="E25">
        <v>-2.2191618855721802</v>
      </c>
      <c r="F25">
        <v>2.7695245337859999</v>
      </c>
      <c r="G25">
        <v>-1.2375822724422001</v>
      </c>
      <c r="H25">
        <v>2.64424999478</v>
      </c>
      <c r="K25">
        <v>-0.32669999560000001</v>
      </c>
    </row>
    <row r="26" spans="1:15" x14ac:dyDescent="0.25">
      <c r="A26">
        <v>2.8134479810999999</v>
      </c>
      <c r="B26">
        <v>-0.86743559665369996</v>
      </c>
      <c r="C26">
        <v>5.2734566475579996</v>
      </c>
      <c r="D26">
        <v>1.6899824662612</v>
      </c>
      <c r="E26">
        <v>-2.1968798874685298</v>
      </c>
      <c r="F26">
        <v>3.1719595824</v>
      </c>
      <c r="G26">
        <v>-0.99662284187000005</v>
      </c>
      <c r="H26">
        <v>3.2292957924213002</v>
      </c>
      <c r="K26">
        <v>-0.32569595934895001</v>
      </c>
    </row>
    <row r="27" spans="1:15" x14ac:dyDescent="0.25">
      <c r="A27">
        <v>2.8189833498263002</v>
      </c>
      <c r="B27">
        <v>0.76649361341592603</v>
      </c>
      <c r="C27">
        <v>5.6419127785940999</v>
      </c>
      <c r="D27">
        <v>1.8637292462999999</v>
      </c>
      <c r="E27">
        <v>-2.1955847564244499</v>
      </c>
      <c r="F27">
        <v>3.5323322431580002</v>
      </c>
      <c r="G27">
        <v>-0.776335199413277</v>
      </c>
      <c r="H27">
        <v>3.2789543816919999</v>
      </c>
      <c r="K27">
        <v>-0.31992225248181</v>
      </c>
    </row>
    <row r="28" spans="1:15" x14ac:dyDescent="0.25">
      <c r="A28">
        <v>2.8448887819220001</v>
      </c>
      <c r="B28">
        <v>0.76734677898699999</v>
      </c>
      <c r="C28">
        <v>5.7147845651797002</v>
      </c>
      <c r="D28">
        <v>2.1275413147319</v>
      </c>
      <c r="E28">
        <v>-2.1822814428999999</v>
      </c>
      <c r="F28">
        <v>4.1351613131800002</v>
      </c>
      <c r="G28">
        <v>0.93287678972775001</v>
      </c>
      <c r="K28">
        <v>-0.31123256333926003</v>
      </c>
    </row>
    <row r="29" spans="1:15" x14ac:dyDescent="0.25">
      <c r="A29">
        <v>2.9682975739890001</v>
      </c>
      <c r="B29">
        <v>0.812785437986</v>
      </c>
      <c r="C29">
        <v>5.7153887864913004</v>
      </c>
      <c r="D29">
        <v>2.12952325867517</v>
      </c>
      <c r="E29">
        <v>-2.1791662752126002</v>
      </c>
      <c r="F29">
        <v>4.8581121736129997</v>
      </c>
      <c r="G29">
        <v>1.2446229565219999</v>
      </c>
    </row>
    <row r="30" spans="1:15" x14ac:dyDescent="0.25">
      <c r="A30">
        <v>2.9777554189500002</v>
      </c>
      <c r="B30">
        <v>0.81986748351509997</v>
      </c>
      <c r="C30">
        <v>6.7164845142700003</v>
      </c>
      <c r="D30">
        <v>2.1646692761261201</v>
      </c>
      <c r="E30">
        <v>-2.1552236729900001</v>
      </c>
      <c r="F30">
        <v>5.9352388375557998</v>
      </c>
      <c r="G30">
        <v>1.2977713984999499</v>
      </c>
    </row>
    <row r="31" spans="1:15" x14ac:dyDescent="0.25">
      <c r="A31">
        <v>3.2164891738731902</v>
      </c>
      <c r="B31">
        <v>0.82511729633278996</v>
      </c>
      <c r="C31">
        <v>6.7351723589376</v>
      </c>
      <c r="D31">
        <v>2.2256329795251002</v>
      </c>
      <c r="E31">
        <v>-2.1539581733519499</v>
      </c>
      <c r="G31">
        <v>1.5676711826775001</v>
      </c>
    </row>
    <row r="32" spans="1:15" x14ac:dyDescent="0.25">
      <c r="A32">
        <v>3.2539361555382</v>
      </c>
      <c r="B32">
        <v>0.85423822223182</v>
      </c>
      <c r="C32">
        <v>7.1378241384900001</v>
      </c>
      <c r="D32">
        <v>2.4717436898890002</v>
      </c>
      <c r="E32">
        <v>-2.1354378595657302</v>
      </c>
    </row>
    <row r="33" spans="1:5" x14ac:dyDescent="0.25">
      <c r="A33">
        <v>3.3152389987520001</v>
      </c>
      <c r="B33">
        <v>2.49838345541461</v>
      </c>
      <c r="C33">
        <v>7.1644578143939004</v>
      </c>
      <c r="D33">
        <v>2.8975551398996</v>
      </c>
      <c r="E33">
        <v>-2.1338641839800001</v>
      </c>
    </row>
    <row r="34" spans="1:5" x14ac:dyDescent="0.25">
      <c r="A34">
        <v>3.566264529373</v>
      </c>
      <c r="B34">
        <v>2.5777373734875701</v>
      </c>
      <c r="D34">
        <v>3.8912532339496999</v>
      </c>
      <c r="E34">
        <v>-1.99822951499474</v>
      </c>
    </row>
    <row r="35" spans="1:5" x14ac:dyDescent="0.25">
      <c r="A35">
        <v>3.5741423138939998</v>
      </c>
      <c r="B35">
        <v>2.6637124176745002</v>
      </c>
      <c r="D35">
        <v>4.4147969578487301</v>
      </c>
      <c r="E35">
        <v>-1.987968494397</v>
      </c>
    </row>
    <row r="36" spans="1:5" x14ac:dyDescent="0.25">
      <c r="A36">
        <v>3.6279776996290001</v>
      </c>
      <c r="B36">
        <v>3.9266615323799998</v>
      </c>
      <c r="D36">
        <v>5.1253951469858103</v>
      </c>
      <c r="E36">
        <v>-1.9312549263992</v>
      </c>
    </row>
    <row r="37" spans="1:5" x14ac:dyDescent="0.25">
      <c r="A37">
        <v>3.9885518818799999</v>
      </c>
      <c r="B37">
        <v>4.5836789659881001</v>
      </c>
      <c r="E37">
        <v>-1.8731832575268801</v>
      </c>
    </row>
    <row r="38" spans="1:5" x14ac:dyDescent="0.25">
      <c r="A38">
        <v>4.5355334856287</v>
      </c>
      <c r="B38">
        <v>4.9383182115770001</v>
      </c>
      <c r="E38">
        <v>-1.8566484892570001</v>
      </c>
    </row>
    <row r="39" spans="1:5" x14ac:dyDescent="0.25">
      <c r="A39">
        <v>4.5888591971970003</v>
      </c>
      <c r="B39">
        <v>5.9597465984192999</v>
      </c>
      <c r="E39">
        <v>-1.69523172732714</v>
      </c>
    </row>
    <row r="40" spans="1:5" x14ac:dyDescent="0.25">
      <c r="A40">
        <v>4.7566285654492004</v>
      </c>
      <c r="E40">
        <v>-1.6636723517873</v>
      </c>
    </row>
    <row r="41" spans="1:5" x14ac:dyDescent="0.25">
      <c r="E41">
        <v>-1.6571188137499999</v>
      </c>
    </row>
    <row r="42" spans="1:5" x14ac:dyDescent="0.25">
      <c r="E42">
        <v>-1.6443126528567</v>
      </c>
    </row>
    <row r="43" spans="1:5" x14ac:dyDescent="0.25">
      <c r="E43">
        <v>-1.6196578564299999</v>
      </c>
    </row>
    <row r="44" spans="1:5" x14ac:dyDescent="0.25">
      <c r="E44">
        <v>-1.61729642585522</v>
      </c>
    </row>
    <row r="45" spans="1:5" x14ac:dyDescent="0.25">
      <c r="E45">
        <v>0.85126241532239999</v>
      </c>
    </row>
    <row r="46" spans="1:5" x14ac:dyDescent="0.25">
      <c r="E46">
        <v>0.87445351246946001</v>
      </c>
    </row>
    <row r="47" spans="1:5" x14ac:dyDescent="0.25">
      <c r="E47">
        <v>0.89868836322519996</v>
      </c>
    </row>
    <row r="48" spans="1:5" x14ac:dyDescent="0.25">
      <c r="E48">
        <v>1.1187692375134</v>
      </c>
    </row>
    <row r="49" spans="5:5" x14ac:dyDescent="0.25">
      <c r="E49">
        <v>1.1294767826865</v>
      </c>
    </row>
    <row r="50" spans="5:5" x14ac:dyDescent="0.25">
      <c r="E50">
        <v>1.13843756764</v>
      </c>
    </row>
    <row r="51" spans="5:5" x14ac:dyDescent="0.25">
      <c r="E51">
        <v>1.54518613782</v>
      </c>
    </row>
    <row r="52" spans="5:5" x14ac:dyDescent="0.25">
      <c r="E52">
        <v>1.5918735198989999</v>
      </c>
    </row>
    <row r="53" spans="5:5" x14ac:dyDescent="0.25">
      <c r="E53">
        <v>1.9716261615699999</v>
      </c>
    </row>
    <row r="54" spans="5:5" x14ac:dyDescent="0.25">
      <c r="E54">
        <v>2.1271947396487998</v>
      </c>
    </row>
    <row r="55" spans="5:5" x14ac:dyDescent="0.25">
      <c r="E55">
        <v>2.2181882511616</v>
      </c>
    </row>
    <row r="56" spans="5:5" x14ac:dyDescent="0.25">
      <c r="E56">
        <v>2.2477393353658002</v>
      </c>
    </row>
    <row r="57" spans="5:5" x14ac:dyDescent="0.25">
      <c r="E57">
        <v>2.5124995788929998</v>
      </c>
    </row>
    <row r="58" spans="5:5" x14ac:dyDescent="0.25">
      <c r="E58">
        <v>2.5278767235399999</v>
      </c>
    </row>
    <row r="59" spans="5:5" x14ac:dyDescent="0.25">
      <c r="E59">
        <v>2.5893478898310001</v>
      </c>
    </row>
    <row r="60" spans="5:5" x14ac:dyDescent="0.25">
      <c r="E60">
        <v>2.6897878617522002</v>
      </c>
    </row>
    <row r="61" spans="5:5" x14ac:dyDescent="0.25">
      <c r="E61">
        <v>2.7716116355699998</v>
      </c>
    </row>
    <row r="62" spans="5:5" x14ac:dyDescent="0.25">
      <c r="E62">
        <v>2.7751278147843399</v>
      </c>
    </row>
    <row r="63" spans="5:5" x14ac:dyDescent="0.25">
      <c r="E63">
        <v>2.8273423171699998</v>
      </c>
    </row>
    <row r="64" spans="5:5" x14ac:dyDescent="0.25">
      <c r="E64">
        <v>2.8371648723549998</v>
      </c>
    </row>
    <row r="65" spans="5:5" x14ac:dyDescent="0.25">
      <c r="E65">
        <v>3.4132493597239999</v>
      </c>
    </row>
    <row r="66" spans="5:5" x14ac:dyDescent="0.25">
      <c r="E66">
        <v>3.5885753933825701</v>
      </c>
    </row>
    <row r="67" spans="5:5" x14ac:dyDescent="0.25">
      <c r="E67">
        <v>3.7742479327449998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8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512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0.64523559282326004</v>
      </c>
      <c r="B2">
        <v>-3.7257579715159999</v>
      </c>
      <c r="C2">
        <v>-16.389865191335002</v>
      </c>
      <c r="D2">
        <v>-4.7172248655138</v>
      </c>
      <c r="E2">
        <v>-6.1174651276500001</v>
      </c>
      <c r="F2">
        <v>-3.4814961349944999</v>
      </c>
      <c r="G2">
        <v>-3.4777382992392298</v>
      </c>
      <c r="H2">
        <v>-2.5629953364318001</v>
      </c>
      <c r="I2">
        <v>-3.3173119449500001</v>
      </c>
      <c r="J2">
        <v>-3.9911856916277002</v>
      </c>
      <c r="K2">
        <v>-3.4461686659813999</v>
      </c>
      <c r="L2">
        <v>-2.811453577814</v>
      </c>
      <c r="M2">
        <v>-2.1579334328948101</v>
      </c>
      <c r="N2">
        <v>-0.64893982818524998</v>
      </c>
      <c r="O2">
        <v>-0.44763416269811002</v>
      </c>
      <c r="S2" s="14" t="s">
        <v>526</v>
      </c>
      <c r="T2">
        <f>MIN(A:A)</f>
        <v>0.64523559282326004</v>
      </c>
      <c r="U2">
        <f t="shared" ref="U2:AH2" si="0">MIN(B:B)</f>
        <v>-3.7257579715159999</v>
      </c>
      <c r="V2">
        <f t="shared" si="0"/>
        <v>-16.389865191335002</v>
      </c>
      <c r="W2">
        <f t="shared" si="0"/>
        <v>-4.7172248655138</v>
      </c>
      <c r="X2">
        <f t="shared" si="0"/>
        <v>-6.1174651276500001</v>
      </c>
      <c r="Y2">
        <f t="shared" si="0"/>
        <v>-3.4814961349944999</v>
      </c>
      <c r="Z2">
        <f t="shared" si="0"/>
        <v>-3.4777382992392298</v>
      </c>
      <c r="AA2">
        <f t="shared" si="0"/>
        <v>-2.5629953364318001</v>
      </c>
      <c r="AB2">
        <f t="shared" si="0"/>
        <v>-3.3173119449500001</v>
      </c>
      <c r="AC2">
        <f t="shared" si="0"/>
        <v>-3.9911856916277002</v>
      </c>
      <c r="AD2">
        <f t="shared" si="0"/>
        <v>-3.4461686659813999</v>
      </c>
      <c r="AE2">
        <f t="shared" si="0"/>
        <v>-2.811453577814</v>
      </c>
      <c r="AF2">
        <f t="shared" si="0"/>
        <v>-2.1579334328948101</v>
      </c>
      <c r="AG2">
        <f t="shared" si="0"/>
        <v>-0.64893982818524998</v>
      </c>
      <c r="AH2">
        <f t="shared" si="0"/>
        <v>-0.44763416269811002</v>
      </c>
    </row>
    <row r="3" spans="1:34" x14ac:dyDescent="0.25">
      <c r="A3">
        <v>0.66212571715500002</v>
      </c>
      <c r="B3">
        <v>-3.63521787616</v>
      </c>
      <c r="C3">
        <v>-8.3398755733919998</v>
      </c>
      <c r="D3">
        <v>-4.3383681863838</v>
      </c>
      <c r="E3">
        <v>-5.5184512392169998</v>
      </c>
      <c r="F3">
        <v>-2.7585126355273002</v>
      </c>
      <c r="G3">
        <v>-3.1435229582389201</v>
      </c>
      <c r="H3">
        <v>-2.1573489346647698</v>
      </c>
      <c r="I3">
        <v>-3.2995727822613001</v>
      </c>
      <c r="J3">
        <v>-3.7336346162665</v>
      </c>
      <c r="K3">
        <v>-2.2374163424870002</v>
      </c>
      <c r="L3">
        <v>-2.2897571792117</v>
      </c>
      <c r="M3">
        <v>-1.9833459616289999</v>
      </c>
      <c r="N3">
        <v>-0.58728868885120999</v>
      </c>
      <c r="O3">
        <v>-0.38843794778500002</v>
      </c>
      <c r="S3" s="14" t="s">
        <v>527</v>
      </c>
      <c r="T3">
        <f>MAX(A:A)</f>
        <v>4.5888591971970003</v>
      </c>
      <c r="U3">
        <f t="shared" ref="U3:AH3" si="1">MAX(B:B)</f>
        <v>6.243676731751</v>
      </c>
      <c r="V3">
        <f t="shared" si="1"/>
        <v>7.1644578143939004</v>
      </c>
      <c r="W3">
        <f t="shared" si="1"/>
        <v>8.3238816818846999</v>
      </c>
      <c r="X3">
        <f t="shared" si="1"/>
        <v>2.8371648723549998</v>
      </c>
      <c r="Y3">
        <f t="shared" si="1"/>
        <v>3.5323322431580002</v>
      </c>
      <c r="Z3">
        <f t="shared" si="1"/>
        <v>4.2867321612888798</v>
      </c>
      <c r="AA3">
        <f t="shared" si="1"/>
        <v>4.5361586548219996</v>
      </c>
      <c r="AB3">
        <f t="shared" si="1"/>
        <v>2.36936236799</v>
      </c>
      <c r="AC3">
        <f t="shared" si="1"/>
        <v>2.624325788583</v>
      </c>
      <c r="AD3">
        <f t="shared" si="1"/>
        <v>-0.36162716268997003</v>
      </c>
      <c r="AE3">
        <f t="shared" si="1"/>
        <v>-0.41788567733185</v>
      </c>
      <c r="AF3">
        <f t="shared" si="1"/>
        <v>-0.46633294624799998</v>
      </c>
      <c r="AG3">
        <f t="shared" si="1"/>
        <v>-0.25463639740999999</v>
      </c>
      <c r="AH3">
        <f t="shared" si="1"/>
        <v>-0.21832137987771</v>
      </c>
    </row>
    <row r="4" spans="1:34" x14ac:dyDescent="0.25">
      <c r="A4">
        <v>0.67197723637310003</v>
      </c>
      <c r="B4">
        <v>-3.4584771499350002</v>
      </c>
      <c r="C4">
        <v>-7.9849147336464403</v>
      </c>
      <c r="D4">
        <v>-3.9929357525159999</v>
      </c>
      <c r="E4">
        <v>-5.46823966994</v>
      </c>
      <c r="F4">
        <v>-2.1165598634428</v>
      </c>
      <c r="G4">
        <v>-3.1425392474715501</v>
      </c>
      <c r="H4">
        <v>-1.4662592286651499</v>
      </c>
      <c r="I4">
        <v>-2.6454156144500001</v>
      </c>
      <c r="J4">
        <v>-3.7123286287397002</v>
      </c>
      <c r="K4">
        <v>-2.1866337269569298</v>
      </c>
      <c r="L4">
        <v>-2.2861714968200002</v>
      </c>
      <c r="M4">
        <v>-1.9768977668515999</v>
      </c>
      <c r="N4">
        <v>-0.54237769288990001</v>
      </c>
      <c r="O4">
        <v>-0.37766464541</v>
      </c>
      <c r="S4" s="14" t="s">
        <v>528</v>
      </c>
      <c r="T4">
        <f>AVERAGE(A:A)</f>
        <v>2.0810418399781367</v>
      </c>
      <c r="U4">
        <f t="shared" ref="U4:AH4" si="2">AVERAGE(B:B)</f>
        <v>-0.95184166562095329</v>
      </c>
      <c r="V4">
        <f t="shared" si="2"/>
        <v>1.8693390602891742</v>
      </c>
      <c r="W4">
        <f t="shared" si="2"/>
        <v>3.6303672361205581E-2</v>
      </c>
      <c r="X4">
        <f t="shared" si="2"/>
        <v>-0.78276894231504857</v>
      </c>
      <c r="Y4">
        <f t="shared" si="2"/>
        <v>0.56754786643761945</v>
      </c>
      <c r="Z4">
        <f t="shared" si="2"/>
        <v>-1.2098597511212139</v>
      </c>
      <c r="AA4">
        <f t="shared" si="2"/>
        <v>0.93455495282143752</v>
      </c>
      <c r="AB4">
        <f t="shared" si="2"/>
        <v>0.69346382531728645</v>
      </c>
      <c r="AC4">
        <f t="shared" si="2"/>
        <v>-1.1120744812471395</v>
      </c>
      <c r="AD4">
        <f t="shared" si="2"/>
        <v>-1.230479631604833</v>
      </c>
      <c r="AE4">
        <f t="shared" si="2"/>
        <v>-1.6898259281798065</v>
      </c>
      <c r="AF4">
        <f t="shared" si="2"/>
        <v>-1.5360943657478416</v>
      </c>
      <c r="AG4">
        <f t="shared" si="2"/>
        <v>-0.40385308651731067</v>
      </c>
      <c r="AH4">
        <f t="shared" si="2"/>
        <v>-0.30745337765802505</v>
      </c>
    </row>
    <row r="5" spans="1:34" x14ac:dyDescent="0.25">
      <c r="A5">
        <v>0.81427723446136002</v>
      </c>
      <c r="B5">
        <v>-2.9148148699629002</v>
      </c>
      <c r="C5">
        <v>-7.1591617925576001</v>
      </c>
      <c r="D5">
        <v>-3.9369815821562999</v>
      </c>
      <c r="E5">
        <v>-4.6555312227629004</v>
      </c>
      <c r="F5">
        <v>-1.858565281</v>
      </c>
      <c r="G5">
        <v>-2.9583634717612202</v>
      </c>
      <c r="H5">
        <v>-1.4488665536755001</v>
      </c>
      <c r="I5">
        <v>-2.1771735691899998</v>
      </c>
      <c r="J5">
        <v>-3.5345529869756001</v>
      </c>
      <c r="K5">
        <v>-1.6471594365973099</v>
      </c>
      <c r="L5">
        <v>-2.247267316796</v>
      </c>
      <c r="M5">
        <v>-1.9457279367442899</v>
      </c>
      <c r="N5">
        <v>-0.51257467259650003</v>
      </c>
      <c r="O5">
        <v>-0.36153933583881998</v>
      </c>
      <c r="S5" s="14" t="s">
        <v>525</v>
      </c>
      <c r="T5">
        <f>COUNT(A2:A84)</f>
        <v>40</v>
      </c>
      <c r="U5">
        <f>COUNT(B2:B84)</f>
        <v>38</v>
      </c>
      <c r="V5">
        <f t="shared" ref="V5:AH5" si="3">COUNT(C2:C84)</f>
        <v>35</v>
      </c>
      <c r="W5">
        <f t="shared" si="3"/>
        <v>67</v>
      </c>
      <c r="X5">
        <f t="shared" si="3"/>
        <v>35</v>
      </c>
      <c r="Y5">
        <f t="shared" si="3"/>
        <v>25</v>
      </c>
      <c r="Z5">
        <f t="shared" si="3"/>
        <v>31</v>
      </c>
      <c r="AA5">
        <f t="shared" si="3"/>
        <v>36</v>
      </c>
      <c r="AB5">
        <f t="shared" si="3"/>
        <v>31</v>
      </c>
      <c r="AC5">
        <f t="shared" si="3"/>
        <v>29</v>
      </c>
      <c r="AD5">
        <f t="shared" si="3"/>
        <v>19</v>
      </c>
      <c r="AE5">
        <f t="shared" si="3"/>
        <v>20</v>
      </c>
      <c r="AF5">
        <f t="shared" si="3"/>
        <v>18</v>
      </c>
      <c r="AG5">
        <f t="shared" si="3"/>
        <v>22</v>
      </c>
      <c r="AH5">
        <f t="shared" si="3"/>
        <v>14</v>
      </c>
    </row>
    <row r="6" spans="1:34" x14ac:dyDescent="0.25">
      <c r="A6">
        <v>0.88698918443739005</v>
      </c>
      <c r="B6">
        <v>-2.8625897362599999</v>
      </c>
      <c r="C6">
        <v>-5.5213332242998003</v>
      </c>
      <c r="D6">
        <v>-3.4993543395315498</v>
      </c>
      <c r="E6">
        <v>-3.5799835348509998</v>
      </c>
      <c r="F6">
        <v>-1.81964788986792</v>
      </c>
      <c r="G6">
        <v>-2.9491855454145002</v>
      </c>
      <c r="H6">
        <v>-1.4279137453320001</v>
      </c>
      <c r="I6">
        <v>-1.7382777612</v>
      </c>
      <c r="J6">
        <v>-3.3568277979685299</v>
      </c>
      <c r="K6">
        <v>-1.5581219972256499</v>
      </c>
      <c r="L6">
        <v>-2.1567715666764999</v>
      </c>
      <c r="M6">
        <v>-1.82434326714189</v>
      </c>
      <c r="N6">
        <v>-0.48177391852233598</v>
      </c>
      <c r="O6">
        <v>-0.34728582322669999</v>
      </c>
    </row>
    <row r="7" spans="1:34" x14ac:dyDescent="0.25">
      <c r="A7">
        <v>0.89729271171949998</v>
      </c>
      <c r="B7">
        <v>-2.8347938314532999</v>
      </c>
      <c r="C7">
        <v>-5.2883862639399997</v>
      </c>
      <c r="D7">
        <v>-3.46129919419</v>
      </c>
      <c r="E7">
        <v>-3.5637215178430002</v>
      </c>
      <c r="F7">
        <v>-1.8186255967984</v>
      </c>
      <c r="G7">
        <v>-2.6423469424381998</v>
      </c>
      <c r="H7">
        <v>-1.3995799144225201</v>
      </c>
      <c r="I7">
        <v>-0.92485938447420002</v>
      </c>
      <c r="J7">
        <v>-2.9817457176220001</v>
      </c>
      <c r="K7">
        <v>-1.4842629521563</v>
      </c>
      <c r="L7">
        <v>-1.98363691316</v>
      </c>
      <c r="M7">
        <v>-1.7138851529000001</v>
      </c>
      <c r="N7">
        <v>-0.47881861977491202</v>
      </c>
      <c r="O7">
        <v>-0.32473826275000001</v>
      </c>
    </row>
    <row r="8" spans="1:34" x14ac:dyDescent="0.25">
      <c r="A8">
        <v>0.91545469654484002</v>
      </c>
      <c r="B8">
        <v>-2.6431271921238002</v>
      </c>
      <c r="C8">
        <v>-4.6589667646199002</v>
      </c>
      <c r="D8">
        <v>-3.3749465278350002</v>
      </c>
      <c r="E8">
        <v>-3.3523354964565999</v>
      </c>
      <c r="F8">
        <v>-1.5794269758620001</v>
      </c>
      <c r="G8">
        <v>-2.61397835874256</v>
      </c>
      <c r="H8">
        <v>-1.3949912862660001</v>
      </c>
      <c r="I8">
        <v>-0.786129542214691</v>
      </c>
      <c r="J8">
        <v>-1.9975746332394</v>
      </c>
      <c r="K8">
        <v>-1.3993251978500001</v>
      </c>
      <c r="L8">
        <v>-1.9254692964147</v>
      </c>
      <c r="M8">
        <v>-1.674345179778</v>
      </c>
      <c r="N8">
        <v>-0.43583928646879999</v>
      </c>
      <c r="O8">
        <v>-0.31252897649728001</v>
      </c>
    </row>
    <row r="9" spans="1:34" x14ac:dyDescent="0.25">
      <c r="A9">
        <v>0.93769256122473699</v>
      </c>
      <c r="B9">
        <v>-2.5828678890000001</v>
      </c>
      <c r="C9">
        <v>-4.3824179748240004</v>
      </c>
      <c r="D9">
        <v>-3.3458788984590999</v>
      </c>
      <c r="E9">
        <v>-3.2551188328781002</v>
      </c>
      <c r="F9">
        <v>-1.463458388866</v>
      </c>
      <c r="G9">
        <v>-2.6124782451256001</v>
      </c>
      <c r="H9">
        <v>-1.3649413935914001</v>
      </c>
      <c r="I9">
        <v>0.7951638111332</v>
      </c>
      <c r="J9">
        <v>-1.8971682697447001</v>
      </c>
      <c r="K9">
        <v>-1.2666949976999999</v>
      </c>
      <c r="L9">
        <v>-1.8824658752651999</v>
      </c>
      <c r="M9">
        <v>-1.6465857558274</v>
      </c>
      <c r="N9">
        <v>-0.435682474524</v>
      </c>
      <c r="O9">
        <v>-0.28779546337667</v>
      </c>
    </row>
    <row r="10" spans="1:34" x14ac:dyDescent="0.25">
      <c r="A10">
        <v>0.98945441329240003</v>
      </c>
      <c r="B10">
        <v>-2.5826898752123801</v>
      </c>
      <c r="C10">
        <v>-4.1115758697568996</v>
      </c>
      <c r="D10">
        <v>-3.3366234625818998</v>
      </c>
      <c r="E10">
        <v>-2.5946221247782701</v>
      </c>
      <c r="F10">
        <v>-1.265583431</v>
      </c>
      <c r="G10">
        <v>-2.5165567256200001</v>
      </c>
      <c r="H10">
        <v>-1.29135193273</v>
      </c>
      <c r="I10">
        <v>0.81173144778626005</v>
      </c>
      <c r="J10">
        <v>-1.8716523712099999</v>
      </c>
      <c r="K10">
        <v>-1.24159526783548</v>
      </c>
      <c r="L10">
        <v>-1.8483441813099999</v>
      </c>
      <c r="M10">
        <v>-1.6188413928389001</v>
      </c>
      <c r="N10">
        <v>-0.43545174741881798</v>
      </c>
      <c r="O10">
        <v>-0.26881218367210002</v>
      </c>
    </row>
    <row r="11" spans="1:34" x14ac:dyDescent="0.25">
      <c r="A11">
        <v>0.98953625212814</v>
      </c>
      <c r="B11">
        <v>-2.5186753883267601</v>
      </c>
      <c r="C11">
        <v>2.9191883817918001</v>
      </c>
      <c r="D11">
        <v>-3.283656133799</v>
      </c>
      <c r="E11">
        <v>-2.4999934196172</v>
      </c>
      <c r="F11">
        <v>-0.94979942931811201</v>
      </c>
      <c r="G11">
        <v>-2.39977964314</v>
      </c>
      <c r="H11">
        <v>-1.1344672831837099</v>
      </c>
      <c r="I11">
        <v>0.92884287457600001</v>
      </c>
      <c r="J11">
        <v>-1.8393646133315</v>
      </c>
      <c r="K11">
        <v>-1.199584194314</v>
      </c>
      <c r="L11">
        <v>-1.6339528561700001</v>
      </c>
      <c r="M11">
        <v>-1.5721196435910001</v>
      </c>
      <c r="N11">
        <v>-0.42461613243492002</v>
      </c>
      <c r="O11">
        <v>-0.25379337643330002</v>
      </c>
    </row>
    <row r="12" spans="1:34" x14ac:dyDescent="0.25">
      <c r="A12">
        <v>1.1196796241689999</v>
      </c>
      <c r="B12">
        <v>-2.3593772394379999</v>
      </c>
      <c r="C12">
        <v>3.1227211697394099</v>
      </c>
      <c r="D12">
        <v>-3.1822583344240001</v>
      </c>
      <c r="E12">
        <v>-2.3726773196357001</v>
      </c>
      <c r="F12">
        <v>1.3432239325369999</v>
      </c>
      <c r="G12">
        <v>-2.3362536146730002</v>
      </c>
      <c r="H12">
        <v>-0.98557297182329995</v>
      </c>
      <c r="I12">
        <v>0.94768859836872998</v>
      </c>
      <c r="J12">
        <v>-1.7768647541767</v>
      </c>
      <c r="K12">
        <v>-1.1487812989591999</v>
      </c>
      <c r="L12">
        <v>-1.6255195757471801</v>
      </c>
      <c r="M12">
        <v>-1.5669327879299499</v>
      </c>
      <c r="N12">
        <v>-0.4136325336951</v>
      </c>
      <c r="O12">
        <v>-0.2491191428816</v>
      </c>
    </row>
    <row r="13" spans="1:34" x14ac:dyDescent="0.25">
      <c r="A13">
        <v>1.1572844529360999</v>
      </c>
      <c r="B13">
        <v>-2.2651386933855999</v>
      </c>
      <c r="C13">
        <v>3.199389392993</v>
      </c>
      <c r="D13">
        <v>-3.1141994437544001</v>
      </c>
      <c r="E13">
        <v>-2.2423755518866</v>
      </c>
      <c r="F13">
        <v>1.4716374942611701</v>
      </c>
      <c r="G13">
        <v>-1.9928176478724999</v>
      </c>
      <c r="H13">
        <v>-0.72911235182529999</v>
      </c>
      <c r="I13">
        <v>0.96974393819122995</v>
      </c>
      <c r="J13">
        <v>-1.712989925397</v>
      </c>
      <c r="K13">
        <v>-0.87284592652299997</v>
      </c>
      <c r="L13">
        <v>-1.6187574164131</v>
      </c>
      <c r="M13">
        <v>-1.5368327548981</v>
      </c>
      <c r="N13">
        <v>-0.37933495834549003</v>
      </c>
      <c r="O13">
        <v>-0.24813344676963101</v>
      </c>
    </row>
    <row r="14" spans="1:34" x14ac:dyDescent="0.25">
      <c r="A14">
        <v>1.4446295613158999</v>
      </c>
      <c r="B14">
        <v>-2.1348773268549999</v>
      </c>
      <c r="C14">
        <v>3.5279174242359002</v>
      </c>
      <c r="D14">
        <v>-3.1113741481299999</v>
      </c>
      <c r="E14">
        <v>-2.1955847564244499</v>
      </c>
      <c r="F14">
        <v>1.5642955175964599</v>
      </c>
      <c r="G14">
        <v>-1.9467452957335001</v>
      </c>
      <c r="H14">
        <v>0.79754736358577005</v>
      </c>
      <c r="I14">
        <v>1.149774859311</v>
      </c>
      <c r="J14">
        <v>-1.6459143377111001</v>
      </c>
      <c r="K14">
        <v>-0.76498134921399996</v>
      </c>
      <c r="L14">
        <v>-1.55835136177246</v>
      </c>
      <c r="M14">
        <v>-1.5279976397620001</v>
      </c>
      <c r="N14">
        <v>-0.374148617892266</v>
      </c>
      <c r="O14">
        <v>-0.21854313999543001</v>
      </c>
    </row>
    <row r="15" spans="1:34" x14ac:dyDescent="0.25">
      <c r="A15">
        <v>1.4481416747923199</v>
      </c>
      <c r="B15">
        <v>-2.1259353217600001</v>
      </c>
      <c r="C15">
        <v>3.5752612515775999</v>
      </c>
      <c r="D15">
        <v>-2.7497426313409998</v>
      </c>
      <c r="E15">
        <v>-2.1539581733519499</v>
      </c>
      <c r="F15">
        <v>1.58625536569</v>
      </c>
      <c r="G15">
        <v>-1.9319494418447001</v>
      </c>
      <c r="H15">
        <v>0.92794735973577003</v>
      </c>
      <c r="I15">
        <v>1.1597268363844</v>
      </c>
      <c r="J15">
        <v>-1.586843171768</v>
      </c>
      <c r="K15">
        <v>-0.75546462329499997</v>
      </c>
      <c r="L15">
        <v>-1.55571572985823</v>
      </c>
      <c r="M15">
        <v>-1.4936365939309999</v>
      </c>
      <c r="N15">
        <v>-0.36957921159278001</v>
      </c>
      <c r="O15">
        <v>-0.21832137987771</v>
      </c>
    </row>
    <row r="16" spans="1:34" x14ac:dyDescent="0.25">
      <c r="A16">
        <v>1.4875136816744501</v>
      </c>
      <c r="B16">
        <v>-1.9747672356129999</v>
      </c>
      <c r="C16">
        <v>3.8414325355274999</v>
      </c>
      <c r="D16">
        <v>-2.735588562217</v>
      </c>
      <c r="E16">
        <v>-1.99822951499474</v>
      </c>
      <c r="F16">
        <v>1.67939166966</v>
      </c>
      <c r="G16">
        <v>-1.8411241829767</v>
      </c>
      <c r="H16">
        <v>0.95215883689549996</v>
      </c>
      <c r="I16">
        <v>1.1716791826616499</v>
      </c>
      <c r="J16">
        <v>-1.568797515617</v>
      </c>
      <c r="K16">
        <v>-0.581761555568861</v>
      </c>
      <c r="L16">
        <v>-1.5474773742318</v>
      </c>
      <c r="M16">
        <v>-1.4676321336463001</v>
      </c>
      <c r="N16">
        <v>-0.36251182739635501</v>
      </c>
    </row>
    <row r="17" spans="1:14" x14ac:dyDescent="0.25">
      <c r="A17">
        <v>1.5788448944263</v>
      </c>
      <c r="B17">
        <v>-1.9747197845996001</v>
      </c>
      <c r="C17">
        <v>3.9179667776499998</v>
      </c>
      <c r="D17">
        <v>-2.6753185883600001</v>
      </c>
      <c r="E17">
        <v>-1.9312549263992</v>
      </c>
      <c r="F17">
        <v>1.681253762946</v>
      </c>
      <c r="G17">
        <v>-1.7824316189588001</v>
      </c>
      <c r="H17">
        <v>0.96979413248669999</v>
      </c>
      <c r="I17">
        <v>1.3221675152000001</v>
      </c>
      <c r="J17">
        <v>-1.33431274668</v>
      </c>
      <c r="K17">
        <v>-0.45129669157730001</v>
      </c>
      <c r="L17">
        <v>-1.5363654657600001</v>
      </c>
      <c r="M17">
        <v>-0.83317327495335802</v>
      </c>
      <c r="N17">
        <v>-0.319132365737398</v>
      </c>
    </row>
    <row r="18" spans="1:14" x14ac:dyDescent="0.25">
      <c r="A18">
        <v>1.6451839640000001</v>
      </c>
      <c r="B18">
        <v>-1.924612288931</v>
      </c>
      <c r="C18">
        <v>3.997675479942</v>
      </c>
      <c r="D18">
        <v>-2.6693672376371498</v>
      </c>
      <c r="E18">
        <v>-1.8731832575268801</v>
      </c>
      <c r="F18">
        <v>1.6844829259572001</v>
      </c>
      <c r="G18">
        <v>-1.7176338763915999</v>
      </c>
      <c r="H18">
        <v>0.97612179714258895</v>
      </c>
      <c r="I18">
        <v>1.3385598452559999</v>
      </c>
      <c r="J18">
        <v>-1.2322861872919999</v>
      </c>
      <c r="K18">
        <v>-0.41123227163384002</v>
      </c>
      <c r="L18">
        <v>-1.4771265743588999</v>
      </c>
      <c r="M18">
        <v>-0.64313496189554997</v>
      </c>
      <c r="N18">
        <v>-0.31571872111444699</v>
      </c>
    </row>
    <row r="19" spans="1:14" x14ac:dyDescent="0.25">
      <c r="A19">
        <v>1.7353491312223801</v>
      </c>
      <c r="B19">
        <v>-1.82242622662663</v>
      </c>
      <c r="C19">
        <v>4.1523168535888004</v>
      </c>
      <c r="D19">
        <v>-2.5888877586720001</v>
      </c>
      <c r="E19">
        <v>-1.8566484892570001</v>
      </c>
      <c r="F19">
        <v>2.1577379817911</v>
      </c>
      <c r="G19">
        <v>-1.5141116595463</v>
      </c>
      <c r="H19">
        <v>1.2677221988834999</v>
      </c>
      <c r="I19">
        <v>1.3632182829699999</v>
      </c>
      <c r="J19">
        <v>-1.229948692</v>
      </c>
      <c r="K19">
        <v>-0.364159341926587</v>
      </c>
      <c r="L19">
        <v>-0.91237695232500005</v>
      </c>
      <c r="M19">
        <v>-0.46633294624799998</v>
      </c>
      <c r="N19">
        <v>-0.28988178753568</v>
      </c>
    </row>
    <row r="20" spans="1:14" x14ac:dyDescent="0.25">
      <c r="A20">
        <v>1.7664522486359999</v>
      </c>
      <c r="B20">
        <v>-1.7833248515119</v>
      </c>
      <c r="C20">
        <v>4.2117474729</v>
      </c>
      <c r="D20">
        <v>-2.5878989382639999</v>
      </c>
      <c r="E20">
        <v>-1.6443126528567</v>
      </c>
      <c r="F20">
        <v>2.3554427975336001</v>
      </c>
      <c r="G20">
        <v>-1.49491194132</v>
      </c>
      <c r="H20">
        <v>1.2737327813699999</v>
      </c>
      <c r="I20">
        <v>1.3735225531691</v>
      </c>
      <c r="J20">
        <v>-0.98274913449828005</v>
      </c>
      <c r="K20">
        <v>-0.36162716268997003</v>
      </c>
      <c r="L20">
        <v>-0.48165217615951</v>
      </c>
      <c r="N20">
        <v>-0.28584318984200002</v>
      </c>
    </row>
    <row r="21" spans="1:14" x14ac:dyDescent="0.25">
      <c r="A21">
        <v>2.23564524834</v>
      </c>
      <c r="B21">
        <v>-1.65425561174</v>
      </c>
      <c r="C21">
        <v>4.2695188984100003</v>
      </c>
      <c r="D21">
        <v>-2.5616727551668999</v>
      </c>
      <c r="E21">
        <v>0.85126241532239999</v>
      </c>
      <c r="F21">
        <v>2.5685964933099998</v>
      </c>
      <c r="G21">
        <v>-1.4793565646242</v>
      </c>
      <c r="H21">
        <v>1.4817166238199999</v>
      </c>
      <c r="I21">
        <v>1.3797862643679999</v>
      </c>
      <c r="J21">
        <v>-0.87713752912515996</v>
      </c>
      <c r="L21">
        <v>-0.41788567733185</v>
      </c>
      <c r="N21">
        <v>-0.27964346541637403</v>
      </c>
    </row>
    <row r="22" spans="1:14" x14ac:dyDescent="0.25">
      <c r="A22">
        <v>2.257296543881</v>
      </c>
      <c r="B22">
        <v>-1.6459866441767801</v>
      </c>
      <c r="C22">
        <v>4.3375345832469998</v>
      </c>
      <c r="D22">
        <v>-2.55617541756637</v>
      </c>
      <c r="E22">
        <v>0.87445351246946001</v>
      </c>
      <c r="F22">
        <v>2.6893539118761902</v>
      </c>
      <c r="G22">
        <v>-1.395662846447</v>
      </c>
      <c r="H22">
        <v>1.494951838749</v>
      </c>
      <c r="I22">
        <v>1.4224295926251</v>
      </c>
      <c r="J22">
        <v>-0.75233834558989998</v>
      </c>
      <c r="N22">
        <v>-0.25734176573630002</v>
      </c>
    </row>
    <row r="23" spans="1:14" x14ac:dyDescent="0.25">
      <c r="A23">
        <v>2.2714717959840001</v>
      </c>
      <c r="B23">
        <v>-1.6117173768699999</v>
      </c>
      <c r="C23">
        <v>4.6858643716822996</v>
      </c>
      <c r="D23">
        <v>-2.4995921363189999</v>
      </c>
      <c r="E23">
        <v>0.89868836322519996</v>
      </c>
      <c r="F23">
        <v>2.8572444372630001</v>
      </c>
      <c r="G23">
        <v>-1.29824865743285</v>
      </c>
      <c r="H23">
        <v>1.655651732428</v>
      </c>
      <c r="I23">
        <v>1.458231978455</v>
      </c>
      <c r="J23">
        <v>-0.74564678412350005</v>
      </c>
      <c r="N23">
        <v>-0.25463639740999999</v>
      </c>
    </row>
    <row r="24" spans="1:14" x14ac:dyDescent="0.25">
      <c r="A24">
        <v>2.2927592666724999</v>
      </c>
      <c r="B24">
        <v>-1.4892148595936301</v>
      </c>
      <c r="C24">
        <v>4.7723496718150002</v>
      </c>
      <c r="D24">
        <v>-1.9622351626361001</v>
      </c>
      <c r="E24">
        <v>1.1187692375134</v>
      </c>
      <c r="F24">
        <v>2.9571641716378001</v>
      </c>
      <c r="G24">
        <v>-0.99346747281119996</v>
      </c>
      <c r="H24">
        <v>2.1112812527826001</v>
      </c>
      <c r="I24">
        <v>1.699716614947</v>
      </c>
      <c r="J24">
        <v>-0.68184134347499004</v>
      </c>
    </row>
    <row r="25" spans="1:14" x14ac:dyDescent="0.25">
      <c r="A25">
        <v>2.3457633255700001</v>
      </c>
      <c r="B25">
        <v>-1.3947119462253501</v>
      </c>
      <c r="C25">
        <v>5.2734566475579996</v>
      </c>
      <c r="D25">
        <v>-1.9233418341199999</v>
      </c>
      <c r="E25">
        <v>1.13843756764</v>
      </c>
      <c r="F25">
        <v>3.1719595824</v>
      </c>
      <c r="G25">
        <v>0.72752789231899995</v>
      </c>
      <c r="H25">
        <v>2.1465497631644999</v>
      </c>
      <c r="I25">
        <v>1.8412312198</v>
      </c>
      <c r="J25">
        <v>1.4578387333</v>
      </c>
    </row>
    <row r="26" spans="1:14" x14ac:dyDescent="0.25">
      <c r="A26">
        <v>2.3668584939521802</v>
      </c>
      <c r="B26">
        <v>-1.156694326282</v>
      </c>
      <c r="C26">
        <v>5.6419127785940999</v>
      </c>
      <c r="D26">
        <v>-1.916786774562</v>
      </c>
      <c r="E26">
        <v>1.54518613782</v>
      </c>
      <c r="F26">
        <v>3.5323322431580002</v>
      </c>
      <c r="G26">
        <v>0.74463539933732004</v>
      </c>
      <c r="H26">
        <v>2.1735672673874999</v>
      </c>
      <c r="I26">
        <v>1.8497594748446</v>
      </c>
      <c r="J26">
        <v>1.779576489856</v>
      </c>
    </row>
    <row r="27" spans="1:14" x14ac:dyDescent="0.25">
      <c r="A27">
        <v>2.3893989535600002</v>
      </c>
      <c r="B27">
        <v>-0.93414647445689603</v>
      </c>
      <c r="C27">
        <v>5.6434424385929001</v>
      </c>
      <c r="D27">
        <v>-1.8746369539809999</v>
      </c>
      <c r="E27">
        <v>1.9716261615699999</v>
      </c>
      <c r="G27">
        <v>0.93287678972775001</v>
      </c>
      <c r="H27">
        <v>2.2984117854619801</v>
      </c>
      <c r="I27">
        <v>2.1229324631000002</v>
      </c>
      <c r="J27">
        <v>2.1311852715537198</v>
      </c>
    </row>
    <row r="28" spans="1:14" x14ac:dyDescent="0.25">
      <c r="A28">
        <v>2.4278346584260002</v>
      </c>
      <c r="B28">
        <v>-0.89482236357260003</v>
      </c>
      <c r="C28">
        <v>5.7147845651797002</v>
      </c>
      <c r="D28">
        <v>-1.6763588696828</v>
      </c>
      <c r="E28">
        <v>2.1271947396487998</v>
      </c>
      <c r="G28">
        <v>1.2446229565219999</v>
      </c>
      <c r="H28">
        <v>2.3128227938484001</v>
      </c>
      <c r="I28">
        <v>2.1728838325790001</v>
      </c>
      <c r="J28">
        <v>2.3511753135350002</v>
      </c>
    </row>
    <row r="29" spans="1:14" x14ac:dyDescent="0.25">
      <c r="A29">
        <v>2.6789841251770001</v>
      </c>
      <c r="B29">
        <v>-0.86743559665369996</v>
      </c>
      <c r="C29">
        <v>5.7153887864913004</v>
      </c>
      <c r="D29">
        <v>-1.5527885522381</v>
      </c>
      <c r="E29">
        <v>2.2477393353658002</v>
      </c>
      <c r="G29">
        <v>1.2977713984999499</v>
      </c>
      <c r="H29">
        <v>2.3335692514935902</v>
      </c>
      <c r="I29">
        <v>2.1973855141269998</v>
      </c>
      <c r="J29">
        <v>2.4494442411844899</v>
      </c>
    </row>
    <row r="30" spans="1:14" x14ac:dyDescent="0.25">
      <c r="A30">
        <v>2.6949433853835298</v>
      </c>
      <c r="B30">
        <v>-0.68778627951628002</v>
      </c>
      <c r="C30">
        <v>5.9824461697681004</v>
      </c>
      <c r="D30">
        <v>-1.4967734229191001</v>
      </c>
      <c r="E30">
        <v>2.5124995788929998</v>
      </c>
      <c r="G30">
        <v>1.5676711826775001</v>
      </c>
      <c r="H30">
        <v>2.3418118111132</v>
      </c>
      <c r="I30">
        <v>2.2289579900000001</v>
      </c>
      <c r="J30">
        <v>2.624325788583</v>
      </c>
    </row>
    <row r="31" spans="1:14" x14ac:dyDescent="0.25">
      <c r="A31">
        <v>2.7337983936366999</v>
      </c>
      <c r="B31">
        <v>1.4176796813520001</v>
      </c>
      <c r="C31">
        <v>6.2874874367196201</v>
      </c>
      <c r="D31">
        <v>-1.4367319369574301</v>
      </c>
      <c r="E31">
        <v>2.5278767235399999</v>
      </c>
      <c r="G31">
        <v>1.8737141926940999</v>
      </c>
      <c r="H31">
        <v>2.4674419626500002</v>
      </c>
      <c r="I31">
        <v>2.3116221257328</v>
      </c>
    </row>
    <row r="32" spans="1:14" x14ac:dyDescent="0.25">
      <c r="A32">
        <v>2.8189833498263002</v>
      </c>
      <c r="B32">
        <v>1.78216169416</v>
      </c>
      <c r="C32">
        <v>6.7164845142700003</v>
      </c>
      <c r="D32">
        <v>-1.256517545895</v>
      </c>
      <c r="E32">
        <v>2.5893478898310001</v>
      </c>
      <c r="G32">
        <v>4.2867321612888798</v>
      </c>
      <c r="H32">
        <v>2.5158516239000002</v>
      </c>
      <c r="I32">
        <v>2.36936236799</v>
      </c>
    </row>
    <row r="33" spans="1:8" x14ac:dyDescent="0.25">
      <c r="A33">
        <v>2.8448887819220001</v>
      </c>
      <c r="B33">
        <v>2.33628183178</v>
      </c>
      <c r="C33">
        <v>6.7196225843972002</v>
      </c>
      <c r="D33">
        <v>-0.92221998414951001</v>
      </c>
      <c r="E33">
        <v>2.6897878617522002</v>
      </c>
      <c r="H33">
        <v>2.64424999478</v>
      </c>
    </row>
    <row r="34" spans="1:8" x14ac:dyDescent="0.25">
      <c r="A34">
        <v>2.9777554189500002</v>
      </c>
      <c r="B34">
        <v>2.3818935526895002</v>
      </c>
      <c r="C34">
        <v>6.7351723589376</v>
      </c>
      <c r="D34">
        <v>0.87435478561289004</v>
      </c>
      <c r="E34">
        <v>2.7716116355699998</v>
      </c>
      <c r="H34">
        <v>3.3653529149699999</v>
      </c>
    </row>
    <row r="35" spans="1:8" x14ac:dyDescent="0.25">
      <c r="A35">
        <v>3.2164891738731902</v>
      </c>
      <c r="B35">
        <v>2.3894521958527002</v>
      </c>
      <c r="C35">
        <v>7.1378241384900001</v>
      </c>
      <c r="D35">
        <v>0.97147471897589999</v>
      </c>
      <c r="E35">
        <v>2.7751278147843399</v>
      </c>
      <c r="H35">
        <v>3.7497859274626002</v>
      </c>
    </row>
    <row r="36" spans="1:8" x14ac:dyDescent="0.25">
      <c r="A36">
        <v>3.2539361555382</v>
      </c>
      <c r="B36">
        <v>2.49838345541461</v>
      </c>
      <c r="C36">
        <v>7.1644578143939004</v>
      </c>
      <c r="D36">
        <v>0.99937274799839804</v>
      </c>
      <c r="E36">
        <v>2.8371648723549998</v>
      </c>
      <c r="H36">
        <v>4.2131795652499999</v>
      </c>
    </row>
    <row r="37" spans="1:8" x14ac:dyDescent="0.25">
      <c r="A37">
        <v>3.3152389987520001</v>
      </c>
      <c r="B37">
        <v>2.5777373734875701</v>
      </c>
      <c r="D37">
        <v>1.1117872621937099</v>
      </c>
      <c r="H37">
        <v>4.5361586548219996</v>
      </c>
    </row>
    <row r="38" spans="1:8" x14ac:dyDescent="0.25">
      <c r="A38">
        <v>3.5741423138939998</v>
      </c>
      <c r="B38">
        <v>2.6637124176745002</v>
      </c>
      <c r="D38">
        <v>1.116195872132</v>
      </c>
    </row>
    <row r="39" spans="1:8" x14ac:dyDescent="0.25">
      <c r="A39">
        <v>3.6279776996290001</v>
      </c>
      <c r="B39">
        <v>6.243676731751</v>
      </c>
      <c r="D39">
        <v>1.247358971823</v>
      </c>
    </row>
    <row r="40" spans="1:8" x14ac:dyDescent="0.25">
      <c r="A40">
        <v>4.5355334856287</v>
      </c>
      <c r="D40">
        <v>1.25232222165927</v>
      </c>
    </row>
    <row r="41" spans="1:8" x14ac:dyDescent="0.25">
      <c r="A41">
        <v>4.5888591971970003</v>
      </c>
      <c r="D41">
        <v>1.26592419563</v>
      </c>
    </row>
    <row r="42" spans="1:8" x14ac:dyDescent="0.25">
      <c r="D42">
        <v>1.4339746679383001</v>
      </c>
    </row>
    <row r="43" spans="1:8" x14ac:dyDescent="0.25">
      <c r="D43">
        <v>1.4676175818531001</v>
      </c>
    </row>
    <row r="44" spans="1:8" x14ac:dyDescent="0.25">
      <c r="D44">
        <v>1.5569674675178999</v>
      </c>
    </row>
    <row r="45" spans="1:8" x14ac:dyDescent="0.25">
      <c r="D45">
        <v>1.6161741254099999</v>
      </c>
    </row>
    <row r="46" spans="1:8" x14ac:dyDescent="0.25">
      <c r="D46">
        <v>1.6591499549223501</v>
      </c>
    </row>
    <row r="47" spans="1:8" x14ac:dyDescent="0.25">
      <c r="D47">
        <v>1.6699538764888999</v>
      </c>
    </row>
    <row r="48" spans="1:8" x14ac:dyDescent="0.25">
      <c r="D48">
        <v>1.6899824662612</v>
      </c>
    </row>
    <row r="49" spans="4:4" x14ac:dyDescent="0.25">
      <c r="D49">
        <v>1.8637292462999999</v>
      </c>
    </row>
    <row r="50" spans="4:4" x14ac:dyDescent="0.25">
      <c r="D50">
        <v>1.9128839258966699</v>
      </c>
    </row>
    <row r="51" spans="4:4" x14ac:dyDescent="0.25">
      <c r="D51">
        <v>1.9877779872579999</v>
      </c>
    </row>
    <row r="52" spans="4:4" x14ac:dyDescent="0.25">
      <c r="D52">
        <v>2.1158664325268002</v>
      </c>
    </row>
    <row r="53" spans="4:4" x14ac:dyDescent="0.25">
      <c r="D53">
        <v>2.1275413147319</v>
      </c>
    </row>
    <row r="54" spans="4:4" x14ac:dyDescent="0.25">
      <c r="D54">
        <v>2.12952325867517</v>
      </c>
    </row>
    <row r="55" spans="4:4" x14ac:dyDescent="0.25">
      <c r="D55">
        <v>2.1529148274100001</v>
      </c>
    </row>
    <row r="56" spans="4:4" x14ac:dyDescent="0.25">
      <c r="D56">
        <v>2.1646692761261201</v>
      </c>
    </row>
    <row r="57" spans="4:4" x14ac:dyDescent="0.25">
      <c r="D57">
        <v>2.2256329795251002</v>
      </c>
    </row>
    <row r="58" spans="4:4" x14ac:dyDescent="0.25">
      <c r="D58">
        <v>2.4717436898890002</v>
      </c>
    </row>
    <row r="59" spans="4:4" x14ac:dyDescent="0.25">
      <c r="D59">
        <v>2.8975551398996</v>
      </c>
    </row>
    <row r="60" spans="4:4" x14ac:dyDescent="0.25">
      <c r="D60">
        <v>3.64343463355564</v>
      </c>
    </row>
    <row r="61" spans="4:4" x14ac:dyDescent="0.25">
      <c r="D61">
        <v>3.7763895276919999</v>
      </c>
    </row>
    <row r="62" spans="4:4" x14ac:dyDescent="0.25">
      <c r="D62">
        <v>3.8912532339496999</v>
      </c>
    </row>
    <row r="63" spans="4:4" x14ac:dyDescent="0.25">
      <c r="D63">
        <v>4.2218132673615703</v>
      </c>
    </row>
    <row r="64" spans="4:4" x14ac:dyDescent="0.25">
      <c r="D64">
        <v>4.4147969578487301</v>
      </c>
    </row>
    <row r="65" spans="4:4" x14ac:dyDescent="0.25">
      <c r="D65">
        <v>5.1253951469858103</v>
      </c>
    </row>
    <row r="66" spans="4:4" x14ac:dyDescent="0.25">
      <c r="D66">
        <v>5.6713539716436099</v>
      </c>
    </row>
    <row r="67" spans="4:4" x14ac:dyDescent="0.25">
      <c r="D67">
        <v>5.7193145645829997</v>
      </c>
    </row>
    <row r="68" spans="4:4" x14ac:dyDescent="0.25">
      <c r="D68">
        <v>8.3238816818846999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9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519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0.64523559282326004</v>
      </c>
      <c r="B2">
        <v>-5.8145231142830003</v>
      </c>
      <c r="C2">
        <v>-16.389865191335002</v>
      </c>
      <c r="D2">
        <v>-4.7172248655138</v>
      </c>
      <c r="E2">
        <v>-4.5626886846769397</v>
      </c>
      <c r="F2">
        <v>-3.4814961349944999</v>
      </c>
      <c r="G2">
        <v>-2.7241331767849002</v>
      </c>
      <c r="H2">
        <v>-2.1223877766152799</v>
      </c>
      <c r="I2">
        <v>-4.2727385533530002</v>
      </c>
      <c r="J2">
        <v>-5.7829556296621698</v>
      </c>
      <c r="K2">
        <v>-3.4461686659813999</v>
      </c>
      <c r="L2">
        <v>-2.811453577814</v>
      </c>
      <c r="M2">
        <v>-2.1579334328948101</v>
      </c>
      <c r="N2">
        <v>-0.64893982818524998</v>
      </c>
      <c r="O2">
        <v>-0.459567621466</v>
      </c>
      <c r="S2" s="14" t="s">
        <v>526</v>
      </c>
      <c r="T2">
        <f>MIN(A:A)</f>
        <v>0.64523559282326004</v>
      </c>
      <c r="U2">
        <f t="shared" ref="U2:AH2" si="0">MIN(B:B)</f>
        <v>-5.8145231142830003</v>
      </c>
      <c r="V2">
        <f t="shared" si="0"/>
        <v>-16.389865191335002</v>
      </c>
      <c r="W2">
        <f t="shared" si="0"/>
        <v>-4.7172248655138</v>
      </c>
      <c r="X2">
        <f t="shared" si="0"/>
        <v>-4.5626886846769397</v>
      </c>
      <c r="Y2">
        <f t="shared" si="0"/>
        <v>-3.4814961349944999</v>
      </c>
      <c r="Z2">
        <f t="shared" si="0"/>
        <v>-2.7241331767849002</v>
      </c>
      <c r="AA2">
        <f t="shared" si="0"/>
        <v>-2.1223877766152799</v>
      </c>
      <c r="AB2">
        <f t="shared" si="0"/>
        <v>-4.2727385533530002</v>
      </c>
      <c r="AC2">
        <f t="shared" si="0"/>
        <v>-5.7829556296621698</v>
      </c>
      <c r="AD2">
        <f t="shared" si="0"/>
        <v>-3.4461686659813999</v>
      </c>
      <c r="AE2">
        <f t="shared" si="0"/>
        <v>-2.811453577814</v>
      </c>
      <c r="AF2">
        <f t="shared" si="0"/>
        <v>-2.1579334328948101</v>
      </c>
      <c r="AG2">
        <f t="shared" si="0"/>
        <v>-0.64893982818524998</v>
      </c>
      <c r="AH2">
        <f t="shared" si="0"/>
        <v>-0.459567621466</v>
      </c>
    </row>
    <row r="3" spans="1:34" x14ac:dyDescent="0.25">
      <c r="A3">
        <v>0.66212571715500002</v>
      </c>
      <c r="B3">
        <v>-5.2549288450000002</v>
      </c>
      <c r="C3">
        <v>-8.3398755733919998</v>
      </c>
      <c r="D3">
        <v>-4.3383681863838</v>
      </c>
      <c r="E3">
        <v>-4.5272282727700004</v>
      </c>
      <c r="F3">
        <v>-2.7585126355273002</v>
      </c>
      <c r="G3">
        <v>-2.5698355971216</v>
      </c>
      <c r="H3">
        <v>-1.4662592286651499</v>
      </c>
      <c r="I3">
        <v>-2.5665483362572998</v>
      </c>
      <c r="J3">
        <v>-4.6237463375664101</v>
      </c>
      <c r="K3">
        <v>-2.2374163424870002</v>
      </c>
      <c r="L3">
        <v>-2.2897571792117</v>
      </c>
      <c r="M3">
        <v>-1.9833459616289999</v>
      </c>
      <c r="N3">
        <v>-0.58728868885120999</v>
      </c>
      <c r="O3">
        <v>-0.45385839496753999</v>
      </c>
      <c r="S3" s="14" t="s">
        <v>527</v>
      </c>
      <c r="T3">
        <f>MAX(A:A)</f>
        <v>4.7566285654492004</v>
      </c>
      <c r="U3">
        <f t="shared" ref="U3:AH3" si="1">MAX(B:B)</f>
        <v>6.243676731751</v>
      </c>
      <c r="V3">
        <f t="shared" si="1"/>
        <v>7.1644578143939004</v>
      </c>
      <c r="W3">
        <f t="shared" si="1"/>
        <v>8.3238816818846999</v>
      </c>
      <c r="X3">
        <f t="shared" si="1"/>
        <v>2.8371648723549998</v>
      </c>
      <c r="Y3">
        <f t="shared" si="1"/>
        <v>2.9571641716378001</v>
      </c>
      <c r="Z3">
        <f t="shared" si="1"/>
        <v>4.2867321612888798</v>
      </c>
      <c r="AA3">
        <f t="shared" si="1"/>
        <v>5.3779634491510997</v>
      </c>
      <c r="AB3">
        <f t="shared" si="1"/>
        <v>2.4464158535423199</v>
      </c>
      <c r="AC3">
        <f t="shared" si="1"/>
        <v>2.767568164279</v>
      </c>
      <c r="AD3">
        <f t="shared" si="1"/>
        <v>-0.31123256333926003</v>
      </c>
      <c r="AE3">
        <f t="shared" si="1"/>
        <v>0.68219792658816003</v>
      </c>
      <c r="AF3">
        <f t="shared" si="1"/>
        <v>-0.51455273742498997</v>
      </c>
      <c r="AG3">
        <f t="shared" si="1"/>
        <v>-0.25463639740999999</v>
      </c>
      <c r="AH3">
        <f t="shared" si="1"/>
        <v>-0.21827759727500001</v>
      </c>
    </row>
    <row r="4" spans="1:34" x14ac:dyDescent="0.25">
      <c r="A4">
        <v>0.69529316825270004</v>
      </c>
      <c r="B4">
        <v>-5.1483644666527999</v>
      </c>
      <c r="C4">
        <v>-7.9849147336464403</v>
      </c>
      <c r="D4">
        <v>-3.9929357525159999</v>
      </c>
      <c r="E4">
        <v>-3.215975728354</v>
      </c>
      <c r="F4">
        <v>-2.51539546887</v>
      </c>
      <c r="G4">
        <v>-2.4989999814536001</v>
      </c>
      <c r="H4">
        <v>-1.4488665536755001</v>
      </c>
      <c r="I4">
        <v>-1.7547124815194499</v>
      </c>
      <c r="J4">
        <v>-4.1776959938453304</v>
      </c>
      <c r="K4">
        <v>-2.1866337269569298</v>
      </c>
      <c r="L4">
        <v>-2.2861714968200002</v>
      </c>
      <c r="M4">
        <v>-1.9768977668515999</v>
      </c>
      <c r="N4">
        <v>-0.54237769288990001</v>
      </c>
      <c r="O4">
        <v>-0.35411937455451997</v>
      </c>
      <c r="S4" s="14" t="s">
        <v>528</v>
      </c>
      <c r="T4">
        <f>AVERAGE(A:A)</f>
        <v>1.822167024241419</v>
      </c>
      <c r="U4">
        <f t="shared" ref="U4:AH4" si="2">AVERAGE(B:B)</f>
        <v>-1.6370652610163465</v>
      </c>
      <c r="V4">
        <f t="shared" si="2"/>
        <v>1.8947308717915987</v>
      </c>
      <c r="W4">
        <f t="shared" si="2"/>
        <v>-0.94882036098893108</v>
      </c>
      <c r="X4">
        <f t="shared" si="2"/>
        <v>-0.32017761883672857</v>
      </c>
      <c r="Y4">
        <f t="shared" si="2"/>
        <v>0.12771365276126428</v>
      </c>
      <c r="Z4">
        <f t="shared" si="2"/>
        <v>-0.91825224522667237</v>
      </c>
      <c r="AA4">
        <f t="shared" si="2"/>
        <v>0.84282134735178482</v>
      </c>
      <c r="AB4">
        <f t="shared" si="2"/>
        <v>1.1070535294900967</v>
      </c>
      <c r="AC4">
        <f t="shared" si="2"/>
        <v>-0.70514219008025003</v>
      </c>
      <c r="AD4">
        <f t="shared" si="2"/>
        <v>-1.1364229974077469</v>
      </c>
      <c r="AE4">
        <f t="shared" si="2"/>
        <v>-1.5437654049382159</v>
      </c>
      <c r="AF4">
        <f t="shared" si="2"/>
        <v>-1.478188236894824</v>
      </c>
      <c r="AG4">
        <f t="shared" si="2"/>
        <v>-0.4002397309588297</v>
      </c>
      <c r="AH4">
        <f t="shared" si="2"/>
        <v>-0.30941243763290999</v>
      </c>
    </row>
    <row r="5" spans="1:34" x14ac:dyDescent="0.25">
      <c r="A5">
        <v>0.81427723446136002</v>
      </c>
      <c r="B5">
        <v>-4.6156937131614999</v>
      </c>
      <c r="C5">
        <v>-7.1591617925576001</v>
      </c>
      <c r="D5">
        <v>-3.9369815821562999</v>
      </c>
      <c r="E5">
        <v>-2.9676614477999999</v>
      </c>
      <c r="F5">
        <v>-2.1165598634428</v>
      </c>
      <c r="G5">
        <v>-2.4868239727753099</v>
      </c>
      <c r="H5">
        <v>-1.4279137453320001</v>
      </c>
      <c r="I5">
        <v>0.42723531896559003</v>
      </c>
      <c r="J5">
        <v>-3.3971217236581999</v>
      </c>
      <c r="K5">
        <v>-1.6471594365973099</v>
      </c>
      <c r="L5">
        <v>-2.247267316796</v>
      </c>
      <c r="M5">
        <v>-1.9614378244748001</v>
      </c>
      <c r="N5">
        <v>-0.51257467259650003</v>
      </c>
      <c r="O5">
        <v>-0.34859993626278002</v>
      </c>
      <c r="S5" s="14" t="s">
        <v>525</v>
      </c>
      <c r="T5">
        <f>COUNT(A2:A84)</f>
        <v>39</v>
      </c>
      <c r="U5">
        <f>COUNT(B2:B84)</f>
        <v>40</v>
      </c>
      <c r="V5">
        <f t="shared" ref="V5:AH5" si="3">COUNT(C2:C84)</f>
        <v>68</v>
      </c>
      <c r="W5">
        <f t="shared" si="3"/>
        <v>35</v>
      </c>
      <c r="X5">
        <f t="shared" si="3"/>
        <v>32</v>
      </c>
      <c r="Y5">
        <f t="shared" si="3"/>
        <v>27</v>
      </c>
      <c r="Z5">
        <f t="shared" si="3"/>
        <v>30</v>
      </c>
      <c r="AA5">
        <f t="shared" si="3"/>
        <v>29</v>
      </c>
      <c r="AB5">
        <f t="shared" si="3"/>
        <v>36</v>
      </c>
      <c r="AC5">
        <f t="shared" si="3"/>
        <v>28</v>
      </c>
      <c r="AD5">
        <f t="shared" si="3"/>
        <v>20</v>
      </c>
      <c r="AE5">
        <f t="shared" si="3"/>
        <v>26</v>
      </c>
      <c r="AF5">
        <f t="shared" si="3"/>
        <v>22</v>
      </c>
      <c r="AG5">
        <f t="shared" si="3"/>
        <v>22</v>
      </c>
      <c r="AH5">
        <f t="shared" si="3"/>
        <v>9</v>
      </c>
    </row>
    <row r="6" spans="1:34" x14ac:dyDescent="0.25">
      <c r="A6">
        <v>0.88375291625563002</v>
      </c>
      <c r="B6">
        <v>-3.7688486622499999</v>
      </c>
      <c r="C6">
        <v>-5.5213332242998003</v>
      </c>
      <c r="D6">
        <v>-3.4993543395315498</v>
      </c>
      <c r="E6">
        <v>-2.6587745611542899</v>
      </c>
      <c r="F6">
        <v>-1.924197936668</v>
      </c>
      <c r="G6">
        <v>-2.4485277211945</v>
      </c>
      <c r="H6">
        <v>-1.3995799144225201</v>
      </c>
      <c r="I6">
        <v>0.57449617928635399</v>
      </c>
      <c r="J6">
        <v>-2.7116942491263001</v>
      </c>
      <c r="K6">
        <v>-1.5581219972256499</v>
      </c>
      <c r="L6">
        <v>-2.1567715666764999</v>
      </c>
      <c r="M6">
        <v>-1.9457279367442899</v>
      </c>
      <c r="N6">
        <v>-0.48177391852233598</v>
      </c>
      <c r="O6">
        <v>-0.26795232546699999</v>
      </c>
    </row>
    <row r="7" spans="1:34" x14ac:dyDescent="0.25">
      <c r="A7">
        <v>0.88698918443739005</v>
      </c>
      <c r="B7">
        <v>-3.7399125946299998</v>
      </c>
      <c r="C7">
        <v>-5.2883862639399997</v>
      </c>
      <c r="D7">
        <v>-3.46129919419</v>
      </c>
      <c r="E7">
        <v>-2.4999934196172</v>
      </c>
      <c r="F7">
        <v>-1.858565281</v>
      </c>
      <c r="G7">
        <v>-2.3549821268810001</v>
      </c>
      <c r="H7">
        <v>-1.3949912862660001</v>
      </c>
      <c r="I7">
        <v>0.74312421776213999</v>
      </c>
      <c r="J7">
        <v>-2.4838193292168</v>
      </c>
      <c r="K7">
        <v>-1.4842629521563</v>
      </c>
      <c r="L7">
        <v>-1.9877278533562599</v>
      </c>
      <c r="M7">
        <v>-1.82434326714189</v>
      </c>
      <c r="N7">
        <v>-0.47881861977491202</v>
      </c>
      <c r="O7">
        <v>-0.23574742461133999</v>
      </c>
    </row>
    <row r="8" spans="1:34" x14ac:dyDescent="0.25">
      <c r="A8">
        <v>0.89729271171949998</v>
      </c>
      <c r="B8">
        <v>-3.7257579715159999</v>
      </c>
      <c r="C8">
        <v>-4.6589667646199002</v>
      </c>
      <c r="D8">
        <v>-3.3749465278350002</v>
      </c>
      <c r="E8">
        <v>-2.46668289533</v>
      </c>
      <c r="F8">
        <v>-1.615846597237</v>
      </c>
      <c r="G8">
        <v>-2.2298522669510001</v>
      </c>
      <c r="H8">
        <v>-1.3649413935914001</v>
      </c>
      <c r="I8">
        <v>0.78427791353559995</v>
      </c>
      <c r="J8">
        <v>-1.9975746332394</v>
      </c>
      <c r="K8">
        <v>-1.2666949976999999</v>
      </c>
      <c r="L8">
        <v>-1.9744968816249</v>
      </c>
      <c r="M8">
        <v>-1.7138851529000001</v>
      </c>
      <c r="N8">
        <v>-0.43583928646879999</v>
      </c>
      <c r="O8">
        <v>-0.22812127442251001</v>
      </c>
    </row>
    <row r="9" spans="1:34" x14ac:dyDescent="0.25">
      <c r="A9">
        <v>0.91545469654484002</v>
      </c>
      <c r="B9">
        <v>-3.4584771499350002</v>
      </c>
      <c r="C9">
        <v>-4.5412595972753103</v>
      </c>
      <c r="D9">
        <v>-3.3458788984590999</v>
      </c>
      <c r="E9">
        <v>-2.3542734255933002</v>
      </c>
      <c r="F9">
        <v>-1.4746593798957</v>
      </c>
      <c r="G9">
        <v>-2.1814224288676298</v>
      </c>
      <c r="H9">
        <v>-1.2467727533424999</v>
      </c>
      <c r="I9">
        <v>0.7951638111332</v>
      </c>
      <c r="J9">
        <v>-1.8971682697447001</v>
      </c>
      <c r="K9">
        <v>-1.24159526783548</v>
      </c>
      <c r="L9">
        <v>-1.9254692964147</v>
      </c>
      <c r="M9">
        <v>-1.6985843851785001</v>
      </c>
      <c r="N9">
        <v>-0.435682474524</v>
      </c>
      <c r="O9">
        <v>-0.21846798966950001</v>
      </c>
    </row>
    <row r="10" spans="1:34" x14ac:dyDescent="0.25">
      <c r="A10">
        <v>0.95988974797509996</v>
      </c>
      <c r="B10">
        <v>-3.3235845233879999</v>
      </c>
      <c r="C10">
        <v>-4.3824179748240004</v>
      </c>
      <c r="D10">
        <v>-3.3366234625818998</v>
      </c>
      <c r="E10">
        <v>-2.1354378595657302</v>
      </c>
      <c r="F10">
        <v>-1.463458388866</v>
      </c>
      <c r="G10">
        <v>-2.1494472980000001</v>
      </c>
      <c r="H10">
        <v>-1.228848113537</v>
      </c>
      <c r="I10">
        <v>0.84173382419129195</v>
      </c>
      <c r="J10">
        <v>-1.8716523712099999</v>
      </c>
      <c r="K10">
        <v>-1.1487812989591999</v>
      </c>
      <c r="L10">
        <v>-1.8483441813099999</v>
      </c>
      <c r="M10">
        <v>-1.6465857558274</v>
      </c>
      <c r="N10">
        <v>-0.4136325336951</v>
      </c>
      <c r="O10">
        <v>-0.21827759727500001</v>
      </c>
    </row>
    <row r="11" spans="1:34" x14ac:dyDescent="0.25">
      <c r="A11">
        <v>0.98571967384496995</v>
      </c>
      <c r="B11">
        <v>-3.2948336817533899</v>
      </c>
      <c r="C11">
        <v>-4.1115758697568996</v>
      </c>
      <c r="D11">
        <v>-3.283656133799</v>
      </c>
      <c r="E11">
        <v>-1.99822951499474</v>
      </c>
      <c r="F11">
        <v>-1.265583431</v>
      </c>
      <c r="G11">
        <v>-2.1252218283772999</v>
      </c>
      <c r="H11">
        <v>-0.98557297182329995</v>
      </c>
      <c r="I11">
        <v>0.92884287457600001</v>
      </c>
      <c r="J11">
        <v>-1.7768647541767</v>
      </c>
      <c r="K11">
        <v>-0.83667616115279997</v>
      </c>
      <c r="L11">
        <v>-1.6779358672212199</v>
      </c>
      <c r="M11">
        <v>-1.61826489729</v>
      </c>
      <c r="N11">
        <v>-0.37933495834549003</v>
      </c>
    </row>
    <row r="12" spans="1:34" x14ac:dyDescent="0.25">
      <c r="A12">
        <v>0.98945441329240003</v>
      </c>
      <c r="B12">
        <v>-2.9325941145249601</v>
      </c>
      <c r="C12">
        <v>-3.4837137195593799</v>
      </c>
      <c r="D12">
        <v>-3.1822583344240001</v>
      </c>
      <c r="E12">
        <v>-1.987968494397</v>
      </c>
      <c r="F12">
        <v>-1.1355944973600001</v>
      </c>
      <c r="G12">
        <v>-1.8999332989254001</v>
      </c>
      <c r="H12">
        <v>0.65166395494497997</v>
      </c>
      <c r="I12">
        <v>0.94768859836872998</v>
      </c>
      <c r="J12">
        <v>-1.712989925397</v>
      </c>
      <c r="K12">
        <v>-0.76521965285912996</v>
      </c>
      <c r="L12">
        <v>-1.6339528561700001</v>
      </c>
      <c r="M12">
        <v>-1.5721196435910001</v>
      </c>
      <c r="N12">
        <v>-0.37825649914142001</v>
      </c>
    </row>
    <row r="13" spans="1:34" x14ac:dyDescent="0.25">
      <c r="A13">
        <v>0.98953625212814</v>
      </c>
      <c r="B13">
        <v>-2.8625897362599999</v>
      </c>
      <c r="C13">
        <v>-3.3883377316876002</v>
      </c>
      <c r="D13">
        <v>-3.1141994437544001</v>
      </c>
      <c r="E13">
        <v>-1.69523172732714</v>
      </c>
      <c r="F13">
        <v>-1.1215459547313</v>
      </c>
      <c r="G13">
        <v>-1.8277274792989999</v>
      </c>
      <c r="H13">
        <v>0.79754736358577005</v>
      </c>
      <c r="I13">
        <v>0.96974393819122995</v>
      </c>
      <c r="J13">
        <v>-1.6459143377111001</v>
      </c>
      <c r="K13">
        <v>-0.74837499433960997</v>
      </c>
      <c r="L13">
        <v>-1.6255195757471801</v>
      </c>
      <c r="M13">
        <v>-1.5669327879299499</v>
      </c>
      <c r="N13">
        <v>-0.374148617892266</v>
      </c>
    </row>
    <row r="14" spans="1:34" x14ac:dyDescent="0.25">
      <c r="A14">
        <v>1.1572844529360999</v>
      </c>
      <c r="B14">
        <v>-2.84689845189979</v>
      </c>
      <c r="C14">
        <v>-2.7311198527460001</v>
      </c>
      <c r="D14">
        <v>-3.1113741481299999</v>
      </c>
      <c r="E14">
        <v>-1.6636723517873</v>
      </c>
      <c r="F14">
        <v>-0.87895822397650003</v>
      </c>
      <c r="G14">
        <v>-1.7925614148492</v>
      </c>
      <c r="H14">
        <v>0.9559586886168</v>
      </c>
      <c r="I14">
        <v>0.99866173115430001</v>
      </c>
      <c r="J14">
        <v>-1.586843171768</v>
      </c>
      <c r="K14">
        <v>-0.73322684381799996</v>
      </c>
      <c r="L14">
        <v>-1.6187574164131</v>
      </c>
      <c r="M14">
        <v>-1.5368327548981</v>
      </c>
      <c r="N14">
        <v>-0.36957921159278001</v>
      </c>
    </row>
    <row r="15" spans="1:34" x14ac:dyDescent="0.25">
      <c r="A15">
        <v>1.1813747745865999</v>
      </c>
      <c r="B15">
        <v>-2.8347938314532999</v>
      </c>
      <c r="C15">
        <v>0.56943746562461095</v>
      </c>
      <c r="D15">
        <v>-2.7497426313409998</v>
      </c>
      <c r="E15">
        <v>-1.6571188137499999</v>
      </c>
      <c r="F15">
        <v>0.92262824370999996</v>
      </c>
      <c r="G15">
        <v>-1.7464662759709999</v>
      </c>
      <c r="H15">
        <v>0.96979413248669999</v>
      </c>
      <c r="I15">
        <v>1.149774859311</v>
      </c>
      <c r="J15">
        <v>-1.568797515617</v>
      </c>
      <c r="K15">
        <v>-0.64954597186176599</v>
      </c>
      <c r="L15">
        <v>-1.55835136177246</v>
      </c>
      <c r="M15">
        <v>-1.5279976397620001</v>
      </c>
      <c r="N15">
        <v>-0.36251182739635501</v>
      </c>
    </row>
    <row r="16" spans="1:34" x14ac:dyDescent="0.25">
      <c r="A16">
        <v>1.1873294743514999</v>
      </c>
      <c r="B16">
        <v>-2.7658225657000002</v>
      </c>
      <c r="C16">
        <v>0.58286574765537003</v>
      </c>
      <c r="D16">
        <v>-2.735588562217</v>
      </c>
      <c r="E16">
        <v>-1.6443126528567</v>
      </c>
      <c r="F16">
        <v>0.96444887351999997</v>
      </c>
      <c r="G16">
        <v>-1.6883851739419999</v>
      </c>
      <c r="H16">
        <v>0.97612179714258895</v>
      </c>
      <c r="I16">
        <v>1.2436792416272</v>
      </c>
      <c r="J16">
        <v>-1.41638942495</v>
      </c>
      <c r="K16">
        <v>-0.63939332313870001</v>
      </c>
      <c r="L16">
        <v>-1.55571572985823</v>
      </c>
      <c r="M16">
        <v>-1.4676321336463001</v>
      </c>
      <c r="N16">
        <v>-0.35567353588169998</v>
      </c>
    </row>
    <row r="17" spans="1:14" x14ac:dyDescent="0.25">
      <c r="A17">
        <v>1.2918622513733</v>
      </c>
      <c r="B17">
        <v>-2.76377727295516</v>
      </c>
      <c r="C17">
        <v>0.61154939382950002</v>
      </c>
      <c r="D17">
        <v>-2.6753185883600001</v>
      </c>
      <c r="E17">
        <v>-1.6196578564299999</v>
      </c>
      <c r="F17">
        <v>1.2393379841837</v>
      </c>
      <c r="G17">
        <v>-1.4311121415100001</v>
      </c>
      <c r="H17">
        <v>1.1149361175870001</v>
      </c>
      <c r="I17">
        <v>1.3221675152000001</v>
      </c>
      <c r="J17">
        <v>-1.33431274668</v>
      </c>
      <c r="K17">
        <v>-0.59896323234112303</v>
      </c>
      <c r="L17">
        <v>-1.5533594245</v>
      </c>
      <c r="M17">
        <v>-1.4636638165553</v>
      </c>
      <c r="N17">
        <v>-0.35478541263240998</v>
      </c>
    </row>
    <row r="18" spans="1:14" x14ac:dyDescent="0.25">
      <c r="A18">
        <v>1.3371484794199999</v>
      </c>
      <c r="B18">
        <v>-2.6897988799719998</v>
      </c>
      <c r="C18">
        <v>0.64123582356389996</v>
      </c>
      <c r="D18">
        <v>-2.6693672376371498</v>
      </c>
      <c r="E18">
        <v>-1.61729642585522</v>
      </c>
      <c r="F18">
        <v>1.263567672225</v>
      </c>
      <c r="G18">
        <v>-1.278315834434</v>
      </c>
      <c r="H18">
        <v>1.5414428278186001</v>
      </c>
      <c r="I18">
        <v>1.3385598452559999</v>
      </c>
      <c r="J18">
        <v>-1.229948692</v>
      </c>
      <c r="K18">
        <v>-0.45696269493528002</v>
      </c>
      <c r="L18">
        <v>-1.5474773742318</v>
      </c>
      <c r="M18">
        <v>-1.3572543953217999</v>
      </c>
      <c r="N18">
        <v>-0.319132365737398</v>
      </c>
    </row>
    <row r="19" spans="1:14" x14ac:dyDescent="0.25">
      <c r="A19">
        <v>1.3757577512279999</v>
      </c>
      <c r="B19">
        <v>-2.6431271921238002</v>
      </c>
      <c r="C19">
        <v>0.71844449109999997</v>
      </c>
      <c r="D19">
        <v>-2.5888877586720001</v>
      </c>
      <c r="E19">
        <v>0.85126241532239999</v>
      </c>
      <c r="F19">
        <v>1.2862247683710999</v>
      </c>
      <c r="G19">
        <v>-1.2375822724422001</v>
      </c>
      <c r="H19">
        <v>1.5738117941351999</v>
      </c>
      <c r="I19">
        <v>1.3632182829699999</v>
      </c>
      <c r="J19">
        <v>0.78398315134399998</v>
      </c>
      <c r="K19">
        <v>-0.44532982887</v>
      </c>
      <c r="L19">
        <v>-1.5277293525983</v>
      </c>
      <c r="M19">
        <v>-0.99118982673287404</v>
      </c>
      <c r="N19">
        <v>-0.31571872111444699</v>
      </c>
    </row>
    <row r="20" spans="1:14" x14ac:dyDescent="0.25">
      <c r="A20">
        <v>1.38953911489944</v>
      </c>
      <c r="B20">
        <v>-2.5828678890000001</v>
      </c>
      <c r="C20">
        <v>0.95257834942715602</v>
      </c>
      <c r="D20">
        <v>-2.5878989382639999</v>
      </c>
      <c r="E20">
        <v>1.1187692375134</v>
      </c>
      <c r="F20">
        <v>1.4716374942611701</v>
      </c>
      <c r="G20">
        <v>-0.99662284187000005</v>
      </c>
      <c r="H20">
        <v>1.9575667474689999</v>
      </c>
      <c r="I20">
        <v>1.3735225531691</v>
      </c>
      <c r="J20">
        <v>0.82912457658880001</v>
      </c>
      <c r="K20">
        <v>-0.32669999560000001</v>
      </c>
      <c r="L20">
        <v>-1.4771265743588999</v>
      </c>
      <c r="M20">
        <v>-0.87726487244932005</v>
      </c>
      <c r="N20">
        <v>-0.28988178753568</v>
      </c>
    </row>
    <row r="21" spans="1:14" x14ac:dyDescent="0.25">
      <c r="A21">
        <v>1.4392528358900001</v>
      </c>
      <c r="B21">
        <v>-2.5826898752123801</v>
      </c>
      <c r="C21">
        <v>1.1699729447750999</v>
      </c>
      <c r="D21">
        <v>-2.5616727551668999</v>
      </c>
      <c r="E21">
        <v>1.1294767826865</v>
      </c>
      <c r="F21">
        <v>1.49248596343759</v>
      </c>
      <c r="G21">
        <v>-0.92241165914376</v>
      </c>
      <c r="H21">
        <v>2.1735672673874999</v>
      </c>
      <c r="I21">
        <v>1.3797862643679999</v>
      </c>
      <c r="J21">
        <v>1.5193877918111001</v>
      </c>
      <c r="K21">
        <v>-0.31123256333926003</v>
      </c>
      <c r="L21">
        <v>-1.4337223719145999</v>
      </c>
      <c r="M21">
        <v>-0.57595154279399996</v>
      </c>
      <c r="N21">
        <v>-0.25734526517</v>
      </c>
    </row>
    <row r="22" spans="1:14" x14ac:dyDescent="0.25">
      <c r="A22">
        <v>1.4481416747923199</v>
      </c>
      <c r="B22">
        <v>-2.3727651334100002</v>
      </c>
      <c r="C22">
        <v>1.5762595641549999</v>
      </c>
      <c r="D22">
        <v>-2.55617541756637</v>
      </c>
      <c r="E22">
        <v>1.13843756764</v>
      </c>
      <c r="F22">
        <v>2.3757318871120998</v>
      </c>
      <c r="G22">
        <v>-0.85641933965999995</v>
      </c>
      <c r="H22">
        <v>2.2984117854619801</v>
      </c>
      <c r="I22">
        <v>1.4162563651527</v>
      </c>
      <c r="J22">
        <v>1.6992493717382999</v>
      </c>
      <c r="L22">
        <v>-1.415321873396</v>
      </c>
      <c r="M22">
        <v>-0.5417426796482</v>
      </c>
      <c r="N22">
        <v>-0.25734176573630002</v>
      </c>
    </row>
    <row r="23" spans="1:14" x14ac:dyDescent="0.25">
      <c r="A23">
        <v>1.7353491312223801</v>
      </c>
      <c r="B23">
        <v>-2.365222459196</v>
      </c>
      <c r="C23">
        <v>1.7317852476237301</v>
      </c>
      <c r="D23">
        <v>-2.4995921363189999</v>
      </c>
      <c r="E23">
        <v>1.5918735198989999</v>
      </c>
      <c r="F23">
        <v>2.4756685779762999</v>
      </c>
      <c r="G23">
        <v>-0.776335199413277</v>
      </c>
      <c r="H23">
        <v>2.3128227938484001</v>
      </c>
      <c r="I23">
        <v>1.4224295926251</v>
      </c>
      <c r="J23">
        <v>1.779576489856</v>
      </c>
      <c r="L23">
        <v>-0.96931782819000001</v>
      </c>
      <c r="M23">
        <v>-0.51455273742498997</v>
      </c>
      <c r="N23">
        <v>-0.25463639740999999</v>
      </c>
    </row>
    <row r="24" spans="1:14" x14ac:dyDescent="0.25">
      <c r="A24">
        <v>1.7664522486359999</v>
      </c>
      <c r="B24">
        <v>-2.3593772394379999</v>
      </c>
      <c r="C24">
        <v>1.7995295571633001</v>
      </c>
      <c r="D24">
        <v>-1.9622351626361001</v>
      </c>
      <c r="E24">
        <v>1.9716261615699999</v>
      </c>
      <c r="F24">
        <v>2.5685964933099998</v>
      </c>
      <c r="G24">
        <v>0.72752789231899995</v>
      </c>
      <c r="H24">
        <v>2.3335692514935902</v>
      </c>
      <c r="I24">
        <v>1.458231978455</v>
      </c>
      <c r="J24">
        <v>2.1311852715537198</v>
      </c>
      <c r="L24">
        <v>-0.61923796255568997</v>
      </c>
    </row>
    <row r="25" spans="1:14" x14ac:dyDescent="0.25">
      <c r="A25">
        <v>1.986767724815</v>
      </c>
      <c r="B25">
        <v>-2.1426543782710001</v>
      </c>
      <c r="C25">
        <v>1.94536123978716</v>
      </c>
      <c r="D25">
        <v>-1.9233418341199999</v>
      </c>
      <c r="E25">
        <v>2.2181882511616</v>
      </c>
      <c r="F25">
        <v>2.5822718427162901</v>
      </c>
      <c r="G25">
        <v>0.74463539933732004</v>
      </c>
      <c r="H25">
        <v>2.3418118111132</v>
      </c>
      <c r="I25">
        <v>1.5844354117399999</v>
      </c>
      <c r="J25">
        <v>2.1329156438860002</v>
      </c>
      <c r="L25">
        <v>-0.55352382421123003</v>
      </c>
    </row>
    <row r="26" spans="1:14" x14ac:dyDescent="0.25">
      <c r="A26">
        <v>2.1345456529218501</v>
      </c>
      <c r="B26">
        <v>-2.1348773268549999</v>
      </c>
      <c r="C26">
        <v>1.98943731728135</v>
      </c>
      <c r="D26">
        <v>-1.916786774562</v>
      </c>
      <c r="E26">
        <v>2.2477393353658002</v>
      </c>
      <c r="F26">
        <v>2.6893539118761902</v>
      </c>
      <c r="G26">
        <v>0.93287678972775001</v>
      </c>
      <c r="H26">
        <v>2.4674419626500002</v>
      </c>
      <c r="I26">
        <v>1.699716614947</v>
      </c>
      <c r="J26">
        <v>2.4494442411844899</v>
      </c>
      <c r="L26">
        <v>-0.52558971181900005</v>
      </c>
    </row>
    <row r="27" spans="1:14" x14ac:dyDescent="0.25">
      <c r="A27">
        <v>2.2166875995300002</v>
      </c>
      <c r="B27">
        <v>-1.9747197845996001</v>
      </c>
      <c r="C27">
        <v>2.58124648623938</v>
      </c>
      <c r="D27">
        <v>-1.8746369539809999</v>
      </c>
      <c r="E27">
        <v>2.5124995788929998</v>
      </c>
      <c r="F27">
        <v>2.7695245337859999</v>
      </c>
      <c r="G27">
        <v>1.2446229565219999</v>
      </c>
      <c r="H27">
        <v>2.5158516239000002</v>
      </c>
      <c r="I27">
        <v>1.8412312198</v>
      </c>
      <c r="J27">
        <v>2.6639245976515999</v>
      </c>
      <c r="L27">
        <v>0.68219792658816003</v>
      </c>
    </row>
    <row r="28" spans="1:14" x14ac:dyDescent="0.25">
      <c r="A28">
        <v>2.23751839919447</v>
      </c>
      <c r="B28">
        <v>-1.9548918624678</v>
      </c>
      <c r="C28">
        <v>2.7988688253915002</v>
      </c>
      <c r="D28">
        <v>3.64343463355564</v>
      </c>
      <c r="E28">
        <v>2.5278767235399999</v>
      </c>
      <c r="F28">
        <v>2.9571641716378001</v>
      </c>
      <c r="G28">
        <v>1.2977713984999499</v>
      </c>
      <c r="H28">
        <v>2.64424999478</v>
      </c>
      <c r="I28">
        <v>1.8497594748446</v>
      </c>
      <c r="J28">
        <v>2.7151484834291</v>
      </c>
    </row>
    <row r="29" spans="1:14" x14ac:dyDescent="0.25">
      <c r="A29">
        <v>2.4278346584260002</v>
      </c>
      <c r="B29">
        <v>-1.9163977811370001</v>
      </c>
      <c r="C29">
        <v>2.8751325178186802</v>
      </c>
      <c r="D29">
        <v>3.7763895276919999</v>
      </c>
      <c r="E29">
        <v>2.5893478898310001</v>
      </c>
      <c r="G29">
        <v>1.5676711826775001</v>
      </c>
      <c r="H29">
        <v>3.5234194469000002</v>
      </c>
      <c r="I29">
        <v>1.8617932829599999</v>
      </c>
      <c r="J29">
        <v>2.767568164279</v>
      </c>
    </row>
    <row r="30" spans="1:14" x14ac:dyDescent="0.25">
      <c r="A30">
        <v>2.44889915789989</v>
      </c>
      <c r="B30">
        <v>-1.8667268189827</v>
      </c>
      <c r="C30">
        <v>2.893245744393</v>
      </c>
      <c r="D30">
        <v>3.8912532339496999</v>
      </c>
      <c r="E30">
        <v>2.6897878617522002</v>
      </c>
      <c r="G30">
        <v>1.8737141926940999</v>
      </c>
      <c r="H30">
        <v>5.3779634491510997</v>
      </c>
      <c r="I30">
        <v>2.1229324631000002</v>
      </c>
    </row>
    <row r="31" spans="1:14" x14ac:dyDescent="0.25">
      <c r="A31">
        <v>2.5643121299999998</v>
      </c>
      <c r="B31">
        <v>-1.7833248515119</v>
      </c>
      <c r="C31">
        <v>2.9191883817918001</v>
      </c>
      <c r="D31">
        <v>4.2218132673615703</v>
      </c>
      <c r="E31">
        <v>2.7751278147843399</v>
      </c>
      <c r="G31">
        <v>4.2867321612888798</v>
      </c>
      <c r="I31">
        <v>2.1728838325790001</v>
      </c>
    </row>
    <row r="32" spans="1:14" x14ac:dyDescent="0.25">
      <c r="A32">
        <v>2.5828293638547</v>
      </c>
      <c r="B32">
        <v>-1.6459866441767801</v>
      </c>
      <c r="C32">
        <v>2.9688615739999999</v>
      </c>
      <c r="D32">
        <v>4.4147969578487301</v>
      </c>
      <c r="E32">
        <v>2.8273423171699998</v>
      </c>
      <c r="I32">
        <v>2.1973855141269998</v>
      </c>
    </row>
    <row r="33" spans="1:9" x14ac:dyDescent="0.25">
      <c r="A33">
        <v>2.6453285838234</v>
      </c>
      <c r="B33">
        <v>-1.4892148595936301</v>
      </c>
      <c r="C33">
        <v>3.1227211697394099</v>
      </c>
      <c r="D33">
        <v>5.1253951469858103</v>
      </c>
      <c r="E33">
        <v>2.8371648723549998</v>
      </c>
      <c r="I33">
        <v>2.2289579900000001</v>
      </c>
    </row>
    <row r="34" spans="1:9" x14ac:dyDescent="0.25">
      <c r="A34">
        <v>2.7464724466549</v>
      </c>
      <c r="B34">
        <v>-1.3947119462253501</v>
      </c>
      <c r="C34">
        <v>3.1322313688149999</v>
      </c>
      <c r="D34">
        <v>5.6713539716436099</v>
      </c>
      <c r="I34">
        <v>2.28283537611197</v>
      </c>
    </row>
    <row r="35" spans="1:9" x14ac:dyDescent="0.25">
      <c r="A35">
        <v>2.8134479810999999</v>
      </c>
      <c r="B35">
        <v>1.4176796813520001</v>
      </c>
      <c r="C35">
        <v>3.199389392993</v>
      </c>
      <c r="D35">
        <v>5.7193145645829997</v>
      </c>
      <c r="I35">
        <v>2.3116221257328</v>
      </c>
    </row>
    <row r="36" spans="1:9" x14ac:dyDescent="0.25">
      <c r="A36">
        <v>2.9682975739890001</v>
      </c>
      <c r="B36">
        <v>2.49838345541461</v>
      </c>
      <c r="C36">
        <v>3.2455841819889999</v>
      </c>
      <c r="D36">
        <v>8.3238816818846999</v>
      </c>
      <c r="I36">
        <v>2.36936236799</v>
      </c>
    </row>
    <row r="37" spans="1:9" x14ac:dyDescent="0.25">
      <c r="A37">
        <v>3.3456141982780001</v>
      </c>
      <c r="B37">
        <v>3.9266615323799998</v>
      </c>
      <c r="C37">
        <v>3.3493638764473999</v>
      </c>
      <c r="I37">
        <v>2.4464158535423199</v>
      </c>
    </row>
    <row r="38" spans="1:9" x14ac:dyDescent="0.25">
      <c r="A38">
        <v>3.566264529373</v>
      </c>
      <c r="B38">
        <v>4.5836789659881001</v>
      </c>
      <c r="C38">
        <v>3.387996896867</v>
      </c>
    </row>
    <row r="39" spans="1:9" x14ac:dyDescent="0.25">
      <c r="A39">
        <v>3.9885518818799999</v>
      </c>
      <c r="B39">
        <v>4.9383182115770001</v>
      </c>
      <c r="C39">
        <v>3.4279246744935898</v>
      </c>
    </row>
    <row r="40" spans="1:9" x14ac:dyDescent="0.25">
      <c r="A40">
        <v>4.7566285654492004</v>
      </c>
      <c r="B40">
        <v>5.9597465984192999</v>
      </c>
      <c r="C40">
        <v>3.4889724258981998</v>
      </c>
    </row>
    <row r="41" spans="1:9" x14ac:dyDescent="0.25">
      <c r="B41">
        <v>6.243676731751</v>
      </c>
      <c r="C41">
        <v>3.5279174242359002</v>
      </c>
    </row>
    <row r="42" spans="1:9" x14ac:dyDescent="0.25">
      <c r="C42">
        <v>3.5752612515775999</v>
      </c>
    </row>
    <row r="43" spans="1:9" x14ac:dyDescent="0.25">
      <c r="C43">
        <v>3.6373825586639001</v>
      </c>
    </row>
    <row r="44" spans="1:9" x14ac:dyDescent="0.25">
      <c r="C44">
        <v>3.76154179654</v>
      </c>
    </row>
    <row r="45" spans="1:9" x14ac:dyDescent="0.25">
      <c r="C45">
        <v>3.8414325355274999</v>
      </c>
    </row>
    <row r="46" spans="1:9" x14ac:dyDescent="0.25">
      <c r="C46">
        <v>3.9179667776499998</v>
      </c>
    </row>
    <row r="47" spans="1:9" x14ac:dyDescent="0.25">
      <c r="C47">
        <v>3.997675479942</v>
      </c>
    </row>
    <row r="48" spans="1:9" x14ac:dyDescent="0.25">
      <c r="C48">
        <v>4.1523168535888004</v>
      </c>
    </row>
    <row r="49" spans="3:3" x14ac:dyDescent="0.25">
      <c r="C49">
        <v>4.2117474729</v>
      </c>
    </row>
    <row r="50" spans="3:3" x14ac:dyDescent="0.25">
      <c r="C50">
        <v>4.2695188984100003</v>
      </c>
    </row>
    <row r="51" spans="3:3" x14ac:dyDescent="0.25">
      <c r="C51">
        <v>4.3375345832469998</v>
      </c>
    </row>
    <row r="52" spans="3:3" x14ac:dyDescent="0.25">
      <c r="C52">
        <v>4.4317136721769703</v>
      </c>
    </row>
    <row r="53" spans="3:3" x14ac:dyDescent="0.25">
      <c r="C53">
        <v>4.6858643716822996</v>
      </c>
    </row>
    <row r="54" spans="3:3" x14ac:dyDescent="0.25">
      <c r="C54">
        <v>4.7723496718150002</v>
      </c>
    </row>
    <row r="55" spans="3:3" x14ac:dyDescent="0.25">
      <c r="C55">
        <v>5.2734566475579996</v>
      </c>
    </row>
    <row r="56" spans="3:3" x14ac:dyDescent="0.25">
      <c r="C56">
        <v>5.4255438892800001</v>
      </c>
    </row>
    <row r="57" spans="3:3" x14ac:dyDescent="0.25">
      <c r="C57">
        <v>5.6419127785940999</v>
      </c>
    </row>
    <row r="58" spans="3:3" x14ac:dyDescent="0.25">
      <c r="C58">
        <v>5.6434424385929001</v>
      </c>
    </row>
    <row r="59" spans="3:3" x14ac:dyDescent="0.25">
      <c r="C59">
        <v>5.6824372837499997</v>
      </c>
    </row>
    <row r="60" spans="3:3" x14ac:dyDescent="0.25">
      <c r="C60">
        <v>5.7147845651797002</v>
      </c>
    </row>
    <row r="61" spans="3:3" x14ac:dyDescent="0.25">
      <c r="C61">
        <v>5.7153887864913004</v>
      </c>
    </row>
    <row r="62" spans="3:3" x14ac:dyDescent="0.25">
      <c r="C62">
        <v>5.9824461697681004</v>
      </c>
    </row>
    <row r="63" spans="3:3" x14ac:dyDescent="0.25">
      <c r="C63">
        <v>6.1827581582261004</v>
      </c>
    </row>
    <row r="64" spans="3:3" x14ac:dyDescent="0.25">
      <c r="C64">
        <v>6.2874874367196201</v>
      </c>
    </row>
    <row r="65" spans="3:3" x14ac:dyDescent="0.25">
      <c r="C65">
        <v>6.7164845142700003</v>
      </c>
    </row>
    <row r="66" spans="3:3" x14ac:dyDescent="0.25">
      <c r="C66">
        <v>6.7196225843972002</v>
      </c>
    </row>
    <row r="67" spans="3:3" x14ac:dyDescent="0.25">
      <c r="C67">
        <v>6.7351723589376</v>
      </c>
    </row>
    <row r="68" spans="3:3" x14ac:dyDescent="0.25">
      <c r="C68">
        <v>7.1378241384900001</v>
      </c>
    </row>
    <row r="69" spans="3:3" x14ac:dyDescent="0.25">
      <c r="C69">
        <v>7.1644578143939004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75"/>
  <sheetViews>
    <sheetView zoomScale="85" zoomScaleNormal="85" workbookViewId="0">
      <selection activeCell="R1" sqref="R1:AH4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514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0.64523559282326004</v>
      </c>
      <c r="B2">
        <v>-5.8145231142830003</v>
      </c>
      <c r="C2">
        <v>-16.389865191335002</v>
      </c>
      <c r="D2">
        <v>-3.9369815821562999</v>
      </c>
      <c r="E2">
        <v>-4.6555312227629004</v>
      </c>
      <c r="F2">
        <v>-2.83843841359</v>
      </c>
      <c r="G2">
        <v>-3.1435229582389201</v>
      </c>
      <c r="H2">
        <v>-1.4662592286651499</v>
      </c>
      <c r="I2">
        <v>-5.9813676998389997</v>
      </c>
      <c r="J2">
        <v>-5.7829556296621698</v>
      </c>
      <c r="K2">
        <v>-3.4461686659813999</v>
      </c>
      <c r="L2">
        <v>-1.9877278533562599</v>
      </c>
      <c r="M2">
        <v>-1.9614378244748001</v>
      </c>
      <c r="N2">
        <v>-0.51257467259650003</v>
      </c>
      <c r="O2">
        <v>-0.56575731664841999</v>
      </c>
      <c r="S2" s="14" t="s">
        <v>526</v>
      </c>
      <c r="T2">
        <f>MIN(A:A)</f>
        <v>0.64523559282326004</v>
      </c>
      <c r="U2">
        <f t="shared" ref="U2:AH2" si="0">MIN(B:B)</f>
        <v>-5.8145231142830003</v>
      </c>
      <c r="V2">
        <f t="shared" si="0"/>
        <v>-16.389865191335002</v>
      </c>
      <c r="W2">
        <f t="shared" si="0"/>
        <v>-3.9369815821562999</v>
      </c>
      <c r="X2">
        <f t="shared" si="0"/>
        <v>-4.6555312227629004</v>
      </c>
      <c r="Y2">
        <f t="shared" si="0"/>
        <v>-2.83843841359</v>
      </c>
      <c r="Z2">
        <f t="shared" si="0"/>
        <v>-3.1435229582389201</v>
      </c>
      <c r="AA2">
        <f t="shared" si="0"/>
        <v>-1.4662592286651499</v>
      </c>
      <c r="AB2">
        <f t="shared" si="0"/>
        <v>-5.9813676998389997</v>
      </c>
      <c r="AC2">
        <f t="shared" si="0"/>
        <v>-5.7829556296621698</v>
      </c>
      <c r="AD2">
        <f t="shared" si="0"/>
        <v>-3.4461686659813999</v>
      </c>
      <c r="AE2">
        <f t="shared" si="0"/>
        <v>-1.9877278533562599</v>
      </c>
      <c r="AF2">
        <f t="shared" si="0"/>
        <v>-1.9614378244748001</v>
      </c>
      <c r="AG2">
        <f t="shared" si="0"/>
        <v>-0.51257467259650003</v>
      </c>
      <c r="AH2">
        <f t="shared" si="0"/>
        <v>-0.56575731664841999</v>
      </c>
    </row>
    <row r="3" spans="1:34" x14ac:dyDescent="0.25">
      <c r="A3">
        <v>0.66212571715500002</v>
      </c>
      <c r="B3">
        <v>-5.2549288450000002</v>
      </c>
      <c r="C3">
        <v>-8.3398755733919998</v>
      </c>
      <c r="D3">
        <v>-3.4993543395315498</v>
      </c>
      <c r="E3">
        <v>-3.5637215178430002</v>
      </c>
      <c r="F3">
        <v>-2.7645439883699998</v>
      </c>
      <c r="G3">
        <v>-3.1425392474715501</v>
      </c>
      <c r="H3">
        <v>-1.4279137453320001</v>
      </c>
      <c r="I3">
        <v>-2.5665483362572998</v>
      </c>
      <c r="J3">
        <v>-4.6237463375664101</v>
      </c>
      <c r="K3">
        <v>-1.994314669714</v>
      </c>
      <c r="L3">
        <v>-1.98363691316</v>
      </c>
      <c r="M3">
        <v>-1.6985843851785001</v>
      </c>
      <c r="N3">
        <v>-0.47881861977491202</v>
      </c>
      <c r="O3">
        <v>-0.38843794778500002</v>
      </c>
      <c r="S3" s="14" t="s">
        <v>527</v>
      </c>
      <c r="T3">
        <f>MAX(A:A)</f>
        <v>4.2234496529719001</v>
      </c>
      <c r="U3">
        <f t="shared" ref="U3:AH3" si="1">MAX(B:B)</f>
        <v>6.243676731751</v>
      </c>
      <c r="V3">
        <f t="shared" si="1"/>
        <v>7.1644578143939004</v>
      </c>
      <c r="W3">
        <f t="shared" si="1"/>
        <v>8.3238816818846999</v>
      </c>
      <c r="X3">
        <f t="shared" si="1"/>
        <v>2.8273423171699998</v>
      </c>
      <c r="Y3">
        <f t="shared" si="1"/>
        <v>3.5323322431580002</v>
      </c>
      <c r="Z3">
        <f t="shared" si="1"/>
        <v>4.2867321612888798</v>
      </c>
      <c r="AA3">
        <f t="shared" si="1"/>
        <v>7.3893931669528197</v>
      </c>
      <c r="AB3">
        <f t="shared" si="1"/>
        <v>2.4464158535423199</v>
      </c>
      <c r="AC3">
        <f t="shared" si="1"/>
        <v>2.767568164279</v>
      </c>
      <c r="AD3">
        <f t="shared" si="1"/>
        <v>-0.31123256333926003</v>
      </c>
      <c r="AE3">
        <f t="shared" si="1"/>
        <v>0.68219792658816003</v>
      </c>
      <c r="AF3">
        <f t="shared" si="1"/>
        <v>-0.46633294624799998</v>
      </c>
      <c r="AG3">
        <f t="shared" si="1"/>
        <v>-0.25463639740999999</v>
      </c>
      <c r="AH3">
        <f t="shared" si="1"/>
        <v>-0.2136545692945</v>
      </c>
    </row>
    <row r="4" spans="1:34" x14ac:dyDescent="0.25">
      <c r="A4">
        <v>0.67197723637310003</v>
      </c>
      <c r="B4">
        <v>-5.1483644666527999</v>
      </c>
      <c r="C4">
        <v>-7.9849147336464403</v>
      </c>
      <c r="D4">
        <v>-3.46129919419</v>
      </c>
      <c r="E4">
        <v>-3.215975728354</v>
      </c>
      <c r="F4">
        <v>-2.1745251666456</v>
      </c>
      <c r="G4">
        <v>-2.9491855454145002</v>
      </c>
      <c r="H4">
        <v>-1.3995799144225201</v>
      </c>
      <c r="I4">
        <v>-2.1771735691899998</v>
      </c>
      <c r="J4">
        <v>-4.1776959938453304</v>
      </c>
      <c r="K4">
        <v>-1.5581219972256499</v>
      </c>
      <c r="L4">
        <v>-1.9254692964147</v>
      </c>
      <c r="M4">
        <v>-1.674345179778</v>
      </c>
      <c r="N4">
        <v>-0.435682474524</v>
      </c>
      <c r="O4">
        <v>-0.35411937455451997</v>
      </c>
      <c r="S4" s="14" t="s">
        <v>528</v>
      </c>
      <c r="T4">
        <f>AVERAGE(A:A)</f>
        <v>1.9292523580468455</v>
      </c>
      <c r="U4">
        <f t="shared" ref="U4:AH4" si="2">AVERAGE(B:B)</f>
        <v>-0.91434460620603764</v>
      </c>
      <c r="V4">
        <f t="shared" si="2"/>
        <v>2.5265468729304259</v>
      </c>
      <c r="W4">
        <f t="shared" si="2"/>
        <v>2.1401762547946755E-2</v>
      </c>
      <c r="X4">
        <f t="shared" si="2"/>
        <v>-0.67058115539994267</v>
      </c>
      <c r="Y4">
        <f t="shared" si="2"/>
        <v>0.46990193246988737</v>
      </c>
      <c r="Z4">
        <f t="shared" si="2"/>
        <v>-1.4944812708080524</v>
      </c>
      <c r="AA4">
        <f t="shared" si="2"/>
        <v>1.2172705444496366</v>
      </c>
      <c r="AB4">
        <f t="shared" si="2"/>
        <v>0.74984309146013117</v>
      </c>
      <c r="AC4">
        <f t="shared" si="2"/>
        <v>-1.1480774518556265</v>
      </c>
      <c r="AD4">
        <f t="shared" si="2"/>
        <v>-0.92642010828378141</v>
      </c>
      <c r="AE4">
        <f t="shared" si="2"/>
        <v>-1.3188097672997594</v>
      </c>
      <c r="AF4">
        <f t="shared" si="2"/>
        <v>-1.2917211445653733</v>
      </c>
      <c r="AG4">
        <f t="shared" si="2"/>
        <v>-0.35375685121575418</v>
      </c>
      <c r="AH4">
        <f t="shared" si="2"/>
        <v>-0.30245660232201554</v>
      </c>
    </row>
    <row r="5" spans="1:34" x14ac:dyDescent="0.25">
      <c r="A5">
        <v>0.69529316825270004</v>
      </c>
      <c r="B5">
        <v>-4.6156937131614999</v>
      </c>
      <c r="C5">
        <v>-4.5412595972753103</v>
      </c>
      <c r="D5">
        <v>-3.3749465278350002</v>
      </c>
      <c r="E5">
        <v>-2.9676614477999999</v>
      </c>
      <c r="F5">
        <v>-2.1384849878990999</v>
      </c>
      <c r="G5">
        <v>-2.7241331767849002</v>
      </c>
      <c r="H5">
        <v>-1.3649413935914001</v>
      </c>
      <c r="I5">
        <v>-0.786129542214691</v>
      </c>
      <c r="J5">
        <v>-3.9911856916277002</v>
      </c>
      <c r="K5">
        <v>-1.4842629521563</v>
      </c>
      <c r="L5">
        <v>-1.8987991768628001</v>
      </c>
      <c r="M5">
        <v>-1.6465857558274</v>
      </c>
      <c r="N5">
        <v>-0.43545174741881798</v>
      </c>
      <c r="O5">
        <v>-0.29462871491786002</v>
      </c>
      <c r="S5" s="14" t="s">
        <v>525</v>
      </c>
      <c r="T5">
        <f>COUNT(A2:A84)</f>
        <v>50</v>
      </c>
      <c r="U5">
        <f>COUNT(B2:B84)</f>
        <v>74</v>
      </c>
      <c r="V5">
        <f t="shared" ref="V5:AH5" si="3">COUNT(C2:C84)</f>
        <v>40</v>
      </c>
      <c r="W5">
        <f t="shared" si="3"/>
        <v>38</v>
      </c>
      <c r="X5">
        <f t="shared" si="3"/>
        <v>38</v>
      </c>
      <c r="Y5">
        <f t="shared" si="3"/>
        <v>35</v>
      </c>
      <c r="Z5">
        <f t="shared" si="3"/>
        <v>35</v>
      </c>
      <c r="AA5">
        <f t="shared" si="3"/>
        <v>36</v>
      </c>
      <c r="AB5">
        <f t="shared" si="3"/>
        <v>25</v>
      </c>
      <c r="AC5">
        <f t="shared" si="3"/>
        <v>24</v>
      </c>
      <c r="AD5">
        <f t="shared" si="3"/>
        <v>27</v>
      </c>
      <c r="AE5">
        <f t="shared" si="3"/>
        <v>26</v>
      </c>
      <c r="AF5">
        <f t="shared" si="3"/>
        <v>24</v>
      </c>
      <c r="AG5">
        <f t="shared" si="3"/>
        <v>20</v>
      </c>
      <c r="AH5">
        <f t="shared" si="3"/>
        <v>11</v>
      </c>
    </row>
    <row r="6" spans="1:34" x14ac:dyDescent="0.25">
      <c r="A6">
        <v>0.88375291625563002</v>
      </c>
      <c r="B6">
        <v>-3.7688486622499999</v>
      </c>
      <c r="C6">
        <v>-3.4837137195593799</v>
      </c>
      <c r="D6">
        <v>-3.283656133799</v>
      </c>
      <c r="E6">
        <v>-2.6587745611542899</v>
      </c>
      <c r="F6">
        <v>-2.1165598634428</v>
      </c>
      <c r="G6">
        <v>-2.6423469424381998</v>
      </c>
      <c r="H6">
        <v>-1.2467727533424999</v>
      </c>
      <c r="I6">
        <v>0.42723531896559003</v>
      </c>
      <c r="J6">
        <v>-3.7336346162665</v>
      </c>
      <c r="K6">
        <v>-1.3993251978500001</v>
      </c>
      <c r="L6">
        <v>-1.8824658752651999</v>
      </c>
      <c r="M6">
        <v>-1.6188413928389001</v>
      </c>
      <c r="N6">
        <v>-0.42461613243492002</v>
      </c>
      <c r="O6">
        <v>-0.28779546337667</v>
      </c>
    </row>
    <row r="7" spans="1:34" x14ac:dyDescent="0.25">
      <c r="A7">
        <v>0.93769256122473699</v>
      </c>
      <c r="B7">
        <v>-3.7399125946299998</v>
      </c>
      <c r="C7">
        <v>-3.3883377316876002</v>
      </c>
      <c r="D7">
        <v>-3.1822583344240001</v>
      </c>
      <c r="E7">
        <v>-2.4999934196172</v>
      </c>
      <c r="F7">
        <v>-1.9928627763415701</v>
      </c>
      <c r="G7">
        <v>-2.5698355971216</v>
      </c>
      <c r="H7">
        <v>-1.228848113537</v>
      </c>
      <c r="I7">
        <v>0.57449617928635399</v>
      </c>
      <c r="J7">
        <v>-3.7123286287397002</v>
      </c>
      <c r="K7">
        <v>-1.199584194314</v>
      </c>
      <c r="L7">
        <v>-1.8769619297560001</v>
      </c>
      <c r="M7">
        <v>-1.61826489729</v>
      </c>
      <c r="N7">
        <v>-0.4136325336951</v>
      </c>
      <c r="O7">
        <v>-0.26881218367210002</v>
      </c>
    </row>
    <row r="8" spans="1:34" x14ac:dyDescent="0.25">
      <c r="A8">
        <v>0.95988974797509996</v>
      </c>
      <c r="B8">
        <v>-3.7257579715159999</v>
      </c>
      <c r="C8">
        <v>-2.7311198527460001</v>
      </c>
      <c r="D8">
        <v>-3.1141994437544001</v>
      </c>
      <c r="E8">
        <v>-2.46668289533</v>
      </c>
      <c r="F8">
        <v>-1.9429523552246</v>
      </c>
      <c r="G8">
        <v>-2.4989999814536001</v>
      </c>
      <c r="H8">
        <v>-1.1344672831837099</v>
      </c>
      <c r="I8">
        <v>0.78427791353559995</v>
      </c>
      <c r="J8">
        <v>-3.572378846456</v>
      </c>
      <c r="K8">
        <v>-0.98775579125754998</v>
      </c>
      <c r="L8">
        <v>-1.8483441813099999</v>
      </c>
      <c r="M8">
        <v>-1.5721196435910001</v>
      </c>
      <c r="N8">
        <v>-0.37825649914142001</v>
      </c>
      <c r="O8">
        <v>-0.26795232546699999</v>
      </c>
    </row>
    <row r="9" spans="1:34" x14ac:dyDescent="0.25">
      <c r="A9">
        <v>0.98571967384496995</v>
      </c>
      <c r="B9">
        <v>-3.63521787616</v>
      </c>
      <c r="C9">
        <v>1.94536123978716</v>
      </c>
      <c r="D9">
        <v>-3.1113741481299999</v>
      </c>
      <c r="E9">
        <v>-2.45744344484</v>
      </c>
      <c r="F9">
        <v>-1.858565281</v>
      </c>
      <c r="G9">
        <v>-2.4485277211945</v>
      </c>
      <c r="H9">
        <v>0.65166395494497997</v>
      </c>
      <c r="I9">
        <v>0.7951638111332</v>
      </c>
      <c r="J9">
        <v>-3.5345529869756001</v>
      </c>
      <c r="K9">
        <v>-0.93147676228559995</v>
      </c>
      <c r="L9">
        <v>-1.6339528561700001</v>
      </c>
      <c r="M9">
        <v>-1.5669327879299499</v>
      </c>
      <c r="N9">
        <v>-0.35567353588169998</v>
      </c>
      <c r="O9">
        <v>-0.2491191428816</v>
      </c>
    </row>
    <row r="10" spans="1:34" x14ac:dyDescent="0.25">
      <c r="A10">
        <v>0.98953625212814</v>
      </c>
      <c r="B10">
        <v>-3.4584771499350002</v>
      </c>
      <c r="C10">
        <v>1.98943731728135</v>
      </c>
      <c r="D10">
        <v>-2.6693672376371498</v>
      </c>
      <c r="E10">
        <v>-2.2423755518866</v>
      </c>
      <c r="F10">
        <v>-1.463458388866</v>
      </c>
      <c r="G10">
        <v>-2.3549821268810001</v>
      </c>
      <c r="H10">
        <v>0.79754736358577005</v>
      </c>
      <c r="I10">
        <v>0.81173144778626005</v>
      </c>
      <c r="J10">
        <v>-3.3971217236581999</v>
      </c>
      <c r="K10">
        <v>-0.91213941682489996</v>
      </c>
      <c r="L10">
        <v>-1.6255195757471801</v>
      </c>
      <c r="M10">
        <v>-1.5368327548981</v>
      </c>
      <c r="N10">
        <v>-0.35529925817948599</v>
      </c>
      <c r="O10">
        <v>-0.21846798966950001</v>
      </c>
    </row>
    <row r="11" spans="1:34" x14ac:dyDescent="0.25">
      <c r="A11">
        <v>1.1169286912</v>
      </c>
      <c r="B11">
        <v>-3.3235845233879999</v>
      </c>
      <c r="C11">
        <v>2.58124648623938</v>
      </c>
      <c r="D11">
        <v>-2.5616727551668999</v>
      </c>
      <c r="E11">
        <v>-2.227429218553</v>
      </c>
      <c r="F11">
        <v>-1.2949722151555001</v>
      </c>
      <c r="G11">
        <v>-2.3362536146730002</v>
      </c>
      <c r="H11">
        <v>0.92794735973577003</v>
      </c>
      <c r="I11">
        <v>0.94768859836872998</v>
      </c>
      <c r="J11">
        <v>-3.3568277979685299</v>
      </c>
      <c r="K11">
        <v>-0.87284592652299997</v>
      </c>
      <c r="L11">
        <v>-1.6187574164131</v>
      </c>
      <c r="M11">
        <v>-1.5279976397620001</v>
      </c>
      <c r="N11">
        <v>-0.35478541263240998</v>
      </c>
      <c r="O11">
        <v>-0.21827759727500001</v>
      </c>
    </row>
    <row r="12" spans="1:34" x14ac:dyDescent="0.25">
      <c r="A12">
        <v>1.1196796241689999</v>
      </c>
      <c r="B12">
        <v>-3.2948336817533899</v>
      </c>
      <c r="C12">
        <v>2.7988688253915002</v>
      </c>
      <c r="D12">
        <v>-1.9622351626361001</v>
      </c>
      <c r="E12">
        <v>-2.2191618855721802</v>
      </c>
      <c r="F12">
        <v>-1.265583431</v>
      </c>
      <c r="G12">
        <v>-2.2298522669510001</v>
      </c>
      <c r="H12">
        <v>0.95215883689549996</v>
      </c>
      <c r="I12">
        <v>0.99866173115430001</v>
      </c>
      <c r="J12">
        <v>-3.3228519931517999</v>
      </c>
      <c r="K12">
        <v>-0.79757959247300003</v>
      </c>
      <c r="L12">
        <v>-1.55835136177246</v>
      </c>
      <c r="M12">
        <v>-1.4936365939309999</v>
      </c>
      <c r="N12">
        <v>-0.34943267876718398</v>
      </c>
      <c r="O12">
        <v>-0.2136545692945</v>
      </c>
    </row>
    <row r="13" spans="1:34" x14ac:dyDescent="0.25">
      <c r="A13">
        <v>1.1691351594238999</v>
      </c>
      <c r="B13">
        <v>-2.9325941145249601</v>
      </c>
      <c r="C13">
        <v>2.8751325178186802</v>
      </c>
      <c r="D13">
        <v>-1.9233418341199999</v>
      </c>
      <c r="E13">
        <v>-2.1955847564244499</v>
      </c>
      <c r="F13">
        <v>-1.2455286124193601</v>
      </c>
      <c r="G13">
        <v>-2.1814224288676298</v>
      </c>
      <c r="H13">
        <v>0.9559586886168</v>
      </c>
      <c r="I13">
        <v>1.1597268363844</v>
      </c>
      <c r="J13">
        <v>-2.9817457176220001</v>
      </c>
      <c r="K13">
        <v>-0.77686763568219996</v>
      </c>
      <c r="L13">
        <v>-1.55571572985823</v>
      </c>
      <c r="M13">
        <v>-1.4676321336463001</v>
      </c>
      <c r="N13">
        <v>-0.319132365737398</v>
      </c>
    </row>
    <row r="14" spans="1:34" x14ac:dyDescent="0.25">
      <c r="A14">
        <v>1.1873294743514999</v>
      </c>
      <c r="B14">
        <v>-2.9148148699629002</v>
      </c>
      <c r="C14">
        <v>2.893245744393</v>
      </c>
      <c r="D14">
        <v>-1.916786774562</v>
      </c>
      <c r="E14">
        <v>-2.1822814428999999</v>
      </c>
      <c r="F14">
        <v>-1.1628957364935999</v>
      </c>
      <c r="G14">
        <v>-2.1252218283772999</v>
      </c>
      <c r="H14">
        <v>0.96979413248669999</v>
      </c>
      <c r="I14">
        <v>1.1716791826616499</v>
      </c>
      <c r="J14">
        <v>-2.911474497141</v>
      </c>
      <c r="K14">
        <v>-0.76498134921399996</v>
      </c>
      <c r="L14">
        <v>-1.5474773742318</v>
      </c>
      <c r="M14">
        <v>-1.414847199584</v>
      </c>
      <c r="N14">
        <v>-0.31571872111444699</v>
      </c>
    </row>
    <row r="15" spans="1:34" x14ac:dyDescent="0.25">
      <c r="A15">
        <v>1.26244447316</v>
      </c>
      <c r="B15">
        <v>-2.8625897362599999</v>
      </c>
      <c r="C15">
        <v>2.9688615739999999</v>
      </c>
      <c r="D15">
        <v>-1.8746369539809999</v>
      </c>
      <c r="E15">
        <v>-2.1552236729900001</v>
      </c>
      <c r="F15">
        <v>-1.1192625199120001</v>
      </c>
      <c r="G15">
        <v>-1.9467452957335001</v>
      </c>
      <c r="H15">
        <v>1.1149361175870001</v>
      </c>
      <c r="I15">
        <v>1.3632182829699999</v>
      </c>
      <c r="J15">
        <v>0.78398315134399998</v>
      </c>
      <c r="K15">
        <v>-0.74749899254574104</v>
      </c>
      <c r="L15">
        <v>-1.5363654657600001</v>
      </c>
      <c r="M15">
        <v>-1.3572543953217999</v>
      </c>
      <c r="N15">
        <v>-0.29185177478520002</v>
      </c>
    </row>
    <row r="16" spans="1:34" x14ac:dyDescent="0.25">
      <c r="A16">
        <v>1.38953911489944</v>
      </c>
      <c r="B16">
        <v>-2.84689845189979</v>
      </c>
      <c r="C16">
        <v>3.1322313688149999</v>
      </c>
      <c r="D16">
        <v>-1.6763588696828</v>
      </c>
      <c r="E16">
        <v>-2.1539581733519499</v>
      </c>
      <c r="F16">
        <v>0.92262824370999996</v>
      </c>
      <c r="G16">
        <v>-1.9319494418447001</v>
      </c>
      <c r="H16">
        <v>1.19134359247698</v>
      </c>
      <c r="I16">
        <v>1.3735225531691</v>
      </c>
      <c r="J16">
        <v>0.82912457658880001</v>
      </c>
      <c r="K16">
        <v>-0.73373518144600003</v>
      </c>
      <c r="L16">
        <v>-1.5277293525983</v>
      </c>
      <c r="M16">
        <v>-1.3299364787600001</v>
      </c>
      <c r="N16">
        <v>-0.28988178753568</v>
      </c>
    </row>
    <row r="17" spans="1:14" x14ac:dyDescent="0.25">
      <c r="A17">
        <v>1.4392528358900001</v>
      </c>
      <c r="B17">
        <v>-2.8347938314532999</v>
      </c>
      <c r="C17">
        <v>3.2455841819889999</v>
      </c>
      <c r="D17">
        <v>-1.5527885522381</v>
      </c>
      <c r="E17">
        <v>-2.1338641839800001</v>
      </c>
      <c r="F17">
        <v>0.96444887351999997</v>
      </c>
      <c r="G17">
        <v>-1.8999332989254001</v>
      </c>
      <c r="H17">
        <v>1.2449482576171</v>
      </c>
      <c r="I17">
        <v>1.3797862643679999</v>
      </c>
      <c r="J17">
        <v>1.4578387333</v>
      </c>
      <c r="K17">
        <v>-0.73322684381799996</v>
      </c>
      <c r="L17">
        <v>-1.484414693757</v>
      </c>
      <c r="M17">
        <v>-1.2269832399530001</v>
      </c>
      <c r="N17">
        <v>-0.286863991691236</v>
      </c>
    </row>
    <row r="18" spans="1:14" x14ac:dyDescent="0.25">
      <c r="A18">
        <v>1.4446295613158999</v>
      </c>
      <c r="B18">
        <v>-2.7658225657000002</v>
      </c>
      <c r="C18">
        <v>3.3493638764473999</v>
      </c>
      <c r="D18">
        <v>-1.4967734229191001</v>
      </c>
      <c r="E18">
        <v>-1.9312549263992</v>
      </c>
      <c r="F18">
        <v>1.2393379841837</v>
      </c>
      <c r="G18">
        <v>-1.8411241829767</v>
      </c>
      <c r="H18">
        <v>1.2677221988834999</v>
      </c>
      <c r="I18">
        <v>1.458231978455</v>
      </c>
      <c r="J18">
        <v>1.5193877918111001</v>
      </c>
      <c r="K18">
        <v>-0.73258495471575003</v>
      </c>
      <c r="L18">
        <v>-1.3582712475765</v>
      </c>
      <c r="M18">
        <v>-1.1799536662193999</v>
      </c>
      <c r="N18">
        <v>-0.28584318984200002</v>
      </c>
    </row>
    <row r="19" spans="1:14" x14ac:dyDescent="0.25">
      <c r="A19">
        <v>1.4875136816744501</v>
      </c>
      <c r="B19">
        <v>-2.76377727295516</v>
      </c>
      <c r="C19">
        <v>3.387996896867</v>
      </c>
      <c r="D19">
        <v>-1.4367319369574301</v>
      </c>
      <c r="E19">
        <v>-1.8731832575268801</v>
      </c>
      <c r="F19">
        <v>1.263567672225</v>
      </c>
      <c r="G19">
        <v>-1.8277274792989999</v>
      </c>
      <c r="H19">
        <v>1.2737327813699999</v>
      </c>
      <c r="I19">
        <v>1.5844354117399999</v>
      </c>
      <c r="J19">
        <v>1.6992493717382999</v>
      </c>
      <c r="K19">
        <v>-0.69625738153490002</v>
      </c>
      <c r="L19">
        <v>-1.3117685464685001</v>
      </c>
      <c r="M19">
        <v>-1.1584397252758001</v>
      </c>
      <c r="N19">
        <v>-0.27964346541637403</v>
      </c>
    </row>
    <row r="20" spans="1:14" x14ac:dyDescent="0.25">
      <c r="A20">
        <v>1.5788448944263</v>
      </c>
      <c r="B20">
        <v>-2.6897988799719998</v>
      </c>
      <c r="C20">
        <v>3.4279246744935898</v>
      </c>
      <c r="D20">
        <v>-1.256517545895</v>
      </c>
      <c r="E20">
        <v>-1.8566484892570001</v>
      </c>
      <c r="F20">
        <v>1.2862247683710999</v>
      </c>
      <c r="G20">
        <v>-1.7925614148492</v>
      </c>
      <c r="H20">
        <v>1.3213733317</v>
      </c>
      <c r="I20">
        <v>1.8617932829599999</v>
      </c>
      <c r="J20">
        <v>2.1329156438860002</v>
      </c>
      <c r="K20">
        <v>-0.64954597186176599</v>
      </c>
      <c r="L20">
        <v>-1.2423158496366</v>
      </c>
      <c r="M20">
        <v>-0.97483699674449997</v>
      </c>
      <c r="N20">
        <v>-0.25734176573630002</v>
      </c>
    </row>
    <row r="21" spans="1:14" x14ac:dyDescent="0.25">
      <c r="A21">
        <v>1.6451839640000001</v>
      </c>
      <c r="B21">
        <v>-2.6431271921238002</v>
      </c>
      <c r="C21">
        <v>3.4889724258981998</v>
      </c>
      <c r="D21">
        <v>-0.92221998414951001</v>
      </c>
      <c r="E21">
        <v>-1.69523172732714</v>
      </c>
      <c r="F21">
        <v>1.3432239325369999</v>
      </c>
      <c r="G21">
        <v>-1.79132779947513</v>
      </c>
      <c r="H21">
        <v>1.3429726275456799</v>
      </c>
      <c r="I21">
        <v>2.1229324631000002</v>
      </c>
      <c r="J21">
        <v>2.3511753135350002</v>
      </c>
      <c r="K21">
        <v>-0.63939332313870001</v>
      </c>
      <c r="L21">
        <v>-0.96931782819000001</v>
      </c>
      <c r="M21">
        <v>-0.87726487244932005</v>
      </c>
      <c r="N21">
        <v>-0.25463639740999999</v>
      </c>
    </row>
    <row r="22" spans="1:14" x14ac:dyDescent="0.25">
      <c r="A22">
        <v>1.6731581287737001</v>
      </c>
      <c r="B22">
        <v>-2.5828678890000001</v>
      </c>
      <c r="C22">
        <v>3.6373825586639001</v>
      </c>
      <c r="D22">
        <v>1.4676175818531001</v>
      </c>
      <c r="E22">
        <v>-1.6636723517873</v>
      </c>
      <c r="F22">
        <v>1.49248596343759</v>
      </c>
      <c r="G22">
        <v>-1.7824316189588001</v>
      </c>
      <c r="H22">
        <v>1.41536459545</v>
      </c>
      <c r="I22">
        <v>2.1728838325790001</v>
      </c>
      <c r="J22">
        <v>2.624325788583</v>
      </c>
      <c r="K22">
        <v>-0.59896323234112303</v>
      </c>
      <c r="L22">
        <v>-0.61923796255568997</v>
      </c>
      <c r="M22">
        <v>-0.57595154279399996</v>
      </c>
    </row>
    <row r="23" spans="1:14" x14ac:dyDescent="0.25">
      <c r="A23">
        <v>1.7664522486359999</v>
      </c>
      <c r="B23">
        <v>-2.5826898752123801</v>
      </c>
      <c r="C23">
        <v>3.76154179654</v>
      </c>
      <c r="D23">
        <v>1.5569674675178999</v>
      </c>
      <c r="E23">
        <v>-1.6571188137499999</v>
      </c>
      <c r="F23">
        <v>1.5642955175964599</v>
      </c>
      <c r="G23">
        <v>-1.6883851739419999</v>
      </c>
      <c r="H23">
        <v>1.4817166238199999</v>
      </c>
      <c r="I23">
        <v>2.2289579900000001</v>
      </c>
      <c r="J23">
        <v>2.6639245976515999</v>
      </c>
      <c r="K23">
        <v>-0.581761555568861</v>
      </c>
      <c r="L23">
        <v>-0.55352382421123003</v>
      </c>
      <c r="M23">
        <v>-0.5417426796482</v>
      </c>
    </row>
    <row r="24" spans="1:14" x14ac:dyDescent="0.25">
      <c r="A24">
        <v>1.87872776161</v>
      </c>
      <c r="B24">
        <v>-2.5186753883267601</v>
      </c>
      <c r="C24">
        <v>4.1523168535888004</v>
      </c>
      <c r="D24">
        <v>1.6161741254099999</v>
      </c>
      <c r="E24">
        <v>-1.61729642585522</v>
      </c>
      <c r="F24">
        <v>1.58625536569</v>
      </c>
      <c r="G24">
        <v>-1.4793565646242</v>
      </c>
      <c r="H24">
        <v>1.494951838749</v>
      </c>
      <c r="I24">
        <v>2.28283537611197</v>
      </c>
      <c r="J24">
        <v>2.7151484834291</v>
      </c>
      <c r="K24">
        <v>-0.41123227163384002</v>
      </c>
      <c r="L24">
        <v>-0.52558971181900005</v>
      </c>
      <c r="M24">
        <v>-0.51455273742498997</v>
      </c>
    </row>
    <row r="25" spans="1:14" x14ac:dyDescent="0.25">
      <c r="A25">
        <v>1.896836149679</v>
      </c>
      <c r="B25">
        <v>-2.3727651334100002</v>
      </c>
      <c r="C25">
        <v>4.2117474729</v>
      </c>
      <c r="D25">
        <v>1.6591499549223501</v>
      </c>
      <c r="E25">
        <v>0.87445351246946001</v>
      </c>
      <c r="F25">
        <v>1.67939166966</v>
      </c>
      <c r="G25">
        <v>-1.4311121415100001</v>
      </c>
      <c r="H25">
        <v>1.5738117941351999</v>
      </c>
      <c r="I25">
        <v>2.3116221257328</v>
      </c>
      <c r="J25">
        <v>2.767568164279</v>
      </c>
      <c r="K25">
        <v>-0.364159341926587</v>
      </c>
      <c r="L25">
        <v>-0.48165217615951</v>
      </c>
      <c r="M25">
        <v>-0.46633294624799998</v>
      </c>
    </row>
    <row r="26" spans="1:14" x14ac:dyDescent="0.25">
      <c r="A26">
        <v>1.9256399371499899</v>
      </c>
      <c r="B26">
        <v>-2.365222459196</v>
      </c>
      <c r="C26">
        <v>4.2695188984100003</v>
      </c>
      <c r="D26">
        <v>1.6699538764888999</v>
      </c>
      <c r="E26">
        <v>0.89868836322519996</v>
      </c>
      <c r="F26">
        <v>1.6844829259572001</v>
      </c>
      <c r="G26">
        <v>-1.29824865743285</v>
      </c>
      <c r="H26">
        <v>1.5985629581</v>
      </c>
      <c r="I26">
        <v>2.4464158535423199</v>
      </c>
      <c r="K26">
        <v>-0.36162716268997003</v>
      </c>
      <c r="L26">
        <v>-0.41788567733185</v>
      </c>
    </row>
    <row r="27" spans="1:14" x14ac:dyDescent="0.25">
      <c r="A27">
        <v>1.9323212516746</v>
      </c>
      <c r="B27">
        <v>-2.3593772394379999</v>
      </c>
      <c r="C27">
        <v>4.3375345832469998</v>
      </c>
      <c r="D27">
        <v>1.6899824662612</v>
      </c>
      <c r="E27">
        <v>1.1187692375134</v>
      </c>
      <c r="F27">
        <v>2.1577379817911</v>
      </c>
      <c r="G27">
        <v>-1.278315834434</v>
      </c>
      <c r="H27">
        <v>1.655651732428</v>
      </c>
      <c r="K27">
        <v>-0.32669999560000001</v>
      </c>
      <c r="L27">
        <v>0.68219792658816003</v>
      </c>
    </row>
    <row r="28" spans="1:14" x14ac:dyDescent="0.25">
      <c r="A28">
        <v>1.97585948157127</v>
      </c>
      <c r="B28">
        <v>-2.2651386933855999</v>
      </c>
      <c r="C28">
        <v>4.4317136721769703</v>
      </c>
      <c r="D28">
        <v>1.9128839258966699</v>
      </c>
      <c r="E28">
        <v>1.1294767826865</v>
      </c>
      <c r="F28">
        <v>2.1836349988379999</v>
      </c>
      <c r="G28">
        <v>-1.2375822724422001</v>
      </c>
      <c r="H28">
        <v>1.9575667474689999</v>
      </c>
      <c r="K28">
        <v>-0.31123256333926003</v>
      </c>
    </row>
    <row r="29" spans="1:14" x14ac:dyDescent="0.25">
      <c r="A29">
        <v>2.1345456529218501</v>
      </c>
      <c r="B29">
        <v>-2.1426543782710001</v>
      </c>
      <c r="C29">
        <v>5.4255438892800001</v>
      </c>
      <c r="D29">
        <v>2.1158664325268002</v>
      </c>
      <c r="E29">
        <v>1.13843756764</v>
      </c>
      <c r="F29">
        <v>2.3381491315343399</v>
      </c>
      <c r="G29">
        <v>-0.99346747281119996</v>
      </c>
      <c r="H29">
        <v>2.1112812527826001</v>
      </c>
    </row>
    <row r="30" spans="1:14" x14ac:dyDescent="0.25">
      <c r="A30">
        <v>2.1947323138188</v>
      </c>
      <c r="B30">
        <v>-2.1348773268549999</v>
      </c>
      <c r="C30">
        <v>5.6419127785940999</v>
      </c>
      <c r="D30">
        <v>2.1275413147319</v>
      </c>
      <c r="E30">
        <v>1.54518613782</v>
      </c>
      <c r="F30">
        <v>2.3554427975336001</v>
      </c>
      <c r="G30">
        <v>-0.95869265714392005</v>
      </c>
      <c r="H30">
        <v>2.1465497631644999</v>
      </c>
    </row>
    <row r="31" spans="1:14" x14ac:dyDescent="0.25">
      <c r="A31">
        <v>2.2166875995300002</v>
      </c>
      <c r="B31">
        <v>-2.1259353217600001</v>
      </c>
      <c r="C31">
        <v>5.6434424385929001</v>
      </c>
      <c r="D31">
        <v>2.12952325867517</v>
      </c>
      <c r="E31">
        <v>1.5918735198989999</v>
      </c>
      <c r="F31">
        <v>2.4756685779762999</v>
      </c>
      <c r="G31">
        <v>-0.8469353182146</v>
      </c>
      <c r="H31">
        <v>2.1735672673874999</v>
      </c>
    </row>
    <row r="32" spans="1:14" x14ac:dyDescent="0.25">
      <c r="A32">
        <v>2.23564524834</v>
      </c>
      <c r="B32">
        <v>-1.9747672356129999</v>
      </c>
      <c r="C32">
        <v>5.6824372837499997</v>
      </c>
      <c r="D32">
        <v>2.1529148274100001</v>
      </c>
      <c r="E32">
        <v>2.1271947396487998</v>
      </c>
      <c r="F32">
        <v>2.7695245337859999</v>
      </c>
      <c r="G32">
        <v>0.67448176685824002</v>
      </c>
      <c r="H32">
        <v>2.3335692514935902</v>
      </c>
    </row>
    <row r="33" spans="1:8" x14ac:dyDescent="0.25">
      <c r="A33">
        <v>2.2522174881370001</v>
      </c>
      <c r="B33">
        <v>-1.9747197845996001</v>
      </c>
      <c r="C33">
        <v>5.7153887864913004</v>
      </c>
      <c r="D33">
        <v>2.1646692761261201</v>
      </c>
      <c r="E33">
        <v>2.2181882511616</v>
      </c>
      <c r="F33">
        <v>2.8572444372630001</v>
      </c>
      <c r="G33">
        <v>0.67853873149180999</v>
      </c>
      <c r="H33">
        <v>2.3418118111132</v>
      </c>
    </row>
    <row r="34" spans="1:8" x14ac:dyDescent="0.25">
      <c r="A34">
        <v>2.257296543881</v>
      </c>
      <c r="B34">
        <v>-1.9548918624678</v>
      </c>
      <c r="C34">
        <v>5.9824461697681004</v>
      </c>
      <c r="D34">
        <v>2.2256329795251002</v>
      </c>
      <c r="E34">
        <v>2.5124995788929998</v>
      </c>
      <c r="F34">
        <v>2.9571641716378001</v>
      </c>
      <c r="G34">
        <v>0.69742618842290005</v>
      </c>
      <c r="H34">
        <v>2.5158516239000002</v>
      </c>
    </row>
    <row r="35" spans="1:8" x14ac:dyDescent="0.25">
      <c r="A35">
        <v>2.2714717959840001</v>
      </c>
      <c r="B35">
        <v>-1.924612288931</v>
      </c>
      <c r="C35">
        <v>6.1827581582261004</v>
      </c>
      <c r="D35">
        <v>2.4717436898890002</v>
      </c>
      <c r="E35">
        <v>2.5893478898310001</v>
      </c>
      <c r="F35">
        <v>3.1719595824</v>
      </c>
      <c r="G35">
        <v>0.72869673414142999</v>
      </c>
      <c r="H35">
        <v>3.3653529149699999</v>
      </c>
    </row>
    <row r="36" spans="1:8" x14ac:dyDescent="0.25">
      <c r="A36">
        <v>2.3457633255700001</v>
      </c>
      <c r="B36">
        <v>-1.9163977811370001</v>
      </c>
      <c r="C36">
        <v>6.2874874367196201</v>
      </c>
      <c r="D36">
        <v>2.8975551398996</v>
      </c>
      <c r="E36">
        <v>2.6897878617522002</v>
      </c>
      <c r="F36">
        <v>3.5323322431580002</v>
      </c>
      <c r="G36">
        <v>4.2867321612888798</v>
      </c>
      <c r="H36">
        <v>3.5234194469000002</v>
      </c>
    </row>
    <row r="37" spans="1:8" x14ac:dyDescent="0.25">
      <c r="A37">
        <v>2.3668584939521802</v>
      </c>
      <c r="B37">
        <v>-1.8667268189827</v>
      </c>
      <c r="C37">
        <v>6.7164845142700003</v>
      </c>
      <c r="D37">
        <v>5.1253951469858103</v>
      </c>
      <c r="E37">
        <v>2.7716116355699998</v>
      </c>
      <c r="H37">
        <v>7.3893931669528197</v>
      </c>
    </row>
    <row r="38" spans="1:8" x14ac:dyDescent="0.25">
      <c r="A38">
        <v>2.3893989535600002</v>
      </c>
      <c r="B38">
        <v>-1.82242622662663</v>
      </c>
      <c r="C38">
        <v>6.7196225843972002</v>
      </c>
      <c r="D38">
        <v>5.7193145645829997</v>
      </c>
      <c r="E38">
        <v>2.7751278147843399</v>
      </c>
    </row>
    <row r="39" spans="1:8" x14ac:dyDescent="0.25">
      <c r="A39">
        <v>2.3978922289</v>
      </c>
      <c r="B39">
        <v>-1.7833248515119</v>
      </c>
      <c r="C39">
        <v>6.7351723589376</v>
      </c>
      <c r="D39">
        <v>8.3238816818846999</v>
      </c>
      <c r="E39">
        <v>2.8273423171699998</v>
      </c>
    </row>
    <row r="40" spans="1:8" x14ac:dyDescent="0.25">
      <c r="A40">
        <v>2.4278346584260002</v>
      </c>
      <c r="B40">
        <v>-1.65425561174</v>
      </c>
      <c r="C40">
        <v>7.1378241384900001</v>
      </c>
    </row>
    <row r="41" spans="1:8" x14ac:dyDescent="0.25">
      <c r="A41">
        <v>2.44889915789989</v>
      </c>
      <c r="B41">
        <v>-1.6459866441767801</v>
      </c>
      <c r="C41">
        <v>7.1644578143939004</v>
      </c>
    </row>
    <row r="42" spans="1:8" x14ac:dyDescent="0.25">
      <c r="A42">
        <v>2.5643121299999998</v>
      </c>
      <c r="B42">
        <v>-1.6117173768699999</v>
      </c>
    </row>
    <row r="43" spans="1:8" x14ac:dyDescent="0.25">
      <c r="A43">
        <v>2.5828293638547</v>
      </c>
      <c r="B43">
        <v>-1.4892148595936301</v>
      </c>
    </row>
    <row r="44" spans="1:8" x14ac:dyDescent="0.25">
      <c r="A44">
        <v>2.7464724466549</v>
      </c>
      <c r="B44">
        <v>-1.3947119462253501</v>
      </c>
    </row>
    <row r="45" spans="1:8" x14ac:dyDescent="0.25">
      <c r="A45">
        <v>2.8134479810999999</v>
      </c>
      <c r="B45">
        <v>-1.156694326282</v>
      </c>
    </row>
    <row r="46" spans="1:8" x14ac:dyDescent="0.25">
      <c r="A46">
        <v>2.8448887819220001</v>
      </c>
      <c r="B46">
        <v>-0.93414647445689603</v>
      </c>
    </row>
    <row r="47" spans="1:8" x14ac:dyDescent="0.25">
      <c r="A47">
        <v>2.9682975739890001</v>
      </c>
      <c r="B47">
        <v>-0.89482236357260003</v>
      </c>
    </row>
    <row r="48" spans="1:8" x14ac:dyDescent="0.25">
      <c r="A48">
        <v>3.2164891738731902</v>
      </c>
      <c r="B48">
        <v>-0.86743559665369996</v>
      </c>
    </row>
    <row r="49" spans="1:2" x14ac:dyDescent="0.25">
      <c r="A49">
        <v>3.2539361555382</v>
      </c>
      <c r="B49">
        <v>-0.68778627951628002</v>
      </c>
    </row>
    <row r="50" spans="1:2" x14ac:dyDescent="0.25">
      <c r="A50">
        <v>3.9885518818799999</v>
      </c>
      <c r="B50">
        <v>0.39278356726217101</v>
      </c>
    </row>
    <row r="51" spans="1:2" x14ac:dyDescent="0.25">
      <c r="A51">
        <v>4.2234496529719001</v>
      </c>
      <c r="B51">
        <v>0.43272183158172001</v>
      </c>
    </row>
    <row r="52" spans="1:2" x14ac:dyDescent="0.25">
      <c r="B52">
        <v>0.45126854917551501</v>
      </c>
    </row>
    <row r="53" spans="1:2" x14ac:dyDescent="0.25">
      <c r="B53">
        <v>0.49367699657190001</v>
      </c>
    </row>
    <row r="54" spans="1:2" x14ac:dyDescent="0.25">
      <c r="B54">
        <v>0.76649361341592603</v>
      </c>
    </row>
    <row r="55" spans="1:2" x14ac:dyDescent="0.25">
      <c r="B55">
        <v>0.76734677898699999</v>
      </c>
    </row>
    <row r="56" spans="1:2" x14ac:dyDescent="0.25">
      <c r="B56">
        <v>0.812785437986</v>
      </c>
    </row>
    <row r="57" spans="1:2" x14ac:dyDescent="0.25">
      <c r="B57">
        <v>0.81986748351509997</v>
      </c>
    </row>
    <row r="58" spans="1:2" x14ac:dyDescent="0.25">
      <c r="B58">
        <v>0.82511729633278996</v>
      </c>
    </row>
    <row r="59" spans="1:2" x14ac:dyDescent="0.25">
      <c r="B59">
        <v>0.85423822223182</v>
      </c>
    </row>
    <row r="60" spans="1:2" x14ac:dyDescent="0.25">
      <c r="B60">
        <v>0.86876845738674402</v>
      </c>
    </row>
    <row r="61" spans="1:2" x14ac:dyDescent="0.25">
      <c r="B61">
        <v>0.97753148467456996</v>
      </c>
    </row>
    <row r="62" spans="1:2" x14ac:dyDescent="0.25">
      <c r="B62">
        <v>1.4176796813520001</v>
      </c>
    </row>
    <row r="63" spans="1:2" x14ac:dyDescent="0.25">
      <c r="B63">
        <v>1.78216169416</v>
      </c>
    </row>
    <row r="64" spans="1:2" x14ac:dyDescent="0.25">
      <c r="B64">
        <v>2.2157167264989002</v>
      </c>
    </row>
    <row r="65" spans="2:2" x14ac:dyDescent="0.25">
      <c r="B65">
        <v>2.33628183178</v>
      </c>
    </row>
    <row r="66" spans="2:2" x14ac:dyDescent="0.25">
      <c r="B66">
        <v>2.3818935526895002</v>
      </c>
    </row>
    <row r="67" spans="2:2" x14ac:dyDescent="0.25">
      <c r="B67">
        <v>2.3894521958527002</v>
      </c>
    </row>
    <row r="68" spans="2:2" x14ac:dyDescent="0.25">
      <c r="B68">
        <v>2.49838345541461</v>
      </c>
    </row>
    <row r="69" spans="2:2" x14ac:dyDescent="0.25">
      <c r="B69">
        <v>2.5777373734875701</v>
      </c>
    </row>
    <row r="70" spans="2:2" x14ac:dyDescent="0.25">
      <c r="B70">
        <v>2.6637124176745002</v>
      </c>
    </row>
    <row r="71" spans="2:2" x14ac:dyDescent="0.25">
      <c r="B71">
        <v>3.9266615323799998</v>
      </c>
    </row>
    <row r="72" spans="2:2" x14ac:dyDescent="0.25">
      <c r="B72">
        <v>4.5836789659881001</v>
      </c>
    </row>
    <row r="73" spans="2:2" x14ac:dyDescent="0.25">
      <c r="B73">
        <v>4.9383182115770001</v>
      </c>
    </row>
    <row r="74" spans="2:2" x14ac:dyDescent="0.25">
      <c r="B74">
        <v>5.9597465984192999</v>
      </c>
    </row>
    <row r="75" spans="2:2" x14ac:dyDescent="0.25">
      <c r="B75">
        <v>6.243676731751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84"/>
  <sheetViews>
    <sheetView workbookViewId="0">
      <selection activeCell="F36" sqref="F36"/>
    </sheetView>
  </sheetViews>
  <sheetFormatPr defaultRowHeight="15" x14ac:dyDescent="0.25"/>
  <sheetData>
    <row r="1" spans="1:34" x14ac:dyDescent="0.25">
      <c r="A1" t="s">
        <v>511</v>
      </c>
      <c r="B1" t="s">
        <v>514</v>
      </c>
      <c r="C1" t="s">
        <v>519</v>
      </c>
      <c r="D1" t="s">
        <v>512</v>
      </c>
      <c r="E1" t="s">
        <v>516</v>
      </c>
      <c r="F1" t="s">
        <v>509</v>
      </c>
      <c r="G1" t="s">
        <v>510</v>
      </c>
      <c r="H1" t="s">
        <v>515</v>
      </c>
      <c r="I1" t="s">
        <v>520</v>
      </c>
      <c r="J1" t="s">
        <v>513</v>
      </c>
      <c r="K1" t="s">
        <v>508</v>
      </c>
      <c r="L1" t="s">
        <v>517</v>
      </c>
      <c r="M1" t="s">
        <v>522</v>
      </c>
      <c r="N1" t="s">
        <v>521</v>
      </c>
      <c r="O1" t="s">
        <v>518</v>
      </c>
      <c r="R1" s="14" t="s">
        <v>511</v>
      </c>
      <c r="S1" s="14" t="s">
        <v>524</v>
      </c>
      <c r="T1" t="s">
        <v>511</v>
      </c>
      <c r="U1" t="s">
        <v>514</v>
      </c>
      <c r="V1" t="s">
        <v>519</v>
      </c>
      <c r="W1" t="s">
        <v>512</v>
      </c>
      <c r="X1" t="s">
        <v>516</v>
      </c>
      <c r="Y1" t="s">
        <v>509</v>
      </c>
      <c r="Z1" t="s">
        <v>510</v>
      </c>
      <c r="AA1" t="s">
        <v>515</v>
      </c>
      <c r="AB1" t="s">
        <v>520</v>
      </c>
      <c r="AC1" t="s">
        <v>513</v>
      </c>
      <c r="AD1" t="s">
        <v>508</v>
      </c>
      <c r="AE1" t="s">
        <v>517</v>
      </c>
      <c r="AF1" t="s">
        <v>522</v>
      </c>
      <c r="AG1" t="s">
        <v>521</v>
      </c>
      <c r="AH1" t="s">
        <v>518</v>
      </c>
    </row>
    <row r="2" spans="1:34" x14ac:dyDescent="0.25">
      <c r="A2">
        <v>0.41363275379395298</v>
      </c>
      <c r="B2">
        <v>-5.8145231142830003</v>
      </c>
      <c r="C2">
        <v>-7.9849147336464403</v>
      </c>
      <c r="D2">
        <v>-4.7172248655138</v>
      </c>
      <c r="E2">
        <v>-6.1174651276500001</v>
      </c>
      <c r="F2">
        <v>-3.4814961349944999</v>
      </c>
      <c r="G2">
        <v>-3.4777382992392298</v>
      </c>
      <c r="H2">
        <v>-2.5629953364318001</v>
      </c>
      <c r="I2">
        <v>-5.9813676998389997</v>
      </c>
      <c r="J2">
        <v>-5.7829556296621698</v>
      </c>
      <c r="K2">
        <v>-1.994314669714</v>
      </c>
      <c r="L2">
        <v>-2.811453577814</v>
      </c>
      <c r="M2">
        <v>-1.9614378244748001</v>
      </c>
      <c r="N2">
        <v>-0.64893982818524998</v>
      </c>
      <c r="O2">
        <v>-0.56575731664841999</v>
      </c>
      <c r="S2" s="14" t="s">
        <v>526</v>
      </c>
      <c r="T2">
        <f>MIN(A:A)</f>
        <v>0.41363275379395298</v>
      </c>
      <c r="U2">
        <f t="shared" ref="U2:AH2" si="0">MIN(B:B)</f>
        <v>-5.8145231142830003</v>
      </c>
      <c r="V2">
        <f t="shared" si="0"/>
        <v>-7.9849147336464403</v>
      </c>
      <c r="W2">
        <f t="shared" si="0"/>
        <v>-4.7172248655138</v>
      </c>
      <c r="X2">
        <f t="shared" si="0"/>
        <v>-6.1174651276500001</v>
      </c>
      <c r="Y2">
        <f t="shared" si="0"/>
        <v>-3.4814961349944999</v>
      </c>
      <c r="Z2">
        <f t="shared" si="0"/>
        <v>-3.4777382992392298</v>
      </c>
      <c r="AA2">
        <f t="shared" si="0"/>
        <v>-2.5629953364318001</v>
      </c>
      <c r="AB2">
        <f t="shared" si="0"/>
        <v>-5.9813676998389997</v>
      </c>
      <c r="AC2">
        <f t="shared" si="0"/>
        <v>-5.7829556296621698</v>
      </c>
      <c r="AD2">
        <f t="shared" si="0"/>
        <v>-1.994314669714</v>
      </c>
      <c r="AE2">
        <f t="shared" si="0"/>
        <v>-2.811453577814</v>
      </c>
      <c r="AF2">
        <f t="shared" si="0"/>
        <v>-1.9614378244748001</v>
      </c>
      <c r="AG2">
        <f t="shared" si="0"/>
        <v>-0.64893982818524998</v>
      </c>
      <c r="AH2">
        <f t="shared" si="0"/>
        <v>-0.56575731664841999</v>
      </c>
    </row>
    <row r="3" spans="1:34" x14ac:dyDescent="0.25">
      <c r="A3">
        <v>0.62922523971690003</v>
      </c>
      <c r="B3">
        <v>-5.2549288450000002</v>
      </c>
      <c r="C3">
        <v>-4.5412595972753103</v>
      </c>
      <c r="D3">
        <v>-3.9369815821562999</v>
      </c>
      <c r="E3">
        <v>-5.5184512392169998</v>
      </c>
      <c r="F3">
        <v>-2.83843841359</v>
      </c>
      <c r="G3">
        <v>-3.1435229582389201</v>
      </c>
      <c r="H3">
        <v>-2.1573489346647698</v>
      </c>
      <c r="I3">
        <v>-4.2727385533530002</v>
      </c>
      <c r="J3">
        <v>-4.6237463375664101</v>
      </c>
      <c r="K3">
        <v>-1.5581219972256499</v>
      </c>
      <c r="L3">
        <v>-2.2861714968200002</v>
      </c>
      <c r="M3">
        <v>-1.9457279367442899</v>
      </c>
      <c r="N3">
        <v>-0.58728868885120999</v>
      </c>
      <c r="O3">
        <v>-0.459567621466</v>
      </c>
      <c r="S3" s="14" t="s">
        <v>527</v>
      </c>
      <c r="T3">
        <f>MAX(A:A)</f>
        <v>4.7566285654492004</v>
      </c>
      <c r="U3">
        <f t="shared" ref="U3:AH3" si="1">MAX(B:B)</f>
        <v>5.9597465984192999</v>
      </c>
      <c r="V3">
        <f t="shared" si="1"/>
        <v>6.7196225843972002</v>
      </c>
      <c r="W3">
        <f t="shared" si="1"/>
        <v>5.1253951469858103</v>
      </c>
      <c r="X3">
        <f t="shared" si="1"/>
        <v>-1.61729642585522</v>
      </c>
      <c r="Y3">
        <f t="shared" si="1"/>
        <v>2.8837944375646001</v>
      </c>
      <c r="Z3">
        <f t="shared" si="1"/>
        <v>0.83723372929286</v>
      </c>
      <c r="AA3">
        <f t="shared" si="1"/>
        <v>7.3893931669528197</v>
      </c>
      <c r="AB3">
        <f t="shared" si="1"/>
        <v>1.9624128926</v>
      </c>
      <c r="AC3">
        <f t="shared" si="1"/>
        <v>2.7151484834291</v>
      </c>
      <c r="AD3">
        <f t="shared" si="1"/>
        <v>-0.24752691265099999</v>
      </c>
      <c r="AE3">
        <f t="shared" si="1"/>
        <v>0.68219792658816003</v>
      </c>
      <c r="AF3">
        <f t="shared" si="1"/>
        <v>-0.46633294624799998</v>
      </c>
      <c r="AG3">
        <f t="shared" si="1"/>
        <v>-0.25734526517</v>
      </c>
      <c r="AH3">
        <f t="shared" si="1"/>
        <v>-0.2136545692945</v>
      </c>
    </row>
    <row r="4" spans="1:34" x14ac:dyDescent="0.25">
      <c r="A4">
        <v>0.64523559282326004</v>
      </c>
      <c r="B4">
        <v>-5.1483644666527999</v>
      </c>
      <c r="C4">
        <v>-4.3824179748240004</v>
      </c>
      <c r="D4">
        <v>-3.4993543395315498</v>
      </c>
      <c r="E4">
        <v>-5.46823966994</v>
      </c>
      <c r="F4">
        <v>-2.7645439883699998</v>
      </c>
      <c r="G4">
        <v>-3.1425392474715501</v>
      </c>
      <c r="H4">
        <v>-2.1223877766152799</v>
      </c>
      <c r="I4">
        <v>-3.3173119449500001</v>
      </c>
      <c r="J4">
        <v>-4.1776959938453304</v>
      </c>
      <c r="K4">
        <v>-1.2666949976999999</v>
      </c>
      <c r="L4">
        <v>-2.1567715666764999</v>
      </c>
      <c r="M4">
        <v>-1.82434326714189</v>
      </c>
      <c r="N4">
        <v>-0.51257467259650003</v>
      </c>
      <c r="O4">
        <v>-0.45385839496753999</v>
      </c>
      <c r="S4" s="14" t="s">
        <v>528</v>
      </c>
      <c r="T4">
        <f>AVERAGE(A:A)</f>
        <v>2.0157975492393811</v>
      </c>
      <c r="U4">
        <f t="shared" ref="U4:AH4" si="2">AVERAGE(B:B)</f>
        <v>-0.25675511494086678</v>
      </c>
      <c r="V4">
        <f t="shared" si="2"/>
        <v>2.1224563419879723</v>
      </c>
      <c r="W4">
        <f t="shared" si="2"/>
        <v>-4.0507027262285056E-2</v>
      </c>
      <c r="X4">
        <f t="shared" si="2"/>
        <v>-2.7533015185116247</v>
      </c>
      <c r="Y4">
        <f t="shared" si="2"/>
        <v>-0.18154315532516085</v>
      </c>
      <c r="Z4">
        <f t="shared" si="2"/>
        <v>-1.7328354954239169</v>
      </c>
      <c r="AA4">
        <f t="shared" si="2"/>
        <v>1.3961827935807383</v>
      </c>
      <c r="AB4">
        <f t="shared" si="2"/>
        <v>-0.25462613069320772</v>
      </c>
      <c r="AC4">
        <f t="shared" si="2"/>
        <v>-1.9682012487510308</v>
      </c>
      <c r="AD4">
        <f t="shared" si="2"/>
        <v>-0.74689267943769333</v>
      </c>
      <c r="AE4">
        <f t="shared" si="2"/>
        <v>-1.4049547197224517</v>
      </c>
      <c r="AF4">
        <f t="shared" si="2"/>
        <v>-1.2706002556442233</v>
      </c>
      <c r="AG4">
        <f t="shared" si="2"/>
        <v>-0.39229711551757723</v>
      </c>
      <c r="AH4">
        <f t="shared" si="2"/>
        <v>-0.31396537795266621</v>
      </c>
    </row>
    <row r="5" spans="1:34" x14ac:dyDescent="0.25">
      <c r="A5">
        <v>0.65654487742231205</v>
      </c>
      <c r="B5">
        <v>-3.7399125946299998</v>
      </c>
      <c r="C5">
        <v>-3.4837137195593799</v>
      </c>
      <c r="D5">
        <v>-3.46129919419</v>
      </c>
      <c r="E5">
        <v>-4.6555312227629004</v>
      </c>
      <c r="F5">
        <v>-2.7585126355273002</v>
      </c>
      <c r="G5">
        <v>-2.9583634717612202</v>
      </c>
      <c r="H5">
        <v>-1.29135193273</v>
      </c>
      <c r="I5">
        <v>-3.2995727822613001</v>
      </c>
      <c r="J5">
        <v>-3.9911856916277002</v>
      </c>
      <c r="K5">
        <v>-0.98775579125754998</v>
      </c>
      <c r="L5">
        <v>-1.9877278533562599</v>
      </c>
      <c r="M5">
        <v>-1.7138851529000001</v>
      </c>
      <c r="N5">
        <v>-0.47881861977491202</v>
      </c>
      <c r="O5">
        <v>-0.44763416269811002</v>
      </c>
      <c r="S5" s="14" t="s">
        <v>525</v>
      </c>
      <c r="T5">
        <f>COUNT(A2:A84)</f>
        <v>83</v>
      </c>
      <c r="U5">
        <f>COUNT(B2:B84)</f>
        <v>50</v>
      </c>
      <c r="V5">
        <f t="shared" ref="V5:AH5" si="3">COUNT(C2:C84)</f>
        <v>39</v>
      </c>
      <c r="W5">
        <f t="shared" si="3"/>
        <v>40</v>
      </c>
      <c r="X5">
        <f t="shared" si="3"/>
        <v>39</v>
      </c>
      <c r="Y5">
        <f t="shared" si="3"/>
        <v>50</v>
      </c>
      <c r="Z5">
        <f t="shared" si="3"/>
        <v>48</v>
      </c>
      <c r="AA5">
        <f t="shared" si="3"/>
        <v>32</v>
      </c>
      <c r="AB5">
        <f t="shared" si="3"/>
        <v>30</v>
      </c>
      <c r="AC5">
        <f t="shared" si="3"/>
        <v>35</v>
      </c>
      <c r="AD5">
        <f t="shared" si="3"/>
        <v>28</v>
      </c>
      <c r="AE5">
        <f t="shared" si="3"/>
        <v>32</v>
      </c>
      <c r="AF5">
        <f t="shared" si="3"/>
        <v>27</v>
      </c>
      <c r="AG5">
        <f t="shared" si="3"/>
        <v>21</v>
      </c>
      <c r="AH5">
        <f t="shared" si="3"/>
        <v>26</v>
      </c>
    </row>
    <row r="6" spans="1:34" x14ac:dyDescent="0.25">
      <c r="A6">
        <v>0.66212571715500002</v>
      </c>
      <c r="B6">
        <v>-2.9325941145249601</v>
      </c>
      <c r="C6">
        <v>-3.3883377316876002</v>
      </c>
      <c r="D6">
        <v>-3.3458788984590999</v>
      </c>
      <c r="E6">
        <v>-4.5626886846769397</v>
      </c>
      <c r="F6">
        <v>-2.51539546887</v>
      </c>
      <c r="G6">
        <v>-2.9491855454145002</v>
      </c>
      <c r="H6">
        <v>-1.1344672831837099</v>
      </c>
      <c r="I6">
        <v>-2.6454156144500001</v>
      </c>
      <c r="J6">
        <v>-3.7336346162665</v>
      </c>
      <c r="K6">
        <v>-0.93147676228559995</v>
      </c>
      <c r="L6">
        <v>-1.98363691316</v>
      </c>
      <c r="M6">
        <v>-1.6985843851785001</v>
      </c>
      <c r="N6">
        <v>-0.435682474524</v>
      </c>
      <c r="O6">
        <v>-0.38843794778500002</v>
      </c>
    </row>
    <row r="7" spans="1:34" x14ac:dyDescent="0.25">
      <c r="A7">
        <v>0.67197723637310003</v>
      </c>
      <c r="B7">
        <v>-2.7658225657000002</v>
      </c>
      <c r="C7">
        <v>-2.7311198527460001</v>
      </c>
      <c r="D7">
        <v>-3.1113741481299999</v>
      </c>
      <c r="E7">
        <v>-4.5272282727700004</v>
      </c>
      <c r="F7">
        <v>-2.1745251666456</v>
      </c>
      <c r="G7">
        <v>-2.7241331767849002</v>
      </c>
      <c r="H7">
        <v>-0.72911235182529999</v>
      </c>
      <c r="I7">
        <v>-2.5665483362572998</v>
      </c>
      <c r="J7">
        <v>-3.7123286287397002</v>
      </c>
      <c r="K7">
        <v>-0.91213941682489996</v>
      </c>
      <c r="L7">
        <v>-1.9744968816249</v>
      </c>
      <c r="M7">
        <v>-1.674345179778</v>
      </c>
      <c r="N7">
        <v>-0.43545174741881798</v>
      </c>
      <c r="O7">
        <v>-0.37766464541</v>
      </c>
    </row>
    <row r="8" spans="1:34" x14ac:dyDescent="0.25">
      <c r="A8">
        <v>0.69529316825270004</v>
      </c>
      <c r="B8">
        <v>-2.76377727295516</v>
      </c>
      <c r="C8">
        <v>0.56943746562461095</v>
      </c>
      <c r="D8">
        <v>-2.7497426313409998</v>
      </c>
      <c r="E8">
        <v>-3.5799835348509998</v>
      </c>
      <c r="F8">
        <v>-2.1384849878990999</v>
      </c>
      <c r="G8">
        <v>-2.6423469424381998</v>
      </c>
      <c r="H8">
        <v>0.65166395494497997</v>
      </c>
      <c r="I8">
        <v>-2.1771735691899998</v>
      </c>
      <c r="J8">
        <v>-3.572378846456</v>
      </c>
      <c r="K8">
        <v>-0.87284592652299997</v>
      </c>
      <c r="L8">
        <v>-1.9254692964147</v>
      </c>
      <c r="M8">
        <v>-1.6465857558274</v>
      </c>
      <c r="N8">
        <v>-0.42461613243492002</v>
      </c>
      <c r="O8">
        <v>-0.36153933583881998</v>
      </c>
    </row>
    <row r="9" spans="1:34" x14ac:dyDescent="0.25">
      <c r="A9">
        <v>0.74169142189917003</v>
      </c>
      <c r="B9">
        <v>-2.6897988799719998</v>
      </c>
      <c r="C9">
        <v>0.58286574765537003</v>
      </c>
      <c r="D9">
        <v>-2.735588562217</v>
      </c>
      <c r="E9">
        <v>-3.5637215178430002</v>
      </c>
      <c r="F9">
        <v>-2.1165598634428</v>
      </c>
      <c r="G9">
        <v>-2.61397835874256</v>
      </c>
      <c r="H9">
        <v>0.79754736358577005</v>
      </c>
      <c r="I9">
        <v>-1.7547124815194499</v>
      </c>
      <c r="J9">
        <v>-3.5345529869756001</v>
      </c>
      <c r="K9">
        <v>-0.84155727388848101</v>
      </c>
      <c r="L9">
        <v>-1.8987991768628001</v>
      </c>
      <c r="M9">
        <v>-1.6188413928389001</v>
      </c>
      <c r="N9">
        <v>-0.4136325336951</v>
      </c>
      <c r="O9">
        <v>-0.35411937455451997</v>
      </c>
    </row>
    <row r="10" spans="1:34" x14ac:dyDescent="0.25">
      <c r="A10">
        <v>0.81427723446136002</v>
      </c>
      <c r="B10">
        <v>-2.3727651334100002</v>
      </c>
      <c r="C10">
        <v>0.61154939382950002</v>
      </c>
      <c r="D10">
        <v>-2.6753185883600001</v>
      </c>
      <c r="E10">
        <v>-3.3523354964565999</v>
      </c>
      <c r="F10">
        <v>-1.9928627763415701</v>
      </c>
      <c r="G10">
        <v>-2.6124782451256001</v>
      </c>
      <c r="H10">
        <v>0.92794735973577003</v>
      </c>
      <c r="I10">
        <v>-1.7382777612</v>
      </c>
      <c r="J10">
        <v>-3.3971217236581999</v>
      </c>
      <c r="K10">
        <v>-0.83667616115279997</v>
      </c>
      <c r="L10">
        <v>-1.8824658752651999</v>
      </c>
      <c r="M10">
        <v>-1.61826489729</v>
      </c>
      <c r="N10">
        <v>-0.37825649914142001</v>
      </c>
      <c r="O10">
        <v>-0.34859993626278002</v>
      </c>
    </row>
    <row r="11" spans="1:34" x14ac:dyDescent="0.25">
      <c r="A11">
        <v>0.88375291625563002</v>
      </c>
      <c r="B11">
        <v>-2.2651386933855999</v>
      </c>
      <c r="C11">
        <v>0.64123582356389996</v>
      </c>
      <c r="D11">
        <v>-2.5888877586720001</v>
      </c>
      <c r="E11">
        <v>-3.2551188328781002</v>
      </c>
      <c r="F11">
        <v>-1.9429523552246</v>
      </c>
      <c r="G11">
        <v>-2.5698355971216</v>
      </c>
      <c r="H11">
        <v>0.95215883689549996</v>
      </c>
      <c r="I11">
        <v>-0.92485938447420002</v>
      </c>
      <c r="J11">
        <v>-3.3568277979685299</v>
      </c>
      <c r="K11">
        <v>-0.79757959247300003</v>
      </c>
      <c r="L11">
        <v>-1.8769619297560001</v>
      </c>
      <c r="M11">
        <v>-1.5669327879299499</v>
      </c>
      <c r="N11">
        <v>-0.374148617892266</v>
      </c>
      <c r="O11">
        <v>-0.34728582322669999</v>
      </c>
    </row>
    <row r="12" spans="1:34" x14ac:dyDescent="0.25">
      <c r="A12">
        <v>0.88698918443739005</v>
      </c>
      <c r="B12">
        <v>-2.1259353217600001</v>
      </c>
      <c r="C12">
        <v>0.71844449109999997</v>
      </c>
      <c r="D12">
        <v>-2.4995921363189999</v>
      </c>
      <c r="E12">
        <v>-3.215975728354</v>
      </c>
      <c r="F12">
        <v>-1.924197936668</v>
      </c>
      <c r="G12">
        <v>-2.5165567256200001</v>
      </c>
      <c r="H12">
        <v>0.9559586886168</v>
      </c>
      <c r="I12">
        <v>-0.786129542214691</v>
      </c>
      <c r="J12">
        <v>-3.3228519931517999</v>
      </c>
      <c r="K12">
        <v>-0.77686763568219996</v>
      </c>
      <c r="L12">
        <v>-1.8483441813099999</v>
      </c>
      <c r="M12">
        <v>-1.4936365939309999</v>
      </c>
      <c r="N12">
        <v>-0.36957921159278001</v>
      </c>
      <c r="O12">
        <v>-0.32473826275000001</v>
      </c>
    </row>
    <row r="13" spans="1:34" x14ac:dyDescent="0.25">
      <c r="A13">
        <v>0.89729271171949998</v>
      </c>
      <c r="B13">
        <v>-1.9548918624678</v>
      </c>
      <c r="C13">
        <v>0.95257834942715602</v>
      </c>
      <c r="D13">
        <v>-1.6763588696828</v>
      </c>
      <c r="E13">
        <v>-2.9676614477999999</v>
      </c>
      <c r="F13">
        <v>-1.858565281</v>
      </c>
      <c r="G13">
        <v>-2.4989999814536001</v>
      </c>
      <c r="H13">
        <v>0.96979413248669999</v>
      </c>
      <c r="I13">
        <v>0.57449617928635399</v>
      </c>
      <c r="J13">
        <v>-2.9817457176220001</v>
      </c>
      <c r="K13">
        <v>-0.76521965285912996</v>
      </c>
      <c r="L13">
        <v>-1.6779358672212199</v>
      </c>
      <c r="M13">
        <v>-1.4636638165553</v>
      </c>
      <c r="N13">
        <v>-0.36251182739635501</v>
      </c>
      <c r="O13">
        <v>-0.31252897649728001</v>
      </c>
    </row>
    <row r="14" spans="1:34" x14ac:dyDescent="0.25">
      <c r="A14">
        <v>0.91545469654484002</v>
      </c>
      <c r="B14">
        <v>-1.9163977811370001</v>
      </c>
      <c r="C14">
        <v>1.1699729447750999</v>
      </c>
      <c r="D14">
        <v>-1.5527885522381</v>
      </c>
      <c r="E14">
        <v>-2.6587745611542899</v>
      </c>
      <c r="F14">
        <v>-1.81964788986792</v>
      </c>
      <c r="G14">
        <v>-2.4868239727753099</v>
      </c>
      <c r="H14">
        <v>0.97612179714258895</v>
      </c>
      <c r="I14">
        <v>0.74312421776213999</v>
      </c>
      <c r="J14">
        <v>-2.911474497141</v>
      </c>
      <c r="K14">
        <v>-0.75546462329499997</v>
      </c>
      <c r="L14">
        <v>-1.5533594245</v>
      </c>
      <c r="M14">
        <v>-1.414847199584</v>
      </c>
      <c r="N14">
        <v>-0.35567353588169998</v>
      </c>
      <c r="O14">
        <v>-0.29462871491786002</v>
      </c>
    </row>
    <row r="15" spans="1:34" x14ac:dyDescent="0.25">
      <c r="A15">
        <v>0.93769256122473699</v>
      </c>
      <c r="B15">
        <v>-1.8667268189827</v>
      </c>
      <c r="C15">
        <v>1.5762595641549999</v>
      </c>
      <c r="D15">
        <v>-1.4967734229191001</v>
      </c>
      <c r="E15">
        <v>-2.5946221247782701</v>
      </c>
      <c r="F15">
        <v>-1.8186255967984</v>
      </c>
      <c r="G15">
        <v>-2.4485277211945</v>
      </c>
      <c r="H15">
        <v>1.1149361175870001</v>
      </c>
      <c r="I15">
        <v>0.7951638111332</v>
      </c>
      <c r="J15">
        <v>-2.7116942491263001</v>
      </c>
      <c r="K15">
        <v>-0.74837499433960997</v>
      </c>
      <c r="L15">
        <v>-1.5363654657600001</v>
      </c>
      <c r="M15">
        <v>-1.351617763121</v>
      </c>
      <c r="N15">
        <v>-0.35529925817948599</v>
      </c>
      <c r="O15">
        <v>-0.28779546337667</v>
      </c>
    </row>
    <row r="16" spans="1:34" x14ac:dyDescent="0.25">
      <c r="A16">
        <v>0.95988974797509996</v>
      </c>
      <c r="B16">
        <v>-1.82242622662663</v>
      </c>
      <c r="C16">
        <v>1.7317852476237301</v>
      </c>
      <c r="D16">
        <v>-1.4367319369574301</v>
      </c>
      <c r="E16">
        <v>-2.4999934196172</v>
      </c>
      <c r="F16">
        <v>-1.615846597237</v>
      </c>
      <c r="G16">
        <v>-2.39977964314</v>
      </c>
      <c r="H16">
        <v>1.19134359247698</v>
      </c>
      <c r="I16">
        <v>0.81173144778626005</v>
      </c>
      <c r="J16">
        <v>-2.4838193292168</v>
      </c>
      <c r="K16">
        <v>-0.74749899254574104</v>
      </c>
      <c r="L16">
        <v>-1.484414693757</v>
      </c>
      <c r="M16">
        <v>-1.3299364787600001</v>
      </c>
      <c r="N16">
        <v>-0.35478541263240998</v>
      </c>
      <c r="O16">
        <v>-0.26881218367210002</v>
      </c>
    </row>
    <row r="17" spans="1:15" x14ac:dyDescent="0.25">
      <c r="A17">
        <v>0.98571967384496995</v>
      </c>
      <c r="B17">
        <v>-1.7833248515119</v>
      </c>
      <c r="C17">
        <v>1.7995295571633001</v>
      </c>
      <c r="D17">
        <v>-1.256517545895</v>
      </c>
      <c r="E17">
        <v>-2.46668289533</v>
      </c>
      <c r="F17">
        <v>-1.5794269758620001</v>
      </c>
      <c r="G17">
        <v>-2.3549821268810001</v>
      </c>
      <c r="H17">
        <v>1.2449482576171</v>
      </c>
      <c r="I17">
        <v>0.84173382419129195</v>
      </c>
      <c r="J17">
        <v>-2.3163374337759999</v>
      </c>
      <c r="K17">
        <v>-0.73373518144600003</v>
      </c>
      <c r="L17">
        <v>-1.4771265743588999</v>
      </c>
      <c r="M17">
        <v>-1.2269832399530001</v>
      </c>
      <c r="N17">
        <v>-0.34943267876718398</v>
      </c>
      <c r="O17">
        <v>-0.26795232546699999</v>
      </c>
    </row>
    <row r="18" spans="1:15" x14ac:dyDescent="0.25">
      <c r="A18">
        <v>0.98945441329240003</v>
      </c>
      <c r="B18">
        <v>-1.65425561174</v>
      </c>
      <c r="C18">
        <v>2.7988688253915002</v>
      </c>
      <c r="D18">
        <v>-0.92221998414951001</v>
      </c>
      <c r="E18">
        <v>-2.45744344484</v>
      </c>
      <c r="F18">
        <v>-1.4746593798957</v>
      </c>
      <c r="G18">
        <v>-2.3362536146730002</v>
      </c>
      <c r="H18">
        <v>1.2677221988834999</v>
      </c>
      <c r="I18">
        <v>0.92884287457600001</v>
      </c>
      <c r="J18">
        <v>-2.13465438838799</v>
      </c>
      <c r="K18">
        <v>-0.73258495471575003</v>
      </c>
      <c r="L18">
        <v>-1.4337223719145999</v>
      </c>
      <c r="M18">
        <v>-1.1799536662193999</v>
      </c>
      <c r="N18">
        <v>-0.29185177478520002</v>
      </c>
      <c r="O18">
        <v>-0.25379337643330002</v>
      </c>
    </row>
    <row r="19" spans="1:15" x14ac:dyDescent="0.25">
      <c r="A19">
        <v>0.98953625212814</v>
      </c>
      <c r="B19">
        <v>-1.6459866441767801</v>
      </c>
      <c r="C19">
        <v>2.8751325178186802</v>
      </c>
      <c r="D19">
        <v>0.87435478561289004</v>
      </c>
      <c r="E19">
        <v>-2.3726773196357001</v>
      </c>
      <c r="F19">
        <v>-1.463458388866</v>
      </c>
      <c r="G19">
        <v>-2.2298522669510001</v>
      </c>
      <c r="H19">
        <v>1.2737327813699999</v>
      </c>
      <c r="I19">
        <v>0.94768859836872998</v>
      </c>
      <c r="J19">
        <v>-1.8971682697447001</v>
      </c>
      <c r="K19">
        <v>-0.69625738153490002</v>
      </c>
      <c r="L19">
        <v>-1.415321873396</v>
      </c>
      <c r="M19">
        <v>-1.1584397252758001</v>
      </c>
      <c r="N19">
        <v>-0.286863991691236</v>
      </c>
      <c r="O19">
        <v>-0.2491191428816</v>
      </c>
    </row>
    <row r="20" spans="1:15" x14ac:dyDescent="0.25">
      <c r="A20">
        <v>1.1169286912</v>
      </c>
      <c r="B20">
        <v>-1.6117173768699999</v>
      </c>
      <c r="C20">
        <v>2.893245744393</v>
      </c>
      <c r="D20">
        <v>0.97147471897589999</v>
      </c>
      <c r="E20">
        <v>-2.3542734255933002</v>
      </c>
      <c r="F20">
        <v>-1.2949722151555001</v>
      </c>
      <c r="G20">
        <v>-2.1814224288676298</v>
      </c>
      <c r="H20">
        <v>1.3213733317</v>
      </c>
      <c r="I20">
        <v>0.96974393819122995</v>
      </c>
      <c r="J20">
        <v>-1.8875895212995999</v>
      </c>
      <c r="K20">
        <v>-0.581761555568861</v>
      </c>
      <c r="L20">
        <v>-1.3718464661737</v>
      </c>
      <c r="M20">
        <v>-0.99118982673287404</v>
      </c>
      <c r="N20">
        <v>-0.28584318984200002</v>
      </c>
      <c r="O20">
        <v>-0.24813344676963101</v>
      </c>
    </row>
    <row r="21" spans="1:15" x14ac:dyDescent="0.25">
      <c r="A21">
        <v>1.1196796241689999</v>
      </c>
      <c r="B21">
        <v>-1.4892148595936301</v>
      </c>
      <c r="C21">
        <v>2.9191883817918001</v>
      </c>
      <c r="D21">
        <v>0.99937274799839804</v>
      </c>
      <c r="E21">
        <v>-2.2423755518866</v>
      </c>
      <c r="F21">
        <v>-1.265583431</v>
      </c>
      <c r="G21">
        <v>-2.1494472980000001</v>
      </c>
      <c r="H21">
        <v>1.3429726275456799</v>
      </c>
      <c r="I21">
        <v>0.99866173115430001</v>
      </c>
      <c r="J21">
        <v>-1.8716523712099999</v>
      </c>
      <c r="K21">
        <v>-0.45696269493528002</v>
      </c>
      <c r="L21">
        <v>-1.3582712475765</v>
      </c>
      <c r="M21">
        <v>-0.97483699674449997</v>
      </c>
      <c r="N21">
        <v>-0.27964346541637403</v>
      </c>
      <c r="O21">
        <v>-0.23574742461133999</v>
      </c>
    </row>
    <row r="22" spans="1:15" x14ac:dyDescent="0.25">
      <c r="A22">
        <v>1.1572844529360999</v>
      </c>
      <c r="B22">
        <v>-1.3947119462253501</v>
      </c>
      <c r="C22">
        <v>2.9688615739999999</v>
      </c>
      <c r="D22">
        <v>1.1117872621937099</v>
      </c>
      <c r="E22">
        <v>-2.227429218553</v>
      </c>
      <c r="F22">
        <v>-1.2455286124193601</v>
      </c>
      <c r="G22">
        <v>-2.1252218283772999</v>
      </c>
      <c r="H22">
        <v>1.41536459545</v>
      </c>
      <c r="I22">
        <v>1.1165781537237001</v>
      </c>
      <c r="J22">
        <v>-1.8393646133315</v>
      </c>
      <c r="K22">
        <v>-0.45129669157730001</v>
      </c>
      <c r="L22">
        <v>-1.3424227464109999</v>
      </c>
      <c r="M22">
        <v>-0.87726487244932005</v>
      </c>
      <c r="N22">
        <v>-0.25734526517</v>
      </c>
      <c r="O22">
        <v>-0.22812127442251001</v>
      </c>
    </row>
    <row r="23" spans="1:15" x14ac:dyDescent="0.25">
      <c r="A23">
        <v>1.1691351594238999</v>
      </c>
      <c r="B23">
        <v>-1.156694326282</v>
      </c>
      <c r="C23">
        <v>3.3493638764473999</v>
      </c>
      <c r="D23">
        <v>1.116195872132</v>
      </c>
      <c r="E23">
        <v>-2.2191618855721802</v>
      </c>
      <c r="F23">
        <v>-1.1628957364935999</v>
      </c>
      <c r="G23">
        <v>-1.9928176478724999</v>
      </c>
      <c r="H23">
        <v>1.4817166238199999</v>
      </c>
      <c r="I23">
        <v>1.1452522999270001</v>
      </c>
      <c r="J23">
        <v>-1.712989925397</v>
      </c>
      <c r="K23">
        <v>-0.44532982887</v>
      </c>
      <c r="L23">
        <v>-1.3239949488799501</v>
      </c>
      <c r="M23">
        <v>-0.83317327495335802</v>
      </c>
      <c r="O23">
        <v>-0.21854313999543001</v>
      </c>
    </row>
    <row r="24" spans="1:15" x14ac:dyDescent="0.25">
      <c r="A24">
        <v>1.1813747745865999</v>
      </c>
      <c r="B24">
        <v>-0.93414647445689603</v>
      </c>
      <c r="C24">
        <v>3.387996896867</v>
      </c>
      <c r="D24">
        <v>1.247358971823</v>
      </c>
      <c r="E24">
        <v>-2.1955847564244499</v>
      </c>
      <c r="F24">
        <v>-1.1355944973600001</v>
      </c>
      <c r="G24">
        <v>-1.9467452957335001</v>
      </c>
      <c r="H24">
        <v>1.494951838749</v>
      </c>
      <c r="I24">
        <v>1.149774859311</v>
      </c>
      <c r="J24">
        <v>-1.6459143377111001</v>
      </c>
      <c r="K24">
        <v>-0.41123227163384002</v>
      </c>
      <c r="L24">
        <v>-1.3117685464685001</v>
      </c>
      <c r="M24">
        <v>-0.64313496189554997</v>
      </c>
      <c r="O24">
        <v>-0.21846798966950001</v>
      </c>
    </row>
    <row r="25" spans="1:15" x14ac:dyDescent="0.25">
      <c r="A25">
        <v>1.1873294743514999</v>
      </c>
      <c r="B25">
        <v>-0.89482236357260003</v>
      </c>
      <c r="C25">
        <v>3.4279246744935898</v>
      </c>
      <c r="D25">
        <v>1.25232222165927</v>
      </c>
      <c r="E25">
        <v>-2.1822814428999999</v>
      </c>
      <c r="F25">
        <v>-1.1215459547313</v>
      </c>
      <c r="G25">
        <v>-1.9319494418447001</v>
      </c>
      <c r="H25">
        <v>1.5414428278186001</v>
      </c>
      <c r="I25">
        <v>1.1549912961616</v>
      </c>
      <c r="J25">
        <v>-1.568797515617</v>
      </c>
      <c r="K25">
        <v>-0.364159341926587</v>
      </c>
      <c r="L25">
        <v>-1.2423158496366</v>
      </c>
      <c r="M25">
        <v>-0.57595154279399996</v>
      </c>
      <c r="O25">
        <v>-0.21832137987771</v>
      </c>
    </row>
    <row r="26" spans="1:15" x14ac:dyDescent="0.25">
      <c r="A26">
        <v>1.26244447316</v>
      </c>
      <c r="B26">
        <v>-0.86743559665369996</v>
      </c>
      <c r="C26">
        <v>3.4889724258981998</v>
      </c>
      <c r="D26">
        <v>1.26592419563</v>
      </c>
      <c r="E26">
        <v>-2.1552236729900001</v>
      </c>
      <c r="F26">
        <v>-1.1192625199120001</v>
      </c>
      <c r="G26">
        <v>-1.8999332989254001</v>
      </c>
      <c r="H26">
        <v>1.5985629581</v>
      </c>
      <c r="I26">
        <v>1.2436792416272</v>
      </c>
      <c r="J26">
        <v>-1.41638942495</v>
      </c>
      <c r="K26">
        <v>-0.36162716268997003</v>
      </c>
      <c r="L26">
        <v>-0.96931782819000001</v>
      </c>
      <c r="M26">
        <v>-0.5417426796482</v>
      </c>
      <c r="O26">
        <v>-0.21827759727500001</v>
      </c>
    </row>
    <row r="27" spans="1:15" x14ac:dyDescent="0.25">
      <c r="A27">
        <v>1.2918622513733</v>
      </c>
      <c r="B27">
        <v>-0.68778627951628002</v>
      </c>
      <c r="C27">
        <v>3.5279174242359002</v>
      </c>
      <c r="D27">
        <v>1.4339746679383001</v>
      </c>
      <c r="E27">
        <v>-2.1539581733519499</v>
      </c>
      <c r="F27">
        <v>-0.94979942931811201</v>
      </c>
      <c r="G27">
        <v>-1.8411241829767</v>
      </c>
      <c r="H27">
        <v>3.3653529149699999</v>
      </c>
      <c r="I27">
        <v>1.3221675152000001</v>
      </c>
      <c r="J27">
        <v>-1.2322861872919999</v>
      </c>
      <c r="K27">
        <v>-0.32669999560000001</v>
      </c>
      <c r="L27">
        <v>-0.91237695232500005</v>
      </c>
      <c r="M27">
        <v>-0.51455273742498997</v>
      </c>
      <c r="O27">
        <v>-0.2136545692945</v>
      </c>
    </row>
    <row r="28" spans="1:15" x14ac:dyDescent="0.25">
      <c r="A28">
        <v>1.3371484794199999</v>
      </c>
      <c r="B28">
        <v>0.39278356726217101</v>
      </c>
      <c r="C28">
        <v>3.5752612515775999</v>
      </c>
      <c r="D28">
        <v>1.4676175818531001</v>
      </c>
      <c r="E28">
        <v>-2.1354378595657302</v>
      </c>
      <c r="F28">
        <v>-0.87895822397650003</v>
      </c>
      <c r="G28">
        <v>-1.8277274792989999</v>
      </c>
      <c r="H28">
        <v>3.5234194469000002</v>
      </c>
      <c r="I28">
        <v>1.4162563651527</v>
      </c>
      <c r="J28">
        <v>-0.98274913449828005</v>
      </c>
      <c r="K28">
        <v>-0.31123256333926003</v>
      </c>
      <c r="L28">
        <v>-0.61923796255568997</v>
      </c>
      <c r="M28">
        <v>-0.46633294624799998</v>
      </c>
    </row>
    <row r="29" spans="1:15" x14ac:dyDescent="0.25">
      <c r="A29">
        <v>1.3757577512279999</v>
      </c>
      <c r="B29">
        <v>0.43272183158172001</v>
      </c>
      <c r="C29">
        <v>3.6373825586639001</v>
      </c>
      <c r="D29">
        <v>1.6161741254099999</v>
      </c>
      <c r="E29">
        <v>-2.1338641839800001</v>
      </c>
      <c r="F29">
        <v>-0.46997538912631998</v>
      </c>
      <c r="G29">
        <v>-1.7925614148492</v>
      </c>
      <c r="H29">
        <v>3.7497859274626002</v>
      </c>
      <c r="I29">
        <v>1.8412312198</v>
      </c>
      <c r="J29">
        <v>-0.87713752912515996</v>
      </c>
      <c r="K29">
        <v>-0.24752691265099999</v>
      </c>
      <c r="L29">
        <v>-0.55352382421123003</v>
      </c>
    </row>
    <row r="30" spans="1:15" x14ac:dyDescent="0.25">
      <c r="A30">
        <v>1.38953911489944</v>
      </c>
      <c r="B30">
        <v>0.45126854917551501</v>
      </c>
      <c r="C30">
        <v>3.8414325355274999</v>
      </c>
      <c r="D30">
        <v>1.6591499549223501</v>
      </c>
      <c r="E30">
        <v>-1.99822951499474</v>
      </c>
      <c r="F30">
        <v>0.92262824370999996</v>
      </c>
      <c r="G30">
        <v>-1.79132779947513</v>
      </c>
      <c r="H30">
        <v>4.2131795652499999</v>
      </c>
      <c r="I30">
        <v>1.8617932829599999</v>
      </c>
      <c r="J30">
        <v>-0.75233834558989998</v>
      </c>
      <c r="L30">
        <v>-0.52558971181900005</v>
      </c>
    </row>
    <row r="31" spans="1:15" x14ac:dyDescent="0.25">
      <c r="A31">
        <v>1.4392528358900001</v>
      </c>
      <c r="B31">
        <v>0.49367699657190001</v>
      </c>
      <c r="C31">
        <v>3.9179667776499998</v>
      </c>
      <c r="D31">
        <v>1.6699538764888999</v>
      </c>
      <c r="E31">
        <v>-1.987968494397</v>
      </c>
      <c r="F31">
        <v>0.96444887351999997</v>
      </c>
      <c r="G31">
        <v>-1.7464662759709999</v>
      </c>
      <c r="H31">
        <v>4.5361586548219996</v>
      </c>
      <c r="I31">
        <v>1.9624128926</v>
      </c>
      <c r="J31">
        <v>-0.74564678412350005</v>
      </c>
      <c r="L31">
        <v>-0.48165217615951</v>
      </c>
    </row>
    <row r="32" spans="1:15" x14ac:dyDescent="0.25">
      <c r="A32">
        <v>1.4446295613158999</v>
      </c>
      <c r="B32">
        <v>0.76649361341592603</v>
      </c>
      <c r="C32">
        <v>4.6858643716822996</v>
      </c>
      <c r="D32">
        <v>1.8637292462999999</v>
      </c>
      <c r="E32">
        <v>-1.9312549263992</v>
      </c>
      <c r="F32">
        <v>1.2393379841837</v>
      </c>
      <c r="G32">
        <v>-1.7176338763915999</v>
      </c>
      <c r="H32">
        <v>5.3779634491510997</v>
      </c>
      <c r="J32">
        <v>-0.68184134347499004</v>
      </c>
      <c r="L32">
        <v>-0.41788567733185</v>
      </c>
    </row>
    <row r="33" spans="1:12" x14ac:dyDescent="0.25">
      <c r="A33">
        <v>1.4481416747923199</v>
      </c>
      <c r="B33">
        <v>0.76734677898699999</v>
      </c>
      <c r="C33">
        <v>5.4255438892800001</v>
      </c>
      <c r="D33">
        <v>1.9128839258966699</v>
      </c>
      <c r="E33">
        <v>-1.8731832575268801</v>
      </c>
      <c r="F33">
        <v>1.263567672225</v>
      </c>
      <c r="G33">
        <v>-1.6883851739419999</v>
      </c>
      <c r="H33">
        <v>7.3893931669528197</v>
      </c>
      <c r="J33">
        <v>1.4578387333</v>
      </c>
      <c r="L33">
        <v>0.68219792658816003</v>
      </c>
    </row>
    <row r="34" spans="1:12" x14ac:dyDescent="0.25">
      <c r="A34">
        <v>1.4875136816744501</v>
      </c>
      <c r="B34">
        <v>0.812785437986</v>
      </c>
      <c r="C34">
        <v>5.6434424385929001</v>
      </c>
      <c r="D34">
        <v>1.9877779872579999</v>
      </c>
      <c r="E34">
        <v>-1.8566484892570001</v>
      </c>
      <c r="F34">
        <v>1.2862247683710999</v>
      </c>
      <c r="G34">
        <v>-1.5141116595463</v>
      </c>
      <c r="J34">
        <v>2.1329156438860002</v>
      </c>
    </row>
    <row r="35" spans="1:12" x14ac:dyDescent="0.25">
      <c r="A35">
        <v>1.5788448944263</v>
      </c>
      <c r="B35">
        <v>0.81986748351509997</v>
      </c>
      <c r="C35">
        <v>5.6824372837499997</v>
      </c>
      <c r="D35">
        <v>2.1158664325268002</v>
      </c>
      <c r="E35">
        <v>-1.69523172732714</v>
      </c>
      <c r="F35">
        <v>1.3432239325369999</v>
      </c>
      <c r="G35">
        <v>-1.49491194132</v>
      </c>
      <c r="J35">
        <v>2.6639245976515999</v>
      </c>
    </row>
    <row r="36" spans="1:12" x14ac:dyDescent="0.25">
      <c r="A36">
        <v>1.6451839640000001</v>
      </c>
      <c r="B36">
        <v>0.82511729633278996</v>
      </c>
      <c r="C36">
        <v>5.7147845651797002</v>
      </c>
      <c r="D36">
        <v>2.1275413147319</v>
      </c>
      <c r="E36">
        <v>-1.6636723517873</v>
      </c>
      <c r="F36">
        <v>1.4716374942611701</v>
      </c>
      <c r="G36">
        <v>-1.395662846447</v>
      </c>
      <c r="J36">
        <v>2.7151484834291</v>
      </c>
    </row>
    <row r="37" spans="1:12" x14ac:dyDescent="0.25">
      <c r="A37">
        <v>1.6731581287737001</v>
      </c>
      <c r="B37">
        <v>0.85423822223182</v>
      </c>
      <c r="C37">
        <v>5.9824461697681004</v>
      </c>
      <c r="D37">
        <v>2.12952325867517</v>
      </c>
      <c r="E37">
        <v>-1.6571188137499999</v>
      </c>
      <c r="F37">
        <v>1.49248596343759</v>
      </c>
      <c r="G37">
        <v>-1.29824865743285</v>
      </c>
    </row>
    <row r="38" spans="1:12" x14ac:dyDescent="0.25">
      <c r="A38">
        <v>1.7353491312223801</v>
      </c>
      <c r="B38">
        <v>0.86876845738674402</v>
      </c>
      <c r="C38">
        <v>6.1827581582261004</v>
      </c>
      <c r="D38">
        <v>2.1529148274100001</v>
      </c>
      <c r="E38">
        <v>-1.6443126528567</v>
      </c>
      <c r="F38">
        <v>1.5642955175964599</v>
      </c>
      <c r="G38">
        <v>-0.99662284187000005</v>
      </c>
    </row>
    <row r="39" spans="1:12" x14ac:dyDescent="0.25">
      <c r="A39">
        <v>1.7664522486359999</v>
      </c>
      <c r="B39">
        <v>0.97753148467456996</v>
      </c>
      <c r="C39">
        <v>6.2874874367196201</v>
      </c>
      <c r="D39">
        <v>2.1646692761261201</v>
      </c>
      <c r="E39">
        <v>-1.6196578564299999</v>
      </c>
      <c r="F39">
        <v>1.58625536569</v>
      </c>
      <c r="G39">
        <v>-0.99346747281119996</v>
      </c>
    </row>
    <row r="40" spans="1:12" x14ac:dyDescent="0.25">
      <c r="A40">
        <v>1.87872776161</v>
      </c>
      <c r="B40">
        <v>1.78216169416</v>
      </c>
      <c r="C40">
        <v>6.7196225843972002</v>
      </c>
      <c r="D40">
        <v>3.7763895276919999</v>
      </c>
      <c r="E40">
        <v>-1.61729642585522</v>
      </c>
      <c r="F40">
        <v>1.67939166966</v>
      </c>
      <c r="G40">
        <v>-0.95869265714392005</v>
      </c>
    </row>
    <row r="41" spans="1:12" x14ac:dyDescent="0.25">
      <c r="A41">
        <v>1.896836149679</v>
      </c>
      <c r="B41">
        <v>2.2157167264989002</v>
      </c>
      <c r="D41">
        <v>5.1253951469858103</v>
      </c>
      <c r="F41">
        <v>1.681253762946</v>
      </c>
      <c r="G41">
        <v>-0.92241165914376</v>
      </c>
    </row>
    <row r="42" spans="1:12" x14ac:dyDescent="0.25">
      <c r="A42">
        <v>1.9256399371499899</v>
      </c>
      <c r="B42">
        <v>2.33628183178</v>
      </c>
      <c r="F42">
        <v>1.6844829259572001</v>
      </c>
      <c r="G42">
        <v>-0.85641933965999995</v>
      </c>
    </row>
    <row r="43" spans="1:12" x14ac:dyDescent="0.25">
      <c r="A43">
        <v>1.9323212516746</v>
      </c>
      <c r="B43">
        <v>2.3818935526895002</v>
      </c>
      <c r="F43">
        <v>1.834699127783</v>
      </c>
      <c r="G43">
        <v>-0.8469353182146</v>
      </c>
    </row>
    <row r="44" spans="1:12" x14ac:dyDescent="0.25">
      <c r="A44">
        <v>1.97585948157127</v>
      </c>
      <c r="B44">
        <v>2.3894521958527002</v>
      </c>
      <c r="F44">
        <v>2.1836349988379999</v>
      </c>
      <c r="G44">
        <v>-0.776335199413277</v>
      </c>
    </row>
    <row r="45" spans="1:12" x14ac:dyDescent="0.25">
      <c r="A45">
        <v>1.986767724815</v>
      </c>
      <c r="B45">
        <v>2.49838345541461</v>
      </c>
      <c r="F45">
        <v>2.2549552458950002</v>
      </c>
      <c r="G45">
        <v>0.67448176685824002</v>
      </c>
    </row>
    <row r="46" spans="1:12" x14ac:dyDescent="0.25">
      <c r="A46">
        <v>2.1345456529218501</v>
      </c>
      <c r="B46">
        <v>2.5777373734875701</v>
      </c>
      <c r="F46">
        <v>2.3381491315343399</v>
      </c>
      <c r="G46">
        <v>0.67853873149180999</v>
      </c>
    </row>
    <row r="47" spans="1:12" x14ac:dyDescent="0.25">
      <c r="A47">
        <v>2.1947323138188</v>
      </c>
      <c r="B47">
        <v>2.6637124176745002</v>
      </c>
      <c r="F47">
        <v>2.3554427975336001</v>
      </c>
      <c r="G47">
        <v>0.69742618842290005</v>
      </c>
    </row>
    <row r="48" spans="1:12" x14ac:dyDescent="0.25">
      <c r="A48">
        <v>2.2166875995300002</v>
      </c>
      <c r="B48">
        <v>3.9266615323799998</v>
      </c>
      <c r="F48">
        <v>2.3757318871120998</v>
      </c>
      <c r="G48">
        <v>0.72869673414142999</v>
      </c>
    </row>
    <row r="49" spans="1:7" x14ac:dyDescent="0.25">
      <c r="A49">
        <v>2.23564524834</v>
      </c>
      <c r="B49">
        <v>4.5836789659881001</v>
      </c>
      <c r="F49">
        <v>2.5822718427162901</v>
      </c>
      <c r="G49">
        <v>0.83723372929286</v>
      </c>
    </row>
    <row r="50" spans="1:7" x14ac:dyDescent="0.25">
      <c r="A50">
        <v>2.23751839919447</v>
      </c>
      <c r="B50">
        <v>4.9383182115770001</v>
      </c>
      <c r="F50">
        <v>2.8572444372630001</v>
      </c>
    </row>
    <row r="51" spans="1:7" x14ac:dyDescent="0.25">
      <c r="A51">
        <v>2.2522174881370001</v>
      </c>
      <c r="B51">
        <v>5.9597465984192999</v>
      </c>
      <c r="F51">
        <v>2.8837944375646001</v>
      </c>
    </row>
    <row r="52" spans="1:7" x14ac:dyDescent="0.25">
      <c r="A52">
        <v>2.257296543881</v>
      </c>
    </row>
    <row r="53" spans="1:7" x14ac:dyDescent="0.25">
      <c r="A53">
        <v>2.2714717959840001</v>
      </c>
    </row>
    <row r="54" spans="1:7" x14ac:dyDescent="0.25">
      <c r="A54">
        <v>2.2927592666724999</v>
      </c>
    </row>
    <row r="55" spans="1:7" x14ac:dyDescent="0.25">
      <c r="A55">
        <v>2.3457633255700001</v>
      </c>
    </row>
    <row r="56" spans="1:7" x14ac:dyDescent="0.25">
      <c r="A56">
        <v>2.3668584939521802</v>
      </c>
    </row>
    <row r="57" spans="1:7" x14ac:dyDescent="0.25">
      <c r="A57">
        <v>2.3893989535600002</v>
      </c>
    </row>
    <row r="58" spans="1:7" x14ac:dyDescent="0.25">
      <c r="A58">
        <v>2.3978922289</v>
      </c>
    </row>
    <row r="59" spans="1:7" x14ac:dyDescent="0.25">
      <c r="A59">
        <v>2.4278346584260002</v>
      </c>
    </row>
    <row r="60" spans="1:7" x14ac:dyDescent="0.25">
      <c r="A60">
        <v>2.44889915789989</v>
      </c>
    </row>
    <row r="61" spans="1:7" x14ac:dyDescent="0.25">
      <c r="A61">
        <v>2.5643121299999998</v>
      </c>
    </row>
    <row r="62" spans="1:7" x14ac:dyDescent="0.25">
      <c r="A62">
        <v>2.5828293638547</v>
      </c>
    </row>
    <row r="63" spans="1:7" x14ac:dyDescent="0.25">
      <c r="A63">
        <v>2.6453285838234</v>
      </c>
    </row>
    <row r="64" spans="1:7" x14ac:dyDescent="0.25">
      <c r="A64">
        <v>2.6789841251770001</v>
      </c>
    </row>
    <row r="65" spans="1:1" x14ac:dyDescent="0.25">
      <c r="A65">
        <v>2.6949433853835298</v>
      </c>
    </row>
    <row r="66" spans="1:1" x14ac:dyDescent="0.25">
      <c r="A66">
        <v>2.7337983936366999</v>
      </c>
    </row>
    <row r="67" spans="1:1" x14ac:dyDescent="0.25">
      <c r="A67">
        <v>2.7464724466549</v>
      </c>
    </row>
    <row r="68" spans="1:1" x14ac:dyDescent="0.25">
      <c r="A68">
        <v>2.8134479810999999</v>
      </c>
    </row>
    <row r="69" spans="1:1" x14ac:dyDescent="0.25">
      <c r="A69">
        <v>2.8189833498263002</v>
      </c>
    </row>
    <row r="70" spans="1:1" x14ac:dyDescent="0.25">
      <c r="A70">
        <v>2.8448887819220001</v>
      </c>
    </row>
    <row r="71" spans="1:1" x14ac:dyDescent="0.25">
      <c r="A71">
        <v>2.9682975739890001</v>
      </c>
    </row>
    <row r="72" spans="1:1" x14ac:dyDescent="0.25">
      <c r="A72">
        <v>2.9777554189500002</v>
      </c>
    </row>
    <row r="73" spans="1:1" x14ac:dyDescent="0.25">
      <c r="A73">
        <v>3.2164891738731902</v>
      </c>
    </row>
    <row r="74" spans="1:1" x14ac:dyDescent="0.25">
      <c r="A74">
        <v>3.2539361555382</v>
      </c>
    </row>
    <row r="75" spans="1:1" x14ac:dyDescent="0.25">
      <c r="A75">
        <v>3.3152389987520001</v>
      </c>
    </row>
    <row r="76" spans="1:1" x14ac:dyDescent="0.25">
      <c r="A76">
        <v>3.3456141982780001</v>
      </c>
    </row>
    <row r="77" spans="1:1" x14ac:dyDescent="0.25">
      <c r="A77">
        <v>3.566264529373</v>
      </c>
    </row>
    <row r="78" spans="1:1" x14ac:dyDescent="0.25">
      <c r="A78">
        <v>3.5741423138939998</v>
      </c>
    </row>
    <row r="79" spans="1:1" x14ac:dyDescent="0.25">
      <c r="A79">
        <v>3.6279776996290001</v>
      </c>
    </row>
    <row r="80" spans="1:1" x14ac:dyDescent="0.25">
      <c r="A80">
        <v>3.9885518818799999</v>
      </c>
    </row>
    <row r="81" spans="1:1" x14ac:dyDescent="0.25">
      <c r="A81">
        <v>4.2234496529719001</v>
      </c>
    </row>
    <row r="82" spans="1:1" x14ac:dyDescent="0.25">
      <c r="A82">
        <v>4.5355334856287</v>
      </c>
    </row>
    <row r="83" spans="1:1" x14ac:dyDescent="0.25">
      <c r="A83">
        <v>4.5888591971970003</v>
      </c>
    </row>
    <row r="84" spans="1:1" x14ac:dyDescent="0.25">
      <c r="A84">
        <v>4.7566285654492004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65"/>
  <sheetViews>
    <sheetView topLeftCell="F1" zoomScaleNormal="100" workbookViewId="0">
      <selection activeCell="O94" sqref="A2:O94"/>
    </sheetView>
  </sheetViews>
  <sheetFormatPr defaultRowHeight="15" x14ac:dyDescent="0.25"/>
  <sheetData>
    <row r="1" spans="1:34" x14ac:dyDescent="0.25">
      <c r="A1" t="s">
        <v>559</v>
      </c>
      <c r="B1" t="s">
        <v>560</v>
      </c>
      <c r="C1" t="s">
        <v>561</v>
      </c>
      <c r="D1" t="s">
        <v>562</v>
      </c>
      <c r="E1" t="s">
        <v>563</v>
      </c>
      <c r="F1" t="s">
        <v>564</v>
      </c>
      <c r="G1" t="s">
        <v>565</v>
      </c>
      <c r="H1" t="s">
        <v>566</v>
      </c>
      <c r="I1" t="s">
        <v>567</v>
      </c>
      <c r="J1" t="s">
        <v>568</v>
      </c>
      <c r="K1" t="s">
        <v>569</v>
      </c>
      <c r="L1" t="s">
        <v>570</v>
      </c>
      <c r="M1" t="s">
        <v>571</v>
      </c>
      <c r="N1" t="s">
        <v>572</v>
      </c>
      <c r="O1" t="s">
        <v>573</v>
      </c>
      <c r="P1" s="14"/>
      <c r="T1" t="s">
        <v>559</v>
      </c>
      <c r="U1" t="s">
        <v>560</v>
      </c>
      <c r="V1" t="s">
        <v>561</v>
      </c>
      <c r="W1" t="s">
        <v>562</v>
      </c>
      <c r="X1" t="s">
        <v>563</v>
      </c>
      <c r="Y1" t="s">
        <v>564</v>
      </c>
      <c r="Z1" t="s">
        <v>565</v>
      </c>
      <c r="AA1" t="s">
        <v>566</v>
      </c>
      <c r="AB1" t="s">
        <v>567</v>
      </c>
      <c r="AC1" t="s">
        <v>568</v>
      </c>
      <c r="AD1" t="s">
        <v>569</v>
      </c>
      <c r="AE1" t="s">
        <v>570</v>
      </c>
      <c r="AF1" t="s">
        <v>571</v>
      </c>
      <c r="AG1" t="s">
        <v>572</v>
      </c>
      <c r="AH1" t="s">
        <v>573</v>
      </c>
    </row>
    <row r="2" spans="1:34" x14ac:dyDescent="0.25">
      <c r="A2">
        <v>2.23751839919447</v>
      </c>
      <c r="B2">
        <v>1.97585948157127</v>
      </c>
      <c r="C2">
        <v>2.23751839919447</v>
      </c>
      <c r="D2">
        <v>2.29275926667205</v>
      </c>
      <c r="E2">
        <v>2.23751839919447</v>
      </c>
      <c r="F2">
        <v>2.23751839919447</v>
      </c>
      <c r="G2">
        <v>2.23751839919447</v>
      </c>
      <c r="H2">
        <v>1.1572844529360999</v>
      </c>
      <c r="I2">
        <v>0.89072927117190503</v>
      </c>
      <c r="J2">
        <v>2.29275926667205</v>
      </c>
      <c r="K2">
        <v>2.23751839919447</v>
      </c>
      <c r="L2">
        <v>2.23751839919447</v>
      </c>
      <c r="M2">
        <v>0.89072927117190503</v>
      </c>
      <c r="N2">
        <v>1.1572844529360999</v>
      </c>
      <c r="O2">
        <v>2.23751839919447</v>
      </c>
      <c r="P2" s="14"/>
      <c r="T2">
        <v>0.76649361341592603</v>
      </c>
      <c r="U2">
        <v>-2.05820086708089</v>
      </c>
      <c r="V2">
        <v>-2.05820086708089</v>
      </c>
      <c r="W2">
        <v>-2.05820086708089</v>
      </c>
      <c r="X2">
        <v>-2.5826898752123801</v>
      </c>
      <c r="Y2">
        <v>0.76649361341592603</v>
      </c>
      <c r="Z2">
        <v>-1.60110701737687</v>
      </c>
      <c r="AA2">
        <v>-2.05820086708089</v>
      </c>
      <c r="AB2">
        <v>-2.05820086708089</v>
      </c>
      <c r="AC2">
        <v>-2.0142065437827101</v>
      </c>
      <c r="AD2">
        <v>0.76649361341592603</v>
      </c>
      <c r="AE2">
        <v>-2.5826898752123801</v>
      </c>
      <c r="AF2">
        <v>-2.05820086708089</v>
      </c>
      <c r="AG2">
        <v>-2.5826898752123801</v>
      </c>
      <c r="AH2">
        <v>0.85423822223108203</v>
      </c>
    </row>
    <row r="3" spans="1:34" x14ac:dyDescent="0.25">
      <c r="A3">
        <v>2.29275926667205</v>
      </c>
      <c r="B3">
        <v>2.0427834658426001</v>
      </c>
      <c r="C3">
        <v>0.89072927117190503</v>
      </c>
      <c r="D3">
        <v>0.89072927117190503</v>
      </c>
      <c r="E3">
        <v>2.29275926667205</v>
      </c>
      <c r="F3">
        <v>1.97585948157127</v>
      </c>
      <c r="G3">
        <v>2.29275926667205</v>
      </c>
      <c r="H3">
        <v>1.1813747745860601</v>
      </c>
      <c r="I3">
        <v>4.5888591971097004</v>
      </c>
      <c r="J3">
        <v>0.89072927117190503</v>
      </c>
      <c r="K3">
        <v>1.97585948157127</v>
      </c>
      <c r="L3">
        <v>2.29275926667205</v>
      </c>
      <c r="M3">
        <v>1.97585948157127</v>
      </c>
      <c r="N3">
        <v>1.97585948157127</v>
      </c>
      <c r="O3">
        <v>2.29275926667205</v>
      </c>
      <c r="P3" s="14"/>
      <c r="T3">
        <v>2.49838345541461</v>
      </c>
      <c r="U3">
        <v>-2.5826898752123801</v>
      </c>
      <c r="V3">
        <v>-2.5826898752123801</v>
      </c>
      <c r="W3">
        <v>-2.5826898752123801</v>
      </c>
      <c r="X3">
        <v>0.76649361341592603</v>
      </c>
      <c r="Y3">
        <v>-1.92461228809031</v>
      </c>
      <c r="Z3">
        <v>-0.93414647445689603</v>
      </c>
      <c r="AA3">
        <v>-1.97047197845996</v>
      </c>
      <c r="AB3">
        <v>-2.5826898752123801</v>
      </c>
      <c r="AC3">
        <v>3.9020666153237999</v>
      </c>
      <c r="AD3">
        <v>2.49838345541461</v>
      </c>
      <c r="AE3">
        <v>-0.93414647445689603</v>
      </c>
      <c r="AF3">
        <v>0.76649361341592603</v>
      </c>
      <c r="AG3">
        <v>0.76649361341592603</v>
      </c>
      <c r="AH3">
        <v>-1.00654255611704</v>
      </c>
    </row>
    <row r="4" spans="1:34" x14ac:dyDescent="0.25">
      <c r="A4" s="14">
        <v>0.89072927117190503</v>
      </c>
      <c r="B4">
        <v>2.5820829363854698</v>
      </c>
      <c r="C4">
        <v>1.1572844529360999</v>
      </c>
      <c r="D4">
        <v>1.1572844529360999</v>
      </c>
      <c r="E4">
        <v>1.97585948157127</v>
      </c>
      <c r="F4">
        <v>1.1813747745860601</v>
      </c>
      <c r="G4">
        <v>2.0977750541089502</v>
      </c>
      <c r="H4">
        <v>0.93769256122473699</v>
      </c>
      <c r="I4">
        <v>3.3150203899875201</v>
      </c>
      <c r="J4">
        <v>1.1572844529360999</v>
      </c>
      <c r="K4">
        <v>2.0427834658426001</v>
      </c>
      <c r="L4">
        <v>1.1572844529360999</v>
      </c>
      <c r="M4">
        <v>2.0977750541089502</v>
      </c>
      <c r="N4">
        <v>2.5820829363854698</v>
      </c>
      <c r="O4">
        <v>2.0977750541089502</v>
      </c>
      <c r="P4" s="14"/>
      <c r="T4">
        <v>3.9020666153237999</v>
      </c>
      <c r="U4">
        <v>0.76649361341592603</v>
      </c>
      <c r="V4">
        <v>2.49838345541461</v>
      </c>
      <c r="W4">
        <v>2.49838345541461</v>
      </c>
      <c r="X4">
        <v>2.49838345541461</v>
      </c>
      <c r="Y4">
        <v>-1.60110701737687</v>
      </c>
      <c r="Z4">
        <v>-1.82242622662663</v>
      </c>
      <c r="AA4">
        <v>-2.0142065437827101</v>
      </c>
      <c r="AB4">
        <v>-1.97047197845996</v>
      </c>
      <c r="AC4">
        <v>-2.0365222459190599</v>
      </c>
      <c r="AD4">
        <v>-2.0142065437827101</v>
      </c>
      <c r="AE4">
        <v>-2.6043127192123801</v>
      </c>
      <c r="AF4">
        <v>-1.97047197845996</v>
      </c>
      <c r="AG4">
        <v>-1.97047197845996</v>
      </c>
      <c r="AH4">
        <v>-0.68778627951620797</v>
      </c>
    </row>
    <row r="5" spans="1:34" x14ac:dyDescent="0.25">
      <c r="A5">
        <v>1.1572844529360999</v>
      </c>
      <c r="B5">
        <v>2.0257029654388101</v>
      </c>
      <c r="C5">
        <v>2.0427834658426001</v>
      </c>
      <c r="D5">
        <v>2.0427834658426001</v>
      </c>
      <c r="E5">
        <v>2.0427834658426001</v>
      </c>
      <c r="F5">
        <v>4.5888591971097004</v>
      </c>
      <c r="G5">
        <v>4.5888591971097004</v>
      </c>
      <c r="H5">
        <v>1.38953911489944</v>
      </c>
      <c r="I5">
        <v>0.74169140218991703</v>
      </c>
      <c r="J5">
        <v>2.0977750541089502</v>
      </c>
      <c r="K5">
        <v>1.1813747745860601</v>
      </c>
      <c r="L5">
        <v>1.1813747745860601</v>
      </c>
      <c r="M5">
        <v>2.5820829363854698</v>
      </c>
      <c r="N5">
        <v>1.4481416747923199</v>
      </c>
      <c r="O5">
        <v>4.5888591971097004</v>
      </c>
      <c r="P5" s="14"/>
      <c r="T5">
        <v>-1.60110701737687</v>
      </c>
      <c r="U5">
        <v>2.49838345541461</v>
      </c>
      <c r="V5">
        <v>-1.97047197845996</v>
      </c>
      <c r="W5">
        <v>-1.97047197845996</v>
      </c>
      <c r="X5">
        <v>3.9020666153237999</v>
      </c>
      <c r="Y5">
        <v>-1.82242622662663</v>
      </c>
      <c r="Z5">
        <v>-1.9548918620467799</v>
      </c>
      <c r="AA5">
        <v>-1.92461228809031</v>
      </c>
      <c r="AB5">
        <v>-2.0142065437827101</v>
      </c>
      <c r="AC5">
        <v>-3.0603521708761598</v>
      </c>
      <c r="AD5">
        <v>3.9020666153237999</v>
      </c>
      <c r="AE5">
        <v>-2.1348707032685499</v>
      </c>
      <c r="AF5">
        <v>-2.0142065437827101</v>
      </c>
      <c r="AG5">
        <v>3.9020666153237999</v>
      </c>
      <c r="AH5">
        <v>-1.8667268018982699</v>
      </c>
    </row>
    <row r="6" spans="1:34" x14ac:dyDescent="0.25">
      <c r="A6">
        <v>1.97585948157127</v>
      </c>
      <c r="B6">
        <v>2.3668584939521802</v>
      </c>
      <c r="C6">
        <v>1.1813747745860601</v>
      </c>
      <c r="D6">
        <v>2.0977750541089502</v>
      </c>
      <c r="E6">
        <v>2.0977750541089502</v>
      </c>
      <c r="F6">
        <v>2.0257029654388101</v>
      </c>
      <c r="G6">
        <v>2.0257029654388101</v>
      </c>
      <c r="H6">
        <v>1.1019670962416901</v>
      </c>
      <c r="I6">
        <v>1.2910862251373301</v>
      </c>
      <c r="J6">
        <v>2.5820829363854698</v>
      </c>
      <c r="K6">
        <v>2.5820829363854698</v>
      </c>
      <c r="L6">
        <v>0.74169140218991703</v>
      </c>
      <c r="M6">
        <v>1.4481416747923199</v>
      </c>
      <c r="N6">
        <v>0.66212050717150495</v>
      </c>
      <c r="O6">
        <v>3.3150203899875201</v>
      </c>
      <c r="P6" s="14"/>
      <c r="T6">
        <v>-0.93414647445689603</v>
      </c>
      <c r="U6">
        <v>-1.97047197845996</v>
      </c>
      <c r="V6">
        <v>-2.0142065437827101</v>
      </c>
      <c r="W6">
        <v>-1.92461228809031</v>
      </c>
      <c r="X6">
        <v>-1.92461228809031</v>
      </c>
      <c r="Y6">
        <v>-2.6897908879972001</v>
      </c>
      <c r="Z6">
        <v>-2.6897908879972001</v>
      </c>
      <c r="AA6">
        <v>-1.82242622662663</v>
      </c>
      <c r="AB6">
        <v>-2.6043127192123801</v>
      </c>
      <c r="AC6">
        <v>-2.12593005321706</v>
      </c>
      <c r="AD6">
        <v>-1.92461228809031</v>
      </c>
      <c r="AE6">
        <v>-2.0365222459190599</v>
      </c>
      <c r="AF6">
        <v>3.9020666153237999</v>
      </c>
      <c r="AG6">
        <v>-1.7833248515011899</v>
      </c>
      <c r="AH6">
        <v>0.81098607483515095</v>
      </c>
    </row>
    <row r="7" spans="1:34" x14ac:dyDescent="0.25">
      <c r="A7">
        <v>2.0427834658426001</v>
      </c>
      <c r="B7">
        <v>0.93769256122473699</v>
      </c>
      <c r="C7">
        <v>2.5820829363854698</v>
      </c>
      <c r="D7">
        <v>4.5888591971097004</v>
      </c>
      <c r="E7">
        <v>2.5820829363854698</v>
      </c>
      <c r="F7">
        <v>1.4481416747923199</v>
      </c>
      <c r="G7">
        <v>3.3150203899875201</v>
      </c>
      <c r="H7">
        <v>2.8180983349826301</v>
      </c>
      <c r="I7">
        <v>0.91545469065448404</v>
      </c>
      <c r="J7">
        <v>3.3150203899875201</v>
      </c>
      <c r="K7">
        <v>0.74169140218991703</v>
      </c>
      <c r="L7">
        <v>1.2910862251373301</v>
      </c>
      <c r="M7">
        <v>2.08130447098101</v>
      </c>
      <c r="N7">
        <v>0.98953062521281399</v>
      </c>
      <c r="O7">
        <v>4.0756628565449198</v>
      </c>
      <c r="P7" s="14"/>
      <c r="T7">
        <v>-1.82242622662663</v>
      </c>
      <c r="U7">
        <v>-2.0142065437827101</v>
      </c>
      <c r="V7">
        <v>3.9020666153237999</v>
      </c>
      <c r="W7">
        <v>-1.60110701737687</v>
      </c>
      <c r="X7">
        <v>-1.60110701737687</v>
      </c>
      <c r="Y7">
        <v>0.76734677898000703</v>
      </c>
      <c r="Z7">
        <v>-3.7608840806622501</v>
      </c>
      <c r="AA7">
        <v>-2.6897908879972001</v>
      </c>
      <c r="AB7">
        <v>-2.1348707032685499</v>
      </c>
      <c r="AC7">
        <v>-3.2948336817533899</v>
      </c>
      <c r="AD7">
        <v>-0.93414647445689603</v>
      </c>
      <c r="AE7">
        <v>0.85423822223108203</v>
      </c>
      <c r="AF7">
        <v>-1.9548918620467799</v>
      </c>
      <c r="AG7">
        <v>-1.3947119462253501</v>
      </c>
      <c r="AH7">
        <v>-2.0765820205605698</v>
      </c>
    </row>
    <row r="8" spans="1:34" x14ac:dyDescent="0.25">
      <c r="A8">
        <v>1.1813747745860601</v>
      </c>
      <c r="B8">
        <v>2.08130447098101</v>
      </c>
      <c r="C8">
        <v>1.4481416747923199</v>
      </c>
      <c r="D8">
        <v>2.0257029654388101</v>
      </c>
      <c r="E8">
        <v>4.5888591971097004</v>
      </c>
      <c r="F8">
        <v>0.74169140218991703</v>
      </c>
      <c r="G8">
        <v>2.3668584939521802</v>
      </c>
      <c r="H8">
        <v>2.2356004524833999</v>
      </c>
      <c r="I8">
        <v>4.0756628565449198</v>
      </c>
      <c r="J8">
        <v>0.74169140218991703</v>
      </c>
      <c r="K8">
        <v>1.2910862251373301</v>
      </c>
      <c r="L8">
        <v>2.3668584939521802</v>
      </c>
      <c r="M8">
        <v>1.38953911489944</v>
      </c>
      <c r="N8">
        <v>2.08404888781922</v>
      </c>
      <c r="O8">
        <v>2.0252217480813699</v>
      </c>
      <c r="P8" s="14"/>
      <c r="T8">
        <v>-1.9548918620467799</v>
      </c>
      <c r="U8">
        <v>3.9020666153237999</v>
      </c>
      <c r="V8">
        <v>-1.9548918620467799</v>
      </c>
      <c r="W8">
        <v>-0.93414647445689603</v>
      </c>
      <c r="X8">
        <v>-0.93414647445689603</v>
      </c>
      <c r="Y8">
        <v>-3.7608840806622501</v>
      </c>
      <c r="Z8">
        <v>-2.12593005321706</v>
      </c>
      <c r="AA8">
        <v>-3.7608840806622501</v>
      </c>
      <c r="AB8">
        <v>1.4176796081305201</v>
      </c>
      <c r="AC8">
        <v>2.6637124176740499</v>
      </c>
      <c r="AD8">
        <v>0.76734677898000703</v>
      </c>
      <c r="AE8">
        <v>-1.7833248515011899</v>
      </c>
      <c r="AF8">
        <v>-2.6897908879972001</v>
      </c>
      <c r="AG8">
        <v>-2.0359037723943798</v>
      </c>
      <c r="AH8">
        <v>-1.91639077811307</v>
      </c>
    </row>
    <row r="9" spans="1:34" x14ac:dyDescent="0.25">
      <c r="A9">
        <v>2.0977750541089502</v>
      </c>
      <c r="B9">
        <v>1.38953911489944</v>
      </c>
      <c r="C9">
        <v>1.2910862251373301</v>
      </c>
      <c r="D9">
        <v>3.3150203899875201</v>
      </c>
      <c r="E9">
        <v>2.0257029654388101</v>
      </c>
      <c r="F9">
        <v>1.2910862251373301</v>
      </c>
      <c r="G9">
        <v>0.93769256122473699</v>
      </c>
      <c r="H9">
        <v>0.98953062521281399</v>
      </c>
      <c r="I9">
        <v>3.2530936155538202</v>
      </c>
      <c r="J9">
        <v>0.91545469065448404</v>
      </c>
      <c r="K9">
        <v>2.3668584939521802</v>
      </c>
      <c r="L9">
        <v>0.91545469065448404</v>
      </c>
      <c r="M9">
        <v>1.93232125167406</v>
      </c>
      <c r="N9">
        <v>1.0169135159423901</v>
      </c>
      <c r="O9">
        <v>3.2530936155538202</v>
      </c>
      <c r="P9" s="14"/>
      <c r="T9">
        <v>-2.6897908879972001</v>
      </c>
      <c r="U9">
        <v>-1.92461228809031</v>
      </c>
      <c r="V9">
        <v>-2.6897908879972001</v>
      </c>
      <c r="W9">
        <v>-1.82242622662663</v>
      </c>
      <c r="X9">
        <v>-1.9548918620467799</v>
      </c>
      <c r="Y9">
        <v>1.4176796081305201</v>
      </c>
      <c r="Z9">
        <v>-1.00654255611704</v>
      </c>
      <c r="AA9">
        <v>-2.1348707032685499</v>
      </c>
      <c r="AB9">
        <v>-2.0365222459190599</v>
      </c>
      <c r="AC9">
        <v>2.0330628108317801</v>
      </c>
      <c r="AD9">
        <v>1.4176796081305201</v>
      </c>
      <c r="AE9">
        <v>-3.0725757971510599</v>
      </c>
      <c r="AF9">
        <v>0.76734677898000703</v>
      </c>
      <c r="AG9">
        <v>2.6637124176740499</v>
      </c>
      <c r="AH9">
        <v>-0.89482236305720597</v>
      </c>
    </row>
    <row r="10" spans="1:34" x14ac:dyDescent="0.25">
      <c r="A10">
        <v>2.5820829363854698</v>
      </c>
      <c r="B10">
        <v>1.93232125167406</v>
      </c>
      <c r="C10">
        <v>2.08130447098101</v>
      </c>
      <c r="D10">
        <v>1.4481416747923199</v>
      </c>
      <c r="E10">
        <v>3.3150203899875201</v>
      </c>
      <c r="F10">
        <v>0.93769256122473699</v>
      </c>
      <c r="G10">
        <v>2.08130447098101</v>
      </c>
      <c r="H10">
        <v>1.10160092869102</v>
      </c>
      <c r="I10">
        <v>2.2356004524833999</v>
      </c>
      <c r="J10">
        <v>1.1019670962416901</v>
      </c>
      <c r="K10">
        <v>1.93232125167406</v>
      </c>
      <c r="L10">
        <v>2.0252217480813699</v>
      </c>
      <c r="M10">
        <v>0.98953062521281399</v>
      </c>
      <c r="N10">
        <v>1.7353491312223801</v>
      </c>
      <c r="O10">
        <v>2.8180983349826301</v>
      </c>
      <c r="P10" s="14"/>
      <c r="T10">
        <v>0.76734677898000703</v>
      </c>
      <c r="U10">
        <v>-1.60110701737687</v>
      </c>
      <c r="V10">
        <v>-2.6043127192123801</v>
      </c>
      <c r="W10">
        <v>-2.6043127192123801</v>
      </c>
      <c r="X10">
        <v>0.76734677898000703</v>
      </c>
      <c r="Y10">
        <v>0.85423822223108203</v>
      </c>
      <c r="Z10">
        <v>-3.30235845230388</v>
      </c>
      <c r="AA10">
        <v>-2.0365222459190599</v>
      </c>
      <c r="AB10">
        <v>-1.00654255611704</v>
      </c>
      <c r="AC10">
        <v>-2.84689845189979</v>
      </c>
      <c r="AD10">
        <v>-2.0365222459190599</v>
      </c>
      <c r="AE10">
        <v>-2.0359037723943798</v>
      </c>
      <c r="AF10">
        <v>-2.8620500897362602</v>
      </c>
      <c r="AG10">
        <v>0.39278356726217101</v>
      </c>
      <c r="AH10">
        <v>4.5083678965988101</v>
      </c>
    </row>
    <row r="11" spans="1:34" x14ac:dyDescent="0.25">
      <c r="A11">
        <v>4.5888591971097004</v>
      </c>
      <c r="B11">
        <v>1.1019670962416901</v>
      </c>
      <c r="C11">
        <v>1.38953911489944</v>
      </c>
      <c r="D11">
        <v>2.3668584939521802</v>
      </c>
      <c r="E11">
        <v>1.4481416747923199</v>
      </c>
      <c r="F11">
        <v>1.38953911489944</v>
      </c>
      <c r="G11">
        <v>1.38953911489944</v>
      </c>
      <c r="H11">
        <v>1.0169135159423901</v>
      </c>
      <c r="I11">
        <v>0.66212050717150495</v>
      </c>
      <c r="J11">
        <v>2.8180983349826301</v>
      </c>
      <c r="K11">
        <v>1.1019670962416901</v>
      </c>
      <c r="L11">
        <v>0.66212050717150495</v>
      </c>
      <c r="M11">
        <v>1.0169135159423901</v>
      </c>
      <c r="N11">
        <v>2.1094732313818798</v>
      </c>
      <c r="O11">
        <v>2.2356004524833999</v>
      </c>
      <c r="P11" s="14"/>
      <c r="T11">
        <v>-2.12593005321706</v>
      </c>
      <c r="U11">
        <v>-0.93414647445689603</v>
      </c>
      <c r="V11">
        <v>-3.7608840806622501</v>
      </c>
      <c r="W11">
        <v>-2.1348707032685499</v>
      </c>
      <c r="X11">
        <v>-2.6043127192123801</v>
      </c>
      <c r="Y11">
        <v>-3.30235845230388</v>
      </c>
      <c r="Z11">
        <v>-0.68778627951620797</v>
      </c>
      <c r="AA11">
        <v>-3.0603521708761598</v>
      </c>
      <c r="AB11">
        <v>-3.30235845230388</v>
      </c>
      <c r="AC11">
        <v>-5.8145231104028303</v>
      </c>
      <c r="AD11">
        <v>-3.0603521708761598</v>
      </c>
      <c r="AE11">
        <v>0.493607699065719</v>
      </c>
      <c r="AF11">
        <v>-1.3947119462253501</v>
      </c>
      <c r="AG11">
        <v>0.82511072963327903</v>
      </c>
      <c r="AH11">
        <v>2.2157160726498901</v>
      </c>
    </row>
    <row r="12" spans="1:34" x14ac:dyDescent="0.25">
      <c r="A12">
        <v>2.0257029654388101</v>
      </c>
      <c r="B12">
        <v>2.0252217480813699</v>
      </c>
      <c r="C12">
        <v>0.91545469065448404</v>
      </c>
      <c r="D12">
        <v>0.93769256122473699</v>
      </c>
      <c r="E12">
        <v>1.2910862251373301</v>
      </c>
      <c r="F12">
        <v>1.93232125167406</v>
      </c>
      <c r="G12">
        <v>1.1019670962416901</v>
      </c>
      <c r="H12">
        <v>3.3450614190827799</v>
      </c>
      <c r="I12">
        <v>3.3450614190827799</v>
      </c>
      <c r="J12">
        <v>2.08404888781922</v>
      </c>
      <c r="K12">
        <v>2.0252217480813699</v>
      </c>
      <c r="L12">
        <v>1.10160092869102</v>
      </c>
      <c r="M12">
        <v>1.02624444073106</v>
      </c>
      <c r="N12">
        <v>1.4875136816744501</v>
      </c>
      <c r="O12">
        <v>3.3450614190827799</v>
      </c>
      <c r="P12" s="14"/>
      <c r="T12">
        <v>0.85423822223108203</v>
      </c>
      <c r="U12">
        <v>-1.82242622662663</v>
      </c>
      <c r="V12">
        <v>-2.1348707032685499</v>
      </c>
      <c r="W12">
        <v>1.4176796081305201</v>
      </c>
      <c r="X12">
        <v>-3.7608840806622501</v>
      </c>
      <c r="Y12">
        <v>-1.7833248515011899</v>
      </c>
      <c r="Z12">
        <v>0.493607699065719</v>
      </c>
      <c r="AA12">
        <v>-2.8620500897362602</v>
      </c>
      <c r="AB12">
        <v>-0.68778627951620797</v>
      </c>
      <c r="AC12">
        <v>-2.91481480699629</v>
      </c>
      <c r="AD12">
        <v>-2.12593005321706</v>
      </c>
      <c r="AE12">
        <v>2.6637124176740499</v>
      </c>
      <c r="AF12">
        <v>0.39278356726217101</v>
      </c>
      <c r="AG12">
        <v>2.03894521958527</v>
      </c>
      <c r="AH12">
        <v>-0.86743505966503698</v>
      </c>
    </row>
    <row r="13" spans="1:34" x14ac:dyDescent="0.25">
      <c r="A13">
        <v>3.3150203899875201</v>
      </c>
      <c r="B13">
        <v>3.2530936155538202</v>
      </c>
      <c r="C13">
        <v>4.0756628565449198</v>
      </c>
      <c r="D13">
        <v>0.91545469065448404</v>
      </c>
      <c r="E13">
        <v>2.3668584939521802</v>
      </c>
      <c r="F13">
        <v>4.0756628565449198</v>
      </c>
      <c r="G13">
        <v>4.0756628565449198</v>
      </c>
      <c r="H13">
        <v>1.02624444073106</v>
      </c>
      <c r="I13">
        <v>0.88370529162556299</v>
      </c>
      <c r="J13">
        <v>3.3450614190827799</v>
      </c>
      <c r="K13">
        <v>2.2356004524833999</v>
      </c>
      <c r="L13">
        <v>2.08404888781922</v>
      </c>
      <c r="M13">
        <v>0.62922523907160899</v>
      </c>
      <c r="N13">
        <v>2.0389309890535601</v>
      </c>
      <c r="O13">
        <v>2.6789841251700701</v>
      </c>
      <c r="P13" s="14"/>
      <c r="T13">
        <v>-1.00654255611704</v>
      </c>
      <c r="U13">
        <v>-1.9548918620467799</v>
      </c>
      <c r="V13">
        <v>1.4176796081305201</v>
      </c>
      <c r="W13">
        <v>-3.0603521708761598</v>
      </c>
      <c r="X13">
        <v>-3.0603521708761598</v>
      </c>
      <c r="Y13">
        <v>-1.3947119462253501</v>
      </c>
      <c r="Z13">
        <v>0.39278356726217101</v>
      </c>
      <c r="AA13">
        <v>-2.12593005321706</v>
      </c>
      <c r="AB13">
        <v>-1.7833248515011899</v>
      </c>
      <c r="AC13">
        <v>-5.1483644666520796</v>
      </c>
      <c r="AD13">
        <v>0.85423822223108203</v>
      </c>
      <c r="AE13">
        <v>2.0330628108317801</v>
      </c>
      <c r="AF13">
        <v>0.43272183158170202</v>
      </c>
      <c r="AG13">
        <v>2.5777373734875701</v>
      </c>
    </row>
    <row r="14" spans="1:34" x14ac:dyDescent="0.25">
      <c r="A14">
        <v>1.4481416747923199</v>
      </c>
      <c r="B14">
        <v>2.2356004524833999</v>
      </c>
      <c r="C14">
        <v>0.66212050717150495</v>
      </c>
      <c r="D14">
        <v>1.1019670962416901</v>
      </c>
      <c r="E14">
        <v>2.08130447098101</v>
      </c>
      <c r="F14">
        <v>2.0252217480813699</v>
      </c>
      <c r="G14">
        <v>3.2530936155538202</v>
      </c>
      <c r="H14">
        <v>1.5708844894426299</v>
      </c>
      <c r="I14">
        <v>2.6789841251700701</v>
      </c>
      <c r="J14">
        <v>1.5708844894426299</v>
      </c>
      <c r="K14">
        <v>1.10160092869102</v>
      </c>
      <c r="L14">
        <v>1.7353491312223801</v>
      </c>
      <c r="M14">
        <v>2.0645328583823401</v>
      </c>
      <c r="N14">
        <v>0.88698091844373905</v>
      </c>
      <c r="O14">
        <v>2.0645328583823401</v>
      </c>
      <c r="P14" s="14"/>
      <c r="T14">
        <v>-0.68778627951620797</v>
      </c>
      <c r="U14">
        <v>-2.6897908879972001</v>
      </c>
      <c r="V14">
        <v>-2.0365222459190599</v>
      </c>
      <c r="W14">
        <v>-2.8620500897362602</v>
      </c>
      <c r="X14">
        <v>-2.8620500897362602</v>
      </c>
      <c r="Y14">
        <v>0.493607699065719</v>
      </c>
      <c r="Z14">
        <v>0.43272183158170202</v>
      </c>
      <c r="AA14">
        <v>-3.2948336817533899</v>
      </c>
      <c r="AB14">
        <v>-2.0359037723943798</v>
      </c>
      <c r="AC14">
        <v>2.03894521958527</v>
      </c>
      <c r="AD14">
        <v>-3.2948336817533899</v>
      </c>
      <c r="AE14">
        <v>0.82511072963327903</v>
      </c>
      <c r="AF14">
        <v>-1.8667268018982699</v>
      </c>
      <c r="AG14">
        <v>0.45126854917551501</v>
      </c>
    </row>
    <row r="15" spans="1:34" x14ac:dyDescent="0.25">
      <c r="A15">
        <v>0.74169140218991703</v>
      </c>
      <c r="B15">
        <v>0.66212050717150495</v>
      </c>
      <c r="C15">
        <v>0.98953062521281399</v>
      </c>
      <c r="D15">
        <v>3.2530936155538202</v>
      </c>
      <c r="E15">
        <v>1.93232125167406</v>
      </c>
      <c r="F15">
        <v>0.66212050717150495</v>
      </c>
      <c r="G15">
        <v>2.8180983349826301</v>
      </c>
      <c r="H15">
        <v>2.6789841251700701</v>
      </c>
      <c r="I15">
        <v>0.62922523907160899</v>
      </c>
      <c r="J15">
        <v>0.88370529162556299</v>
      </c>
      <c r="K15">
        <v>1.0169135159423901</v>
      </c>
      <c r="L15">
        <v>1.5708844894426299</v>
      </c>
      <c r="M15">
        <v>2.0201668750995299</v>
      </c>
      <c r="N15">
        <v>1.08787207760161</v>
      </c>
      <c r="O15">
        <v>2.0201668750995299</v>
      </c>
      <c r="P15" s="14"/>
      <c r="T15">
        <v>-1.7833248515011899</v>
      </c>
      <c r="U15">
        <v>0.76734677898000703</v>
      </c>
      <c r="V15">
        <v>-2.8620500897362602</v>
      </c>
      <c r="W15">
        <v>-2.12593005321706</v>
      </c>
      <c r="X15">
        <v>0.85423822223108203</v>
      </c>
      <c r="Y15">
        <v>0.39278356726217101</v>
      </c>
      <c r="Z15">
        <v>-2.5186753883267601</v>
      </c>
      <c r="AA15">
        <v>-0.68778627951620797</v>
      </c>
      <c r="AB15">
        <v>-2.84689845189979</v>
      </c>
      <c r="AC15">
        <v>2.5777373734875701</v>
      </c>
      <c r="AD15">
        <v>-0.68778627951620797</v>
      </c>
      <c r="AE15">
        <v>0.45126854917551501</v>
      </c>
      <c r="AF15">
        <v>0.81098607483515095</v>
      </c>
      <c r="AG15">
        <v>5.9597465098419304</v>
      </c>
    </row>
    <row r="16" spans="1:34" x14ac:dyDescent="0.25">
      <c r="A16">
        <v>1.2910862251373301</v>
      </c>
      <c r="B16">
        <v>0.98953062521281399</v>
      </c>
      <c r="C16">
        <v>3.3450614190827799</v>
      </c>
      <c r="D16">
        <v>2.8180983349826301</v>
      </c>
      <c r="E16">
        <v>4.0756628565449198</v>
      </c>
      <c r="F16">
        <v>0.98953062521281399</v>
      </c>
      <c r="G16">
        <v>2.2356004524833999</v>
      </c>
      <c r="H16">
        <v>1.1873294074351499</v>
      </c>
      <c r="I16">
        <v>0.88698091844373905</v>
      </c>
      <c r="J16">
        <v>2.6789841251700701</v>
      </c>
      <c r="K16">
        <v>1.02624444073106</v>
      </c>
      <c r="L16">
        <v>2.1094732313818798</v>
      </c>
      <c r="M16">
        <v>1.9256399371499899</v>
      </c>
      <c r="N16">
        <v>2.9682907573908901</v>
      </c>
      <c r="O16">
        <v>1.9256399371499899</v>
      </c>
      <c r="P16" s="14"/>
      <c r="T16">
        <v>-1.3947119462253501</v>
      </c>
      <c r="U16">
        <v>-2.6043127192123801</v>
      </c>
      <c r="V16">
        <v>-3.2948336817533899</v>
      </c>
      <c r="W16">
        <v>-1.00654255611704</v>
      </c>
      <c r="X16">
        <v>-1.00654255611704</v>
      </c>
      <c r="Y16">
        <v>0.43272183158170202</v>
      </c>
      <c r="Z16">
        <v>-5.8145231104028303</v>
      </c>
      <c r="AA16">
        <v>-1.3947119462253501</v>
      </c>
      <c r="AB16">
        <v>-2.5186753883267601</v>
      </c>
      <c r="AC16">
        <v>0.86876845738674402</v>
      </c>
      <c r="AD16">
        <v>0.493607699065719</v>
      </c>
      <c r="AE16">
        <v>-1.91639077811307</v>
      </c>
      <c r="AF16">
        <v>2.03894521958527</v>
      </c>
      <c r="AG16">
        <v>-2.8347903831453301</v>
      </c>
    </row>
    <row r="17" spans="1:33" x14ac:dyDescent="0.25">
      <c r="A17">
        <v>2.3668584939521802</v>
      </c>
      <c r="B17">
        <v>1.10160092869102</v>
      </c>
      <c r="C17">
        <v>1.7353491312223801</v>
      </c>
      <c r="D17">
        <v>2.2356004524833999</v>
      </c>
      <c r="E17">
        <v>2.0252217480813699</v>
      </c>
      <c r="F17">
        <v>1.10160092869102</v>
      </c>
      <c r="G17">
        <v>1.10160092869102</v>
      </c>
      <c r="H17">
        <v>3.2164891738731902</v>
      </c>
      <c r="I17">
        <v>2.506043012103</v>
      </c>
      <c r="J17">
        <v>1.1873294074351499</v>
      </c>
      <c r="K17">
        <v>2.1094732313818798</v>
      </c>
      <c r="L17">
        <v>1.08787207760161</v>
      </c>
      <c r="M17">
        <v>1.4875136816744501</v>
      </c>
      <c r="N17">
        <v>0.90894540413292402</v>
      </c>
      <c r="O17">
        <v>2.506043012103</v>
      </c>
      <c r="P17" s="14"/>
      <c r="T17">
        <v>0.493607699065719</v>
      </c>
      <c r="U17">
        <v>-3.7608840806622501</v>
      </c>
      <c r="V17">
        <v>-3.30235845230388</v>
      </c>
      <c r="W17">
        <v>-0.68778627951620797</v>
      </c>
      <c r="X17">
        <v>-3.2948336817533899</v>
      </c>
      <c r="Y17">
        <v>2.0330628108317801</v>
      </c>
      <c r="Z17">
        <v>-5.1483644666520796</v>
      </c>
      <c r="AA17">
        <v>-3.0725757971510599</v>
      </c>
      <c r="AB17">
        <v>-5.8145231104028303</v>
      </c>
      <c r="AC17">
        <v>-5.2540902808404999</v>
      </c>
      <c r="AD17">
        <v>0.39278356726217101</v>
      </c>
      <c r="AE17">
        <v>-5.2540902808404999</v>
      </c>
      <c r="AF17">
        <v>2.5777373734875701</v>
      </c>
      <c r="AG17">
        <v>-3.0458407714993498</v>
      </c>
    </row>
    <row r="18" spans="1:33" x14ac:dyDescent="0.25">
      <c r="A18">
        <v>0.93769256122473699</v>
      </c>
      <c r="B18">
        <v>2.08404888781922</v>
      </c>
      <c r="C18">
        <v>0.88370529162556299</v>
      </c>
      <c r="D18">
        <v>0.66212050717150495</v>
      </c>
      <c r="E18">
        <v>3.2530936155538202</v>
      </c>
      <c r="F18">
        <v>1.0169135159423901</v>
      </c>
      <c r="G18">
        <v>1.0169135159423901</v>
      </c>
      <c r="H18">
        <v>3.6279776996200899</v>
      </c>
      <c r="I18">
        <v>1.0370575775122799</v>
      </c>
      <c r="J18">
        <v>0.62922523907160899</v>
      </c>
      <c r="K18">
        <v>2.0645328583823401</v>
      </c>
      <c r="L18">
        <v>0.41363275379395298</v>
      </c>
      <c r="M18">
        <v>2.0389309890535601</v>
      </c>
      <c r="N18">
        <v>1.6405100800396399</v>
      </c>
      <c r="O18">
        <v>2.0746472446654902</v>
      </c>
      <c r="P18" s="14"/>
      <c r="T18">
        <v>2.6637124176740499</v>
      </c>
      <c r="U18">
        <v>-2.1348707032685499</v>
      </c>
      <c r="V18">
        <v>-1.7833248515011899</v>
      </c>
      <c r="W18">
        <v>-1.7833248515011899</v>
      </c>
      <c r="X18">
        <v>-3.30235845230388</v>
      </c>
      <c r="Y18">
        <v>-2.5186753883267601</v>
      </c>
      <c r="Z18">
        <v>-1.15669430260282</v>
      </c>
      <c r="AA18">
        <v>-2.0359037723943798</v>
      </c>
      <c r="AB18">
        <v>-2.91481480699629</v>
      </c>
      <c r="AC18">
        <v>5.9597465098419304</v>
      </c>
      <c r="AD18">
        <v>0.43272183158170202</v>
      </c>
      <c r="AE18">
        <v>-3.0739901205946301</v>
      </c>
      <c r="AF18">
        <v>0.86876845738674402</v>
      </c>
      <c r="AG18">
        <v>2.3818903552689501</v>
      </c>
    </row>
    <row r="19" spans="1:33" x14ac:dyDescent="0.25">
      <c r="A19">
        <v>2.08130447098101</v>
      </c>
      <c r="B19">
        <v>1.0169135159423901</v>
      </c>
      <c r="C19">
        <v>1.1873294074351499</v>
      </c>
      <c r="D19">
        <v>0.98953062521281399</v>
      </c>
      <c r="E19">
        <v>2.8180983349826301</v>
      </c>
      <c r="F19">
        <v>1.7353491312223801</v>
      </c>
      <c r="G19">
        <v>3.3450614190827799</v>
      </c>
      <c r="H19">
        <v>1.4875136816744501</v>
      </c>
      <c r="I19">
        <v>0.41363275379395298</v>
      </c>
      <c r="J19">
        <v>1.4875136816744501</v>
      </c>
      <c r="K19">
        <v>1.9256399371499899</v>
      </c>
      <c r="L19">
        <v>2.0746472446654902</v>
      </c>
      <c r="M19">
        <v>0.88698091844373905</v>
      </c>
      <c r="N19">
        <v>3.0098855180818802</v>
      </c>
      <c r="O19">
        <v>2.7033798393636701</v>
      </c>
      <c r="P19" s="14"/>
      <c r="T19">
        <v>0.39278356726217101</v>
      </c>
      <c r="U19">
        <v>1.4176796081305201</v>
      </c>
      <c r="V19">
        <v>-1.3947119462253501</v>
      </c>
      <c r="W19">
        <v>-1.3947119462253501</v>
      </c>
      <c r="X19">
        <v>-3.0725757971510599</v>
      </c>
      <c r="Y19">
        <v>0.82511072963327903</v>
      </c>
      <c r="Z19">
        <v>-1.9740706723561301</v>
      </c>
      <c r="AA19">
        <v>0.493607699065719</v>
      </c>
      <c r="AB19">
        <v>-2.0765820205605698</v>
      </c>
      <c r="AC19">
        <v>0.97753148467450701</v>
      </c>
      <c r="AD19">
        <v>-2.84689845189979</v>
      </c>
      <c r="AE19">
        <v>0.97753148467450701</v>
      </c>
      <c r="AF19">
        <v>5.9597465098419304</v>
      </c>
      <c r="AG19">
        <v>4.9038310821157696</v>
      </c>
    </row>
    <row r="20" spans="1:33" x14ac:dyDescent="0.25">
      <c r="A20">
        <v>1.38953911489944</v>
      </c>
      <c r="B20">
        <v>1.02624444073106</v>
      </c>
      <c r="C20">
        <v>2.0645328583823401</v>
      </c>
      <c r="D20">
        <v>2.08404888781922</v>
      </c>
      <c r="E20">
        <v>2.08404888781922</v>
      </c>
      <c r="F20">
        <v>1.02624444073106</v>
      </c>
      <c r="G20">
        <v>1.02624444073106</v>
      </c>
      <c r="H20">
        <v>1.08787207760161</v>
      </c>
      <c r="I20">
        <v>0.67197070236373102</v>
      </c>
      <c r="J20">
        <v>2.0389309890535601</v>
      </c>
      <c r="K20">
        <v>1.08787207760161</v>
      </c>
      <c r="L20">
        <v>0.65654487742231205</v>
      </c>
      <c r="M20">
        <v>1.0370575775122799</v>
      </c>
      <c r="N20">
        <v>0.64523559282320597</v>
      </c>
      <c r="O20">
        <v>2.34570633205507</v>
      </c>
      <c r="P20" s="14"/>
      <c r="T20">
        <v>0.43272183158170202</v>
      </c>
      <c r="U20">
        <v>-2.0365222459190599</v>
      </c>
      <c r="V20">
        <v>-3.0725757971510599</v>
      </c>
      <c r="W20">
        <v>-3.0725757971510599</v>
      </c>
      <c r="X20">
        <v>2.6637124176740499</v>
      </c>
      <c r="Y20">
        <v>-1.9740706723561301</v>
      </c>
      <c r="Z20">
        <v>-1.8667268018982699</v>
      </c>
      <c r="AA20">
        <v>0.39278356726217101</v>
      </c>
      <c r="AB20">
        <v>-2.2651386930385602</v>
      </c>
      <c r="AC20">
        <v>1.7820160169415999</v>
      </c>
      <c r="AD20">
        <v>-2.91481480699629</v>
      </c>
      <c r="AE20">
        <v>-2.0037270651334098</v>
      </c>
      <c r="AF20">
        <v>1.7820160169415999</v>
      </c>
      <c r="AG20">
        <v>-1.6459866441767801</v>
      </c>
    </row>
    <row r="21" spans="1:33" x14ac:dyDescent="0.25">
      <c r="A21">
        <v>0.91545469065448404</v>
      </c>
      <c r="B21">
        <v>1.5708844894426299</v>
      </c>
      <c r="C21">
        <v>2.0201668750995299</v>
      </c>
      <c r="D21">
        <v>1.7353491312223801</v>
      </c>
      <c r="E21">
        <v>1.7353491312223801</v>
      </c>
      <c r="F21">
        <v>1.5708844894426299</v>
      </c>
      <c r="G21">
        <v>0.88370529162556299</v>
      </c>
      <c r="H21">
        <v>2.506043012103</v>
      </c>
      <c r="I21">
        <v>0.81427723044613598</v>
      </c>
      <c r="J21">
        <v>0.88698091844373905</v>
      </c>
      <c r="K21">
        <v>0.41363275379395298</v>
      </c>
      <c r="L21">
        <v>0.69520931682526999</v>
      </c>
      <c r="M21">
        <v>1.6731058128773699</v>
      </c>
      <c r="N21">
        <v>1.3370104847940201</v>
      </c>
      <c r="O21">
        <v>2.44889915789989</v>
      </c>
      <c r="P21" s="14"/>
      <c r="T21">
        <v>2.0330628108317801</v>
      </c>
      <c r="U21">
        <v>-3.0603521708761598</v>
      </c>
      <c r="V21">
        <v>-2.0359037723943798</v>
      </c>
      <c r="W21">
        <v>-2.0359037723943798</v>
      </c>
      <c r="X21">
        <v>-2.84689845189979</v>
      </c>
      <c r="Y21">
        <v>0.81098607483515095</v>
      </c>
      <c r="Z21">
        <v>0.45126854917551501</v>
      </c>
      <c r="AA21">
        <v>0.43272183158170202</v>
      </c>
      <c r="AB21">
        <v>6.2043676731075097</v>
      </c>
      <c r="AC21">
        <v>-4.6156937103161502</v>
      </c>
      <c r="AD21">
        <v>0.82511072963327903</v>
      </c>
      <c r="AE21">
        <v>-0.89482236305720597</v>
      </c>
      <c r="AF21">
        <v>4.5083678965988101</v>
      </c>
      <c r="AG21">
        <v>-1.4892148595936301</v>
      </c>
    </row>
    <row r="22" spans="1:33" x14ac:dyDescent="0.25">
      <c r="A22">
        <v>1.93232125167406</v>
      </c>
      <c r="B22">
        <v>0.88370529162556299</v>
      </c>
      <c r="C22">
        <v>0.88698091844373905</v>
      </c>
      <c r="D22">
        <v>1.5708844894426299</v>
      </c>
      <c r="E22">
        <v>3.2164891738731902</v>
      </c>
      <c r="F22">
        <v>2.6789841251700701</v>
      </c>
      <c r="G22">
        <v>2.6789841251700701</v>
      </c>
      <c r="H22">
        <v>1.6731058128773699</v>
      </c>
      <c r="I22">
        <v>0.65654487742231205</v>
      </c>
      <c r="J22">
        <v>1.0370575775122799</v>
      </c>
      <c r="K22">
        <v>0.81427723044613598</v>
      </c>
      <c r="L22">
        <v>0.98571906738449699</v>
      </c>
      <c r="M22">
        <v>2.9682907573908901</v>
      </c>
      <c r="N22">
        <v>1.07664522408636</v>
      </c>
      <c r="O22">
        <v>4.0535533485628701</v>
      </c>
      <c r="P22" s="14"/>
      <c r="T22">
        <v>-5.8145231104028303</v>
      </c>
      <c r="U22">
        <v>-2.8620500897362602</v>
      </c>
      <c r="V22">
        <v>-2.84689845189979</v>
      </c>
      <c r="W22">
        <v>2.6637124176740499</v>
      </c>
      <c r="X22">
        <v>-2.5186753883267601</v>
      </c>
      <c r="Y22">
        <v>2.03894521958527</v>
      </c>
      <c r="Z22">
        <v>-2.0765820205605698</v>
      </c>
      <c r="AA22">
        <v>2.0330628108317801</v>
      </c>
      <c r="AB22">
        <v>-3.0739901205946301</v>
      </c>
      <c r="AC22">
        <v>4.5083678965988101</v>
      </c>
      <c r="AD22">
        <v>0.81098607483515095</v>
      </c>
      <c r="AE22">
        <v>-2.76377727295516</v>
      </c>
      <c r="AF22">
        <v>-2.8347903831453301</v>
      </c>
    </row>
    <row r="23" spans="1:33" x14ac:dyDescent="0.25">
      <c r="A23">
        <v>1.1019670962416901</v>
      </c>
      <c r="B23">
        <v>1.1873294074351499</v>
      </c>
      <c r="C23">
        <v>2.506043012103</v>
      </c>
      <c r="D23">
        <v>2.6789841251700701</v>
      </c>
      <c r="E23">
        <v>2.1094732313818798</v>
      </c>
      <c r="F23">
        <v>0.62922523907160899</v>
      </c>
      <c r="G23">
        <v>1.1873294074351499</v>
      </c>
      <c r="H23">
        <v>2.7033798393636701</v>
      </c>
      <c r="I23">
        <v>2.7033798393636701</v>
      </c>
      <c r="J23">
        <v>1.6731058128773699</v>
      </c>
      <c r="K23">
        <v>2.7033798393636701</v>
      </c>
      <c r="L23">
        <v>1.80968036149679</v>
      </c>
      <c r="M23">
        <v>1.44046295613159</v>
      </c>
      <c r="O23">
        <v>4.2234409652971898</v>
      </c>
      <c r="P23" s="14"/>
      <c r="T23">
        <v>-5.1483644666520796</v>
      </c>
      <c r="U23">
        <v>-2.12593005321706</v>
      </c>
      <c r="V23">
        <v>-5.8145231104028303</v>
      </c>
      <c r="W23">
        <v>2.0330628108317801</v>
      </c>
      <c r="X23">
        <v>-2.91481480699629</v>
      </c>
      <c r="Y23">
        <v>0.45126854917551501</v>
      </c>
      <c r="Z23">
        <v>-2.2651386930385602</v>
      </c>
      <c r="AA23">
        <v>-5.1483644666520796</v>
      </c>
      <c r="AB23">
        <v>-4.6156937103161502</v>
      </c>
      <c r="AC23">
        <v>2.2157160726498901</v>
      </c>
      <c r="AD23">
        <v>0.45126854917551501</v>
      </c>
      <c r="AE23">
        <v>-3.0458407714993498</v>
      </c>
      <c r="AF23">
        <v>-1.6459866441767801</v>
      </c>
    </row>
    <row r="24" spans="1:33" x14ac:dyDescent="0.25">
      <c r="A24">
        <v>4.0756628565449198</v>
      </c>
      <c r="B24">
        <v>3.2164891738731902</v>
      </c>
      <c r="C24">
        <v>1.0370575775122799</v>
      </c>
      <c r="D24">
        <v>3.2164891738731902</v>
      </c>
      <c r="E24">
        <v>2.0645328583823401</v>
      </c>
      <c r="F24">
        <v>2.1094732313818798</v>
      </c>
      <c r="G24">
        <v>3.2164891738731902</v>
      </c>
      <c r="H24">
        <v>1.80968036149679</v>
      </c>
      <c r="I24">
        <v>0.98571906738449699</v>
      </c>
      <c r="J24">
        <v>0.65654487742231205</v>
      </c>
      <c r="K24">
        <v>2.34570633205507</v>
      </c>
      <c r="L24">
        <v>1.0980676772481499</v>
      </c>
      <c r="M24">
        <v>2.44889915789989</v>
      </c>
      <c r="O24">
        <v>2.6949433853835298</v>
      </c>
      <c r="P24" s="14"/>
      <c r="T24">
        <v>-1.15669430260282</v>
      </c>
      <c r="U24">
        <v>0.85423822223108203</v>
      </c>
      <c r="V24">
        <v>-5.1483644666520796</v>
      </c>
      <c r="W24">
        <v>-2.5186753883267601</v>
      </c>
      <c r="X24">
        <v>-1.15669430260282</v>
      </c>
      <c r="Y24">
        <v>-2.2651386930385602</v>
      </c>
      <c r="Z24">
        <v>-1.91639077811307</v>
      </c>
      <c r="AA24">
        <v>-1.15669430260282</v>
      </c>
      <c r="AB24">
        <v>2.2157160726498901</v>
      </c>
      <c r="AC24">
        <v>2.3818903552689501</v>
      </c>
      <c r="AD24">
        <v>6.2043676731075097</v>
      </c>
      <c r="AE24">
        <v>0.81278543007098603</v>
      </c>
      <c r="AF24">
        <v>-0.86743505966503698</v>
      </c>
    </row>
    <row r="25" spans="1:33" x14ac:dyDescent="0.25">
      <c r="A25">
        <v>2.0252217480813699</v>
      </c>
      <c r="B25">
        <v>2.1094732313818798</v>
      </c>
      <c r="C25">
        <v>2.0746472446654902</v>
      </c>
      <c r="D25">
        <v>3.6279776996200899</v>
      </c>
      <c r="E25">
        <v>3.6279776996200899</v>
      </c>
      <c r="F25">
        <v>2.0645328583823401</v>
      </c>
      <c r="G25">
        <v>2.0645328583823401</v>
      </c>
      <c r="H25">
        <v>1.44046295613159</v>
      </c>
      <c r="I25">
        <v>1.0980676772481499</v>
      </c>
      <c r="J25">
        <v>0.69520931682526999</v>
      </c>
      <c r="K25">
        <v>2.6949433853835298</v>
      </c>
      <c r="L25">
        <v>2.1345456529218501</v>
      </c>
      <c r="M25">
        <v>0.64523559282320597</v>
      </c>
      <c r="O25">
        <v>3.0566260452937302</v>
      </c>
      <c r="P25" s="14"/>
      <c r="T25">
        <v>0.82511072963327903</v>
      </c>
      <c r="U25">
        <v>-1.00654255611704</v>
      </c>
      <c r="V25">
        <v>-1.8667268018982699</v>
      </c>
      <c r="W25">
        <v>-2.91481480699629</v>
      </c>
      <c r="X25">
        <v>0.82511072963327903</v>
      </c>
      <c r="Y25">
        <v>0.86876845738674402</v>
      </c>
      <c r="Z25">
        <v>0.86876845738674402</v>
      </c>
      <c r="AA25">
        <v>-1.9740706723561301</v>
      </c>
      <c r="AB25">
        <v>-1.6459866441767801</v>
      </c>
      <c r="AC25">
        <v>4.9038310821157696</v>
      </c>
      <c r="AD25">
        <v>-0.89482236305720597</v>
      </c>
      <c r="AE25">
        <v>2.3818903552689501</v>
      </c>
      <c r="AF25">
        <v>-2.9325941145249601</v>
      </c>
    </row>
    <row r="26" spans="1:33" x14ac:dyDescent="0.25">
      <c r="A26">
        <v>3.2530936155538202</v>
      </c>
      <c r="B26">
        <v>2.0201668750995299</v>
      </c>
      <c r="C26">
        <v>0.81427723044613598</v>
      </c>
      <c r="D26">
        <v>1.4875136816744501</v>
      </c>
      <c r="E26">
        <v>2.0201668750995299</v>
      </c>
      <c r="F26">
        <v>3.6279776996200899</v>
      </c>
      <c r="G26">
        <v>3.6279776996200899</v>
      </c>
      <c r="H26">
        <v>1.4300925283058901</v>
      </c>
      <c r="I26">
        <v>4.2234409652971898</v>
      </c>
      <c r="J26">
        <v>2.7033798393636701</v>
      </c>
      <c r="K26">
        <v>2.0397008922208899</v>
      </c>
      <c r="L26">
        <v>2.34570633205507</v>
      </c>
      <c r="M26">
        <v>2.2714071795980399</v>
      </c>
      <c r="O26">
        <v>2.2714071795980399</v>
      </c>
      <c r="P26" s="14"/>
      <c r="T26">
        <v>-1.8667268018982699</v>
      </c>
      <c r="U26">
        <v>-3.2948336817533899</v>
      </c>
      <c r="V26">
        <v>-2.0765820205605698</v>
      </c>
      <c r="W26">
        <v>-1.15669430260282</v>
      </c>
      <c r="X26">
        <v>-1.9740706723561301</v>
      </c>
      <c r="Y26">
        <v>5.9597465098419304</v>
      </c>
      <c r="Z26">
        <v>-5.2540902808404999</v>
      </c>
      <c r="AA26">
        <v>2.03894521958527</v>
      </c>
      <c r="AB26">
        <v>-2.9325941145249601</v>
      </c>
      <c r="AD26">
        <v>0.81278543007098603</v>
      </c>
      <c r="AE26">
        <v>4.9038310821157696</v>
      </c>
    </row>
    <row r="27" spans="1:33" x14ac:dyDescent="0.25">
      <c r="A27">
        <v>2.8180983349826301</v>
      </c>
      <c r="B27">
        <v>1.9256399371499899</v>
      </c>
      <c r="C27">
        <v>0.69520931682526999</v>
      </c>
      <c r="D27">
        <v>2.0389309890535601</v>
      </c>
      <c r="E27">
        <v>1.9256399371499899</v>
      </c>
      <c r="F27">
        <v>1.9256399371499899</v>
      </c>
      <c r="G27">
        <v>2.0201668750995299</v>
      </c>
      <c r="H27">
        <v>4.0535533485628701</v>
      </c>
      <c r="I27">
        <v>2.6949433853835298</v>
      </c>
      <c r="J27">
        <v>2.9682907573908901</v>
      </c>
      <c r="K27">
        <v>3.0098855180818802</v>
      </c>
      <c r="L27">
        <v>1.4300925283058901</v>
      </c>
      <c r="M27">
        <v>0.959889747970051</v>
      </c>
      <c r="O27">
        <v>3.05741423013894</v>
      </c>
      <c r="P27" s="14"/>
      <c r="T27">
        <v>0.81098607483515095</v>
      </c>
      <c r="U27">
        <v>-3.30235845230388</v>
      </c>
      <c r="V27">
        <v>-1.91639077811307</v>
      </c>
      <c r="W27">
        <v>-1.9740706723561301</v>
      </c>
      <c r="X27">
        <v>-1.8667268018982699</v>
      </c>
      <c r="Y27">
        <v>-3.0739901205946301</v>
      </c>
      <c r="Z27">
        <v>6.2043676731075097</v>
      </c>
      <c r="AA27">
        <v>0.45126854917551501</v>
      </c>
      <c r="AD27">
        <v>4.9038310821157696</v>
      </c>
      <c r="AE27">
        <v>-1.4892148595936301</v>
      </c>
    </row>
    <row r="28" spans="1:33" x14ac:dyDescent="0.25">
      <c r="A28">
        <v>2.2356004524833999</v>
      </c>
      <c r="B28">
        <v>1.4875136816744501</v>
      </c>
      <c r="C28">
        <v>2.9682907573908901</v>
      </c>
      <c r="D28">
        <v>0.88698091844373905</v>
      </c>
      <c r="E28">
        <v>2.0389309890535601</v>
      </c>
      <c r="F28">
        <v>1.4875136816744501</v>
      </c>
      <c r="G28">
        <v>1.08787207760161</v>
      </c>
      <c r="H28">
        <v>4.2234409652971898</v>
      </c>
      <c r="I28">
        <v>0.90894540413292402</v>
      </c>
      <c r="J28">
        <v>1.80968036149679</v>
      </c>
      <c r="K28">
        <v>2.2714071795980399</v>
      </c>
      <c r="L28">
        <v>0.90894540413292402</v>
      </c>
      <c r="M28">
        <v>3.05741423013894</v>
      </c>
      <c r="P28" s="14"/>
      <c r="T28">
        <v>2.03894521958527</v>
      </c>
      <c r="U28">
        <v>-0.68778627951620797</v>
      </c>
      <c r="V28">
        <v>-5.2540902808404999</v>
      </c>
      <c r="W28">
        <v>2.03894521958527</v>
      </c>
      <c r="X28">
        <v>0.81098607483515095</v>
      </c>
      <c r="Y28">
        <v>0.97753148467450701</v>
      </c>
      <c r="Z28">
        <v>-3.0739901205946301</v>
      </c>
      <c r="AA28">
        <v>-2.0765820205605698</v>
      </c>
      <c r="AD28">
        <v>-0.86743505966503698</v>
      </c>
    </row>
    <row r="29" spans="1:33" x14ac:dyDescent="0.25">
      <c r="A29">
        <v>0.66212050717150495</v>
      </c>
      <c r="B29">
        <v>2.0389309890535601</v>
      </c>
      <c r="C29">
        <v>0.98571906738449699</v>
      </c>
      <c r="D29">
        <v>0.67197070236373102</v>
      </c>
      <c r="E29">
        <v>2.0746472446654902</v>
      </c>
      <c r="F29">
        <v>1.08787207760161</v>
      </c>
      <c r="G29">
        <v>2.506043012103</v>
      </c>
      <c r="H29">
        <v>2.6949433853835298</v>
      </c>
      <c r="I29">
        <v>0.64523559282320597</v>
      </c>
      <c r="J29">
        <v>1.44046295613159</v>
      </c>
      <c r="K29">
        <v>1.3370104847940201</v>
      </c>
      <c r="L29">
        <v>2.0397008922208899</v>
      </c>
      <c r="P29" s="14"/>
      <c r="T29">
        <v>2.5777373734875701</v>
      </c>
      <c r="U29">
        <v>-1.7833248515011899</v>
      </c>
      <c r="V29">
        <v>6.2043676731075097</v>
      </c>
      <c r="W29">
        <v>2.5777373734875701</v>
      </c>
      <c r="X29">
        <v>2.5777373734875701</v>
      </c>
      <c r="Y29">
        <v>1.7820160169415999</v>
      </c>
      <c r="Z29">
        <v>0.97753148467450701</v>
      </c>
      <c r="AA29">
        <v>0.86876845738674402</v>
      </c>
    </row>
    <row r="30" spans="1:33" x14ac:dyDescent="0.25">
      <c r="A30">
        <v>0.98953062521281399</v>
      </c>
      <c r="B30">
        <v>1.08787207760161</v>
      </c>
      <c r="C30">
        <v>1.0980676772481499</v>
      </c>
      <c r="D30">
        <v>0.81427723044613598</v>
      </c>
      <c r="E30">
        <v>2.9682907573908901</v>
      </c>
      <c r="F30">
        <v>1.0370575775122799</v>
      </c>
      <c r="G30">
        <v>1.0370575775122799</v>
      </c>
      <c r="H30">
        <v>1.6405100800396399</v>
      </c>
      <c r="I30">
        <v>0.959889747970051</v>
      </c>
      <c r="J30">
        <v>1.0980676772481499</v>
      </c>
      <c r="L30">
        <v>1.6405100800396399</v>
      </c>
      <c r="P30" s="14"/>
      <c r="T30">
        <v>0.45126854917551501</v>
      </c>
      <c r="U30">
        <v>-1.3947119462253501</v>
      </c>
      <c r="V30">
        <v>5.9597465098419304</v>
      </c>
      <c r="W30">
        <v>-2.2651386930385602</v>
      </c>
      <c r="X30">
        <v>-1.91639077811307</v>
      </c>
      <c r="Y30">
        <v>4.5083678965988101</v>
      </c>
      <c r="Z30">
        <v>-4.6156937103161502</v>
      </c>
      <c r="AA30">
        <v>0.97753148467450701</v>
      </c>
    </row>
    <row r="31" spans="1:33" x14ac:dyDescent="0.25">
      <c r="A31">
        <v>1.10160092869102</v>
      </c>
      <c r="B31">
        <v>2.506043012103</v>
      </c>
      <c r="C31">
        <v>2.1345456529218501</v>
      </c>
      <c r="D31">
        <v>2.7033798393636701</v>
      </c>
      <c r="E31">
        <v>2.1345456529218501</v>
      </c>
      <c r="F31">
        <v>0.41363275379395298</v>
      </c>
      <c r="G31">
        <v>0.41363275379395298</v>
      </c>
      <c r="H31">
        <v>3.0566260452937302</v>
      </c>
      <c r="I31">
        <v>1.3370104847940201</v>
      </c>
      <c r="J31">
        <v>2.44889915789989</v>
      </c>
      <c r="L31">
        <v>3.0098855180818802</v>
      </c>
      <c r="P31" s="14"/>
      <c r="T31">
        <v>-2.0765820205605698</v>
      </c>
      <c r="U31">
        <v>-3.0725757971510599</v>
      </c>
      <c r="V31">
        <v>-3.0739901205946301</v>
      </c>
      <c r="W31">
        <v>6.2043676731075097</v>
      </c>
      <c r="X31">
        <v>5.9597465098419304</v>
      </c>
      <c r="Y31">
        <v>-2.76377727295516</v>
      </c>
      <c r="Z31">
        <v>-2.0037270651334098</v>
      </c>
      <c r="AA31">
        <v>1.7820160169415999</v>
      </c>
    </row>
    <row r="32" spans="1:33" x14ac:dyDescent="0.25">
      <c r="A32">
        <v>2.08404888781922</v>
      </c>
      <c r="B32">
        <v>0.67197070236373102</v>
      </c>
      <c r="C32">
        <v>2.44889915789989</v>
      </c>
      <c r="D32">
        <v>1.44046295613159</v>
      </c>
      <c r="E32">
        <v>2.34570633205507</v>
      </c>
      <c r="F32">
        <v>0.67197070236373102</v>
      </c>
      <c r="G32">
        <v>0.67197070236373102</v>
      </c>
      <c r="H32">
        <v>3.05741423013894</v>
      </c>
      <c r="J32">
        <v>4.2234409652971898</v>
      </c>
      <c r="L32">
        <v>1.3370104847940201</v>
      </c>
      <c r="P32" s="14"/>
      <c r="T32">
        <v>-2.2651386930385602</v>
      </c>
      <c r="U32">
        <v>-2.0359037723943798</v>
      </c>
      <c r="V32">
        <v>-4.6156937103161502</v>
      </c>
      <c r="W32">
        <v>1.7820160169415999</v>
      </c>
      <c r="X32">
        <v>-2.0037270651334098</v>
      </c>
      <c r="Y32">
        <v>0.81278543007098603</v>
      </c>
      <c r="Z32">
        <v>-0.89482236305720597</v>
      </c>
      <c r="AA32">
        <v>-2.76377727295516</v>
      </c>
    </row>
    <row r="33" spans="1:27" x14ac:dyDescent="0.25">
      <c r="A33">
        <v>1.0169135159423901</v>
      </c>
      <c r="B33">
        <v>2.0746472446654902</v>
      </c>
      <c r="C33">
        <v>1.4300925283058901</v>
      </c>
      <c r="D33">
        <v>2.34570633205507</v>
      </c>
      <c r="E33">
        <v>2.44889915789989</v>
      </c>
      <c r="F33">
        <v>0.81427723044613598</v>
      </c>
      <c r="G33">
        <v>2.0746472446654902</v>
      </c>
      <c r="H33">
        <v>1.07664522408636</v>
      </c>
      <c r="J33">
        <v>0.90894540413292402</v>
      </c>
      <c r="L33">
        <v>1.07664522408636</v>
      </c>
      <c r="P33" s="14"/>
      <c r="T33">
        <v>-1.91639077811307</v>
      </c>
      <c r="U33">
        <v>0.493607699065719</v>
      </c>
      <c r="V33">
        <v>-2.0037270651334098</v>
      </c>
      <c r="W33">
        <v>-0.89482236305720597</v>
      </c>
      <c r="X33">
        <v>-0.89482236305720597</v>
      </c>
      <c r="Y33">
        <v>2.3818903552689501</v>
      </c>
      <c r="Z33">
        <v>-2.76377727295516</v>
      </c>
      <c r="AA33">
        <v>-2.8347903831453301</v>
      </c>
    </row>
    <row r="34" spans="1:27" x14ac:dyDescent="0.25">
      <c r="A34">
        <v>3.3450614190827799</v>
      </c>
      <c r="B34">
        <v>1.6731058128773699</v>
      </c>
      <c r="C34">
        <v>0.90894540413292402</v>
      </c>
      <c r="D34">
        <v>4.0535533485628701</v>
      </c>
      <c r="E34">
        <v>4.0535533485628701</v>
      </c>
      <c r="F34">
        <v>1.6731058128773699</v>
      </c>
      <c r="G34">
        <v>1.6731058128773699</v>
      </c>
      <c r="J34">
        <v>1.6405100800396399</v>
      </c>
      <c r="P34" s="14"/>
      <c r="T34">
        <v>0.86876845738674402</v>
      </c>
      <c r="U34">
        <v>2.6637124176740499</v>
      </c>
      <c r="V34">
        <v>4.5083678965988101</v>
      </c>
      <c r="W34">
        <v>-2.8347903831453301</v>
      </c>
      <c r="X34">
        <v>4.5083678965988101</v>
      </c>
      <c r="Y34">
        <v>-1.6459866441767801</v>
      </c>
      <c r="Z34">
        <v>2.2157160726498901</v>
      </c>
      <c r="AA34">
        <v>2.2157160726498901</v>
      </c>
    </row>
    <row r="35" spans="1:27" x14ac:dyDescent="0.25">
      <c r="A35">
        <v>1.7353491312223801</v>
      </c>
      <c r="B35">
        <v>0.69520931682526999</v>
      </c>
      <c r="C35">
        <v>3.0566260452937302</v>
      </c>
      <c r="D35">
        <v>2.6949433853835298</v>
      </c>
      <c r="E35">
        <v>2.0397008922208899</v>
      </c>
      <c r="F35">
        <v>0.65654487742231205</v>
      </c>
      <c r="G35">
        <v>0.69520931682526999</v>
      </c>
      <c r="J35">
        <v>3.0098855180818802</v>
      </c>
      <c r="P35" s="14"/>
      <c r="T35">
        <v>-5.2540902808404999</v>
      </c>
      <c r="U35">
        <v>0.39278356726217101</v>
      </c>
      <c r="V35">
        <v>-2.76377727295516</v>
      </c>
      <c r="W35">
        <v>-3.0458407714993498</v>
      </c>
      <c r="X35">
        <v>-2.8347903831453301</v>
      </c>
      <c r="Y35">
        <v>-2.9325941145249601</v>
      </c>
      <c r="Z35">
        <v>-0.86743505966503698</v>
      </c>
      <c r="AA35">
        <v>-3.0458407714993498</v>
      </c>
    </row>
    <row r="36" spans="1:27" x14ac:dyDescent="0.25">
      <c r="A36">
        <v>1.02624444073106</v>
      </c>
      <c r="B36">
        <v>2.9682907573908901</v>
      </c>
      <c r="C36">
        <v>3.0098855180818802</v>
      </c>
      <c r="D36">
        <v>0.90894540413292402</v>
      </c>
      <c r="E36">
        <v>3.0566260452937302</v>
      </c>
      <c r="F36">
        <v>2.9682907573908901</v>
      </c>
      <c r="G36">
        <v>2.7033798393636701</v>
      </c>
      <c r="J36">
        <v>3.05741423013894</v>
      </c>
      <c r="P36" s="14"/>
      <c r="T36">
        <v>5.9597465098419304</v>
      </c>
      <c r="U36">
        <v>0.43272183158170202</v>
      </c>
      <c r="V36">
        <v>-2.8347903831453301</v>
      </c>
      <c r="W36">
        <v>2.3818903552689501</v>
      </c>
      <c r="X36">
        <v>-3.0458407714993498</v>
      </c>
      <c r="Y36">
        <v>-1.4892148595936301</v>
      </c>
      <c r="Z36">
        <v>-2.9325941145249601</v>
      </c>
      <c r="AA36">
        <v>2.3818903552689501</v>
      </c>
    </row>
    <row r="37" spans="1:27" x14ac:dyDescent="0.25">
      <c r="A37">
        <v>1.5708844894426299</v>
      </c>
      <c r="B37">
        <v>0.98571906738449699</v>
      </c>
      <c r="C37">
        <v>0.64523559282320597</v>
      </c>
      <c r="D37">
        <v>1.6405100800396399</v>
      </c>
      <c r="E37">
        <v>3.0098855180818802</v>
      </c>
      <c r="F37">
        <v>0.98571906738449699</v>
      </c>
      <c r="G37">
        <v>0.98571906738449699</v>
      </c>
      <c r="P37" s="14"/>
      <c r="T37">
        <v>-3.0739901205946301</v>
      </c>
      <c r="U37">
        <v>2.0330628108317801</v>
      </c>
      <c r="V37">
        <v>-3.0458407714993498</v>
      </c>
      <c r="W37">
        <v>-1.6459866441767801</v>
      </c>
      <c r="X37">
        <v>0.81278543007098603</v>
      </c>
      <c r="AA37">
        <v>-1.4892148595936301</v>
      </c>
    </row>
    <row r="38" spans="1:27" x14ac:dyDescent="0.25">
      <c r="A38">
        <v>0.88370529162556299</v>
      </c>
      <c r="B38">
        <v>1.80968036149679</v>
      </c>
      <c r="C38">
        <v>0.959889747970051</v>
      </c>
      <c r="D38">
        <v>0.64523559282320597</v>
      </c>
      <c r="E38">
        <v>2.2714071795980399</v>
      </c>
      <c r="F38">
        <v>1.80968036149679</v>
      </c>
      <c r="G38">
        <v>1.80968036149679</v>
      </c>
      <c r="P38" s="14"/>
      <c r="T38">
        <v>0.97753148467450701</v>
      </c>
      <c r="U38">
        <v>-2.84689845189979</v>
      </c>
      <c r="V38">
        <v>4.9038310821157696</v>
      </c>
      <c r="W38">
        <v>-0.86743505966503698</v>
      </c>
      <c r="X38">
        <v>4.9038310821157696</v>
      </c>
    </row>
    <row r="39" spans="1:27" x14ac:dyDescent="0.25">
      <c r="A39">
        <v>2.6789841251700701</v>
      </c>
      <c r="B39">
        <v>1.44046295613159</v>
      </c>
      <c r="C39">
        <v>1.3370104847940201</v>
      </c>
      <c r="D39">
        <v>2.2714071795980399</v>
      </c>
      <c r="E39">
        <v>3.05741423013894</v>
      </c>
      <c r="F39">
        <v>1.44046295613159</v>
      </c>
      <c r="G39">
        <v>1.0980676772481499</v>
      </c>
      <c r="P39" s="14"/>
      <c r="T39">
        <v>1.7820160169415999</v>
      </c>
      <c r="U39">
        <v>-2.5186753883267601</v>
      </c>
      <c r="V39">
        <v>-1.6459866441767801</v>
      </c>
      <c r="W39">
        <v>-1.4892148595936301</v>
      </c>
      <c r="X39">
        <v>-0.86743505966503698</v>
      </c>
    </row>
    <row r="40" spans="1:27" x14ac:dyDescent="0.25">
      <c r="A40">
        <v>1.1873294074351499</v>
      </c>
      <c r="B40">
        <v>2.1345456529218501</v>
      </c>
      <c r="C40">
        <v>1.07664522408636</v>
      </c>
      <c r="D40">
        <v>3.05741423013894</v>
      </c>
      <c r="E40">
        <v>1.3370104847940201</v>
      </c>
      <c r="F40">
        <v>1.0980676772481499</v>
      </c>
      <c r="G40">
        <v>2.1345456529218501</v>
      </c>
      <c r="P40" s="14"/>
      <c r="T40">
        <v>-2.0037270651334098</v>
      </c>
      <c r="U40">
        <v>-5.8145231104028303</v>
      </c>
      <c r="V40">
        <v>-2.9325941145249601</v>
      </c>
    </row>
    <row r="41" spans="1:27" x14ac:dyDescent="0.25">
      <c r="A41">
        <v>3.2164891738731902</v>
      </c>
      <c r="B41">
        <v>2.34570633205507</v>
      </c>
      <c r="D41">
        <v>1.07664522408636</v>
      </c>
      <c r="F41">
        <v>2.44889915789989</v>
      </c>
      <c r="G41">
        <v>2.34570633205507</v>
      </c>
      <c r="P41" s="14"/>
      <c r="T41">
        <v>-0.89482236305720597</v>
      </c>
      <c r="U41">
        <v>-2.91481480699629</v>
      </c>
      <c r="V41">
        <v>-1.4892148595936301</v>
      </c>
    </row>
    <row r="42" spans="1:27" x14ac:dyDescent="0.25">
      <c r="A42">
        <v>0.62922523907160899</v>
      </c>
      <c r="B42">
        <v>2.44889915789989</v>
      </c>
      <c r="F42">
        <v>1.4300925283058901</v>
      </c>
      <c r="G42">
        <v>1.4300925283058901</v>
      </c>
      <c r="P42" s="14"/>
      <c r="T42">
        <v>4.5083678965988101</v>
      </c>
      <c r="U42">
        <v>-5.1483644666520796</v>
      </c>
    </row>
    <row r="43" spans="1:27" x14ac:dyDescent="0.25">
      <c r="A43">
        <v>2.1094732313818798</v>
      </c>
      <c r="B43">
        <v>1.4300925283058901</v>
      </c>
      <c r="F43">
        <v>4.0535533485628701</v>
      </c>
      <c r="G43">
        <v>4.0535533485628701</v>
      </c>
      <c r="P43" s="14"/>
      <c r="T43">
        <v>-2.76377727295516</v>
      </c>
      <c r="U43">
        <v>-1.15669430260282</v>
      </c>
    </row>
    <row r="44" spans="1:27" x14ac:dyDescent="0.25">
      <c r="A44">
        <v>2.0645328583823401</v>
      </c>
      <c r="B44">
        <v>4.2234409652971898</v>
      </c>
      <c r="F44">
        <v>2.6949433853835298</v>
      </c>
      <c r="G44">
        <v>4.2234409652971898</v>
      </c>
      <c r="P44" s="14"/>
      <c r="T44">
        <v>2.2157160726498901</v>
      </c>
      <c r="U44">
        <v>0.82511072963327903</v>
      </c>
    </row>
    <row r="45" spans="1:27" x14ac:dyDescent="0.25">
      <c r="A45">
        <v>3.6279776996200899</v>
      </c>
      <c r="B45">
        <v>2.0397008922208899</v>
      </c>
      <c r="F45">
        <v>2.0397008922208899</v>
      </c>
      <c r="G45">
        <v>2.6949433853835298</v>
      </c>
      <c r="P45" s="14"/>
      <c r="T45">
        <v>0.81278543007098603</v>
      </c>
      <c r="U45">
        <v>-1.9740706723561301</v>
      </c>
    </row>
    <row r="46" spans="1:27" x14ac:dyDescent="0.25">
      <c r="A46">
        <v>2.0201668750995299</v>
      </c>
      <c r="B46">
        <v>1.6405100800396399</v>
      </c>
      <c r="F46">
        <v>1.6405100800396399</v>
      </c>
      <c r="G46">
        <v>3.0566260452937302</v>
      </c>
      <c r="P46" s="14"/>
      <c r="T46">
        <v>2.3818903552689501</v>
      </c>
      <c r="U46">
        <v>-1.8667268018982699</v>
      </c>
    </row>
    <row r="47" spans="1:27" x14ac:dyDescent="0.25">
      <c r="A47">
        <v>1.9256399371499899</v>
      </c>
      <c r="B47">
        <v>3.0098855180818802</v>
      </c>
      <c r="F47">
        <v>3.0566260452937302</v>
      </c>
      <c r="G47">
        <v>2.2714071795980399</v>
      </c>
      <c r="P47" s="14"/>
      <c r="T47">
        <v>4.9038310821157696</v>
      </c>
      <c r="U47">
        <v>0.81098607483515095</v>
      </c>
    </row>
    <row r="48" spans="1:27" x14ac:dyDescent="0.25">
      <c r="A48">
        <v>1.4875136816744501</v>
      </c>
      <c r="B48">
        <v>0.64523559282320597</v>
      </c>
      <c r="F48">
        <v>0.64523559282320597</v>
      </c>
      <c r="G48">
        <v>0.959889747970051</v>
      </c>
      <c r="P48" s="14"/>
      <c r="T48">
        <v>-1.6459866441767801</v>
      </c>
      <c r="U48">
        <v>2.03894521958527</v>
      </c>
    </row>
    <row r="49" spans="1:21" x14ac:dyDescent="0.25">
      <c r="A49">
        <v>2.0389309890535601</v>
      </c>
      <c r="B49">
        <v>2.2714071795980399</v>
      </c>
      <c r="F49">
        <v>0.959889747970051</v>
      </c>
      <c r="G49">
        <v>3.05741423013894</v>
      </c>
      <c r="P49" s="14"/>
      <c r="T49">
        <v>-0.86743505966503698</v>
      </c>
      <c r="U49">
        <v>2.5777373734875701</v>
      </c>
    </row>
    <row r="50" spans="1:21" x14ac:dyDescent="0.25">
      <c r="A50">
        <v>0.88698091844373905</v>
      </c>
      <c r="B50">
        <v>0.959889747970051</v>
      </c>
      <c r="F50">
        <v>1.3370104847940201</v>
      </c>
      <c r="P50" s="14"/>
      <c r="T50">
        <v>-2.9325941145249601</v>
      </c>
      <c r="U50">
        <v>0.45126854917551501</v>
      </c>
    </row>
    <row r="51" spans="1:21" x14ac:dyDescent="0.25">
      <c r="A51">
        <v>1.08787207760161</v>
      </c>
      <c r="B51">
        <v>1.07664522408636</v>
      </c>
      <c r="F51">
        <v>1.07664522408636</v>
      </c>
      <c r="P51" s="14"/>
      <c r="T51">
        <v>-1.4892148595936301</v>
      </c>
      <c r="U51">
        <v>-2.0765820205605698</v>
      </c>
    </row>
    <row r="52" spans="1:21" x14ac:dyDescent="0.25">
      <c r="A52">
        <v>2.506043012103</v>
      </c>
      <c r="P52" s="14"/>
      <c r="U52">
        <v>-2.2651386930385602</v>
      </c>
    </row>
    <row r="53" spans="1:21" x14ac:dyDescent="0.25">
      <c r="A53">
        <v>1.0370575775122799</v>
      </c>
      <c r="P53" s="14"/>
      <c r="U53">
        <v>-1.91639077811307</v>
      </c>
    </row>
    <row r="54" spans="1:21" x14ac:dyDescent="0.25">
      <c r="A54">
        <v>0.41363275379395298</v>
      </c>
      <c r="P54" s="14"/>
      <c r="U54">
        <v>0.86876845738674402</v>
      </c>
    </row>
    <row r="55" spans="1:21" x14ac:dyDescent="0.25">
      <c r="A55">
        <v>0.67197070236373102</v>
      </c>
      <c r="P55" s="14"/>
      <c r="U55">
        <v>-5.2540902808404999</v>
      </c>
    </row>
    <row r="56" spans="1:21" x14ac:dyDescent="0.25">
      <c r="A56">
        <v>2.0746472446654902</v>
      </c>
      <c r="P56" s="14"/>
      <c r="U56">
        <v>6.2043676731075097</v>
      </c>
    </row>
    <row r="57" spans="1:21" x14ac:dyDescent="0.25">
      <c r="A57">
        <v>0.81427723044613598</v>
      </c>
      <c r="P57" s="14"/>
      <c r="U57">
        <v>5.9597465098419304</v>
      </c>
    </row>
    <row r="58" spans="1:21" x14ac:dyDescent="0.25">
      <c r="A58">
        <v>1.6731058128773699</v>
      </c>
      <c r="P58" s="14"/>
      <c r="U58">
        <v>-3.0739901205946301</v>
      </c>
    </row>
    <row r="59" spans="1:21" x14ac:dyDescent="0.25">
      <c r="A59">
        <v>0.65654487742231205</v>
      </c>
      <c r="P59" s="14"/>
      <c r="U59">
        <v>0.97753148467450701</v>
      </c>
    </row>
    <row r="60" spans="1:21" x14ac:dyDescent="0.25">
      <c r="A60">
        <v>0.69520931682526999</v>
      </c>
      <c r="P60" s="14"/>
      <c r="U60">
        <v>1.7820160169415999</v>
      </c>
    </row>
    <row r="61" spans="1:21" x14ac:dyDescent="0.25">
      <c r="A61">
        <v>2.7033798393636701</v>
      </c>
      <c r="P61" s="14"/>
      <c r="U61">
        <v>-4.6156937103161502</v>
      </c>
    </row>
    <row r="62" spans="1:21" x14ac:dyDescent="0.25">
      <c r="A62">
        <v>2.9682907573908901</v>
      </c>
      <c r="P62" s="14"/>
      <c r="U62">
        <v>-2.0037270651334098</v>
      </c>
    </row>
    <row r="63" spans="1:21" x14ac:dyDescent="0.25">
      <c r="A63">
        <v>0.98571906738449699</v>
      </c>
      <c r="P63" s="14"/>
      <c r="U63">
        <v>-0.89482236305720597</v>
      </c>
    </row>
    <row r="64" spans="1:21" x14ac:dyDescent="0.25">
      <c r="A64">
        <v>1.80968036149679</v>
      </c>
      <c r="P64" s="14"/>
      <c r="U64">
        <v>4.5083678965988101</v>
      </c>
    </row>
    <row r="65" spans="1:21" x14ac:dyDescent="0.25">
      <c r="A65">
        <v>1.44046295613159</v>
      </c>
      <c r="P65" s="14"/>
      <c r="U65">
        <v>-2.76377727295516</v>
      </c>
    </row>
    <row r="66" spans="1:21" x14ac:dyDescent="0.25">
      <c r="A66">
        <v>1.0980676772481499</v>
      </c>
      <c r="P66" s="14"/>
      <c r="U66">
        <v>-2.8347903831453301</v>
      </c>
    </row>
    <row r="67" spans="1:21" x14ac:dyDescent="0.25">
      <c r="A67">
        <v>2.1345456529218501</v>
      </c>
      <c r="P67" s="14"/>
      <c r="U67">
        <v>2.2157160726498901</v>
      </c>
    </row>
    <row r="68" spans="1:21" x14ac:dyDescent="0.25">
      <c r="A68">
        <v>2.34570633205507</v>
      </c>
      <c r="P68" s="14"/>
      <c r="U68">
        <v>-3.0458407714993498</v>
      </c>
    </row>
    <row r="69" spans="1:21" x14ac:dyDescent="0.25">
      <c r="A69">
        <v>2.44889915789989</v>
      </c>
      <c r="P69" s="14"/>
      <c r="U69">
        <v>0.81278543007098603</v>
      </c>
    </row>
    <row r="70" spans="1:21" x14ac:dyDescent="0.25">
      <c r="A70">
        <v>1.4300925283058901</v>
      </c>
      <c r="P70" s="14"/>
      <c r="U70">
        <v>2.3818903552689501</v>
      </c>
    </row>
    <row r="71" spans="1:21" x14ac:dyDescent="0.25">
      <c r="A71">
        <v>4.0535533485628701</v>
      </c>
      <c r="P71" s="14"/>
      <c r="U71">
        <v>4.9038310821157696</v>
      </c>
    </row>
    <row r="72" spans="1:21" x14ac:dyDescent="0.25">
      <c r="A72">
        <v>4.2234409652971898</v>
      </c>
      <c r="P72" s="14"/>
      <c r="U72">
        <v>-1.6459866441767801</v>
      </c>
    </row>
    <row r="73" spans="1:21" x14ac:dyDescent="0.25">
      <c r="A73">
        <v>2.6949433853835298</v>
      </c>
      <c r="P73" s="14"/>
      <c r="U73">
        <v>-0.86743505966503698</v>
      </c>
    </row>
    <row r="74" spans="1:21" x14ac:dyDescent="0.25">
      <c r="A74">
        <v>0.90894540413292402</v>
      </c>
      <c r="P74" s="14"/>
      <c r="U74">
        <v>-2.9325941145249601</v>
      </c>
    </row>
    <row r="75" spans="1:21" x14ac:dyDescent="0.25">
      <c r="A75">
        <v>2.0397008922208899</v>
      </c>
      <c r="P75" s="14"/>
      <c r="U75">
        <v>-1.4892148595936301</v>
      </c>
    </row>
    <row r="76" spans="1:21" x14ac:dyDescent="0.25">
      <c r="A76">
        <v>1.6405100800396399</v>
      </c>
      <c r="P76" s="14"/>
    </row>
    <row r="77" spans="1:21" x14ac:dyDescent="0.25">
      <c r="A77">
        <v>3.0566260452937302</v>
      </c>
      <c r="P77" s="14"/>
    </row>
    <row r="78" spans="1:21" x14ac:dyDescent="0.25">
      <c r="A78">
        <v>3.0098855180818802</v>
      </c>
      <c r="P78" s="14"/>
    </row>
    <row r="79" spans="1:21" x14ac:dyDescent="0.25">
      <c r="A79">
        <v>0.64523559282320597</v>
      </c>
      <c r="P79" s="14"/>
    </row>
    <row r="80" spans="1:21" x14ac:dyDescent="0.25">
      <c r="A80">
        <v>2.2714071795980399</v>
      </c>
      <c r="P80" s="14"/>
    </row>
    <row r="81" spans="1:16" x14ac:dyDescent="0.25">
      <c r="A81">
        <v>0.959889747970051</v>
      </c>
      <c r="P81" s="14"/>
    </row>
    <row r="82" spans="1:16" x14ac:dyDescent="0.25">
      <c r="A82">
        <v>3.05741423013894</v>
      </c>
      <c r="P82" s="14"/>
    </row>
    <row r="83" spans="1:16" x14ac:dyDescent="0.25">
      <c r="A83">
        <v>1.3370104847940201</v>
      </c>
      <c r="P83" s="14"/>
    </row>
    <row r="84" spans="1:16" x14ac:dyDescent="0.25">
      <c r="A84">
        <v>1.07664522408636</v>
      </c>
      <c r="P84" s="14"/>
    </row>
    <row r="85" spans="1:16" x14ac:dyDescent="0.25">
      <c r="P85" s="14"/>
    </row>
    <row r="86" spans="1:16" x14ac:dyDescent="0.25">
      <c r="P86" s="14"/>
    </row>
    <row r="87" spans="1:16" x14ac:dyDescent="0.25">
      <c r="P87" s="14"/>
    </row>
    <row r="88" spans="1:16" x14ac:dyDescent="0.25">
      <c r="P88" s="14"/>
    </row>
    <row r="89" spans="1:16" x14ac:dyDescent="0.25">
      <c r="P89" s="14"/>
    </row>
    <row r="90" spans="1:16" x14ac:dyDescent="0.25">
      <c r="P90" s="14"/>
    </row>
    <row r="91" spans="1:16" x14ac:dyDescent="0.25">
      <c r="P91" s="14"/>
    </row>
    <row r="92" spans="1:16" x14ac:dyDescent="0.25">
      <c r="P92" s="14"/>
    </row>
    <row r="93" spans="1:16" x14ac:dyDescent="0.25">
      <c r="P93" s="14"/>
    </row>
    <row r="94" spans="1:16" x14ac:dyDescent="0.25">
      <c r="P94" s="14"/>
    </row>
    <row r="95" spans="1:16" x14ac:dyDescent="0.25">
      <c r="P95" s="14"/>
    </row>
    <row r="96" spans="1:16" x14ac:dyDescent="0.25">
      <c r="P96" s="14"/>
    </row>
    <row r="97" spans="16:16" x14ac:dyDescent="0.25">
      <c r="P97" s="14"/>
    </row>
    <row r="98" spans="16:16" x14ac:dyDescent="0.25">
      <c r="P98" s="14"/>
    </row>
    <row r="99" spans="16:16" x14ac:dyDescent="0.25">
      <c r="P99" s="14"/>
    </row>
    <row r="100" spans="16:16" x14ac:dyDescent="0.25">
      <c r="P100" s="14"/>
    </row>
    <row r="101" spans="16:16" x14ac:dyDescent="0.25">
      <c r="P101" s="14"/>
    </row>
    <row r="102" spans="16:16" x14ac:dyDescent="0.25">
      <c r="P102" s="14"/>
    </row>
    <row r="103" spans="16:16" x14ac:dyDescent="0.25">
      <c r="P103" s="14"/>
    </row>
    <row r="104" spans="16:16" x14ac:dyDescent="0.25">
      <c r="P104" s="14"/>
    </row>
    <row r="105" spans="16:16" x14ac:dyDescent="0.25">
      <c r="P105" s="14"/>
    </row>
    <row r="106" spans="16:16" x14ac:dyDescent="0.25">
      <c r="P106" s="14"/>
    </row>
    <row r="107" spans="16:16" x14ac:dyDescent="0.25">
      <c r="P107" s="14"/>
    </row>
    <row r="108" spans="16:16" x14ac:dyDescent="0.25">
      <c r="P108" s="14"/>
    </row>
    <row r="109" spans="16:16" x14ac:dyDescent="0.25">
      <c r="P109" s="14"/>
    </row>
    <row r="110" spans="16:16" x14ac:dyDescent="0.25">
      <c r="P110" s="14"/>
    </row>
    <row r="111" spans="16:16" x14ac:dyDescent="0.25">
      <c r="P111" s="14"/>
    </row>
    <row r="112" spans="16:16" x14ac:dyDescent="0.25">
      <c r="P112" s="14"/>
    </row>
    <row r="113" spans="16:16" x14ac:dyDescent="0.25">
      <c r="P113" s="14"/>
    </row>
    <row r="114" spans="16:16" x14ac:dyDescent="0.25">
      <c r="P114" s="14"/>
    </row>
    <row r="115" spans="16:16" x14ac:dyDescent="0.25">
      <c r="P115" s="14"/>
    </row>
    <row r="116" spans="16:16" x14ac:dyDescent="0.25">
      <c r="P116" s="14"/>
    </row>
    <row r="117" spans="16:16" x14ac:dyDescent="0.25">
      <c r="P117" s="14"/>
    </row>
    <row r="118" spans="16:16" x14ac:dyDescent="0.25">
      <c r="P118" s="14"/>
    </row>
    <row r="119" spans="16:16" x14ac:dyDescent="0.25">
      <c r="P119" s="14"/>
    </row>
    <row r="120" spans="16:16" x14ac:dyDescent="0.25">
      <c r="P120" s="14"/>
    </row>
    <row r="121" spans="16:16" x14ac:dyDescent="0.25">
      <c r="P121" s="14"/>
    </row>
    <row r="122" spans="16:16" x14ac:dyDescent="0.25">
      <c r="P122" s="14"/>
    </row>
    <row r="123" spans="16:16" x14ac:dyDescent="0.25">
      <c r="P123" s="14"/>
    </row>
    <row r="124" spans="16:16" x14ac:dyDescent="0.25">
      <c r="P124" s="14"/>
    </row>
    <row r="125" spans="16:16" x14ac:dyDescent="0.25">
      <c r="P125" s="14"/>
    </row>
    <row r="126" spans="16:16" x14ac:dyDescent="0.25">
      <c r="P126" s="14"/>
    </row>
    <row r="127" spans="16:16" x14ac:dyDescent="0.25">
      <c r="P127" s="14"/>
    </row>
    <row r="128" spans="16:16" x14ac:dyDescent="0.25">
      <c r="P128" s="14"/>
    </row>
    <row r="129" spans="16:16" x14ac:dyDescent="0.25">
      <c r="P129" s="14"/>
    </row>
    <row r="130" spans="16:16" x14ac:dyDescent="0.25">
      <c r="P130" s="14"/>
    </row>
    <row r="131" spans="16:16" x14ac:dyDescent="0.25">
      <c r="P131" s="14"/>
    </row>
    <row r="132" spans="16:16" x14ac:dyDescent="0.25">
      <c r="P132" s="14"/>
    </row>
    <row r="133" spans="16:16" x14ac:dyDescent="0.25">
      <c r="P133" s="14"/>
    </row>
    <row r="134" spans="16:16" x14ac:dyDescent="0.25">
      <c r="P134" s="14"/>
    </row>
    <row r="135" spans="16:16" x14ac:dyDescent="0.25">
      <c r="P135" s="14"/>
    </row>
    <row r="136" spans="16:16" x14ac:dyDescent="0.25">
      <c r="P136" s="14"/>
    </row>
    <row r="137" spans="16:16" x14ac:dyDescent="0.25">
      <c r="P137" s="14"/>
    </row>
    <row r="138" spans="16:16" x14ac:dyDescent="0.25">
      <c r="P138" s="14"/>
    </row>
    <row r="139" spans="16:16" x14ac:dyDescent="0.25">
      <c r="P139" s="14"/>
    </row>
    <row r="140" spans="16:16" x14ac:dyDescent="0.25">
      <c r="P140" s="14"/>
    </row>
    <row r="141" spans="16:16" x14ac:dyDescent="0.25">
      <c r="P141" s="14"/>
    </row>
    <row r="142" spans="16:16" x14ac:dyDescent="0.25">
      <c r="P142" s="14"/>
    </row>
    <row r="143" spans="16:16" x14ac:dyDescent="0.25">
      <c r="P143" s="14"/>
    </row>
    <row r="144" spans="16:16" x14ac:dyDescent="0.25">
      <c r="P144" s="14"/>
    </row>
    <row r="145" spans="16:16" x14ac:dyDescent="0.25">
      <c r="P145" s="14"/>
    </row>
    <row r="146" spans="16:16" x14ac:dyDescent="0.25">
      <c r="P146" s="14"/>
    </row>
    <row r="147" spans="16:16" x14ac:dyDescent="0.25">
      <c r="P147" s="14"/>
    </row>
    <row r="148" spans="16:16" x14ac:dyDescent="0.25">
      <c r="P148" s="14"/>
    </row>
    <row r="149" spans="16:16" x14ac:dyDescent="0.25">
      <c r="P149" s="14"/>
    </row>
    <row r="150" spans="16:16" x14ac:dyDescent="0.25">
      <c r="P150" s="14"/>
    </row>
    <row r="151" spans="16:16" x14ac:dyDescent="0.25">
      <c r="P151" s="14"/>
    </row>
    <row r="152" spans="16:16" x14ac:dyDescent="0.25">
      <c r="P152" s="14"/>
    </row>
    <row r="153" spans="16:16" x14ac:dyDescent="0.25">
      <c r="P153" s="14"/>
    </row>
    <row r="154" spans="16:16" x14ac:dyDescent="0.25">
      <c r="P154" s="14"/>
    </row>
    <row r="155" spans="16:16" x14ac:dyDescent="0.25">
      <c r="P155" s="14"/>
    </row>
    <row r="156" spans="16:16" x14ac:dyDescent="0.25">
      <c r="P156" s="14"/>
    </row>
    <row r="157" spans="16:16" x14ac:dyDescent="0.25">
      <c r="P157" s="14"/>
    </row>
    <row r="158" spans="16:16" x14ac:dyDescent="0.25">
      <c r="P158" s="14"/>
    </row>
    <row r="159" spans="16:16" x14ac:dyDescent="0.25">
      <c r="P159" s="14"/>
    </row>
    <row r="160" spans="16:16" x14ac:dyDescent="0.25">
      <c r="P160" s="14"/>
    </row>
    <row r="161" spans="16:16" x14ac:dyDescent="0.25">
      <c r="P161" s="14"/>
    </row>
    <row r="162" spans="16:16" x14ac:dyDescent="0.25">
      <c r="P162" s="14"/>
    </row>
    <row r="163" spans="16:16" x14ac:dyDescent="0.25">
      <c r="P163" s="14"/>
    </row>
    <row r="164" spans="16:16" x14ac:dyDescent="0.25">
      <c r="P164" s="14"/>
    </row>
    <row r="165" spans="16:16" x14ac:dyDescent="0.25">
      <c r="P165" s="14"/>
    </row>
    <row r="166" spans="16:16" x14ac:dyDescent="0.25">
      <c r="P166" s="14"/>
    </row>
    <row r="167" spans="16:16" x14ac:dyDescent="0.25">
      <c r="P167" s="14"/>
    </row>
    <row r="168" spans="16:16" x14ac:dyDescent="0.25">
      <c r="P168" s="14"/>
    </row>
    <row r="169" spans="16:16" x14ac:dyDescent="0.25">
      <c r="P169" s="14"/>
    </row>
    <row r="170" spans="16:16" x14ac:dyDescent="0.25">
      <c r="P170" s="14"/>
    </row>
    <row r="171" spans="16:16" x14ac:dyDescent="0.25">
      <c r="P171" s="14"/>
    </row>
    <row r="172" spans="16:16" x14ac:dyDescent="0.25">
      <c r="P172" s="14"/>
    </row>
    <row r="173" spans="16:16" x14ac:dyDescent="0.25">
      <c r="P173" s="14"/>
    </row>
    <row r="174" spans="16:16" x14ac:dyDescent="0.25">
      <c r="P174" s="14"/>
    </row>
    <row r="175" spans="16:16" x14ac:dyDescent="0.25">
      <c r="P175" s="14"/>
    </row>
    <row r="176" spans="16:16" x14ac:dyDescent="0.25">
      <c r="P176" s="14"/>
    </row>
    <row r="177" spans="16:16" x14ac:dyDescent="0.25">
      <c r="P177" s="14"/>
    </row>
    <row r="178" spans="16:16" x14ac:dyDescent="0.25">
      <c r="P178" s="14"/>
    </row>
    <row r="179" spans="16:16" x14ac:dyDescent="0.25">
      <c r="P179" s="14"/>
    </row>
    <row r="180" spans="16:16" x14ac:dyDescent="0.25">
      <c r="P180" s="14"/>
    </row>
    <row r="181" spans="16:16" x14ac:dyDescent="0.25">
      <c r="P181" s="14"/>
    </row>
    <row r="182" spans="16:16" x14ac:dyDescent="0.25">
      <c r="P182" s="14"/>
    </row>
    <row r="183" spans="16:16" x14ac:dyDescent="0.25">
      <c r="P183" s="14"/>
    </row>
    <row r="184" spans="16:16" x14ac:dyDescent="0.25">
      <c r="P184" s="14"/>
    </row>
    <row r="185" spans="16:16" x14ac:dyDescent="0.25">
      <c r="P185" s="14"/>
    </row>
    <row r="186" spans="16:16" x14ac:dyDescent="0.25">
      <c r="P186" s="14"/>
    </row>
    <row r="187" spans="16:16" x14ac:dyDescent="0.25">
      <c r="P187" s="14"/>
    </row>
    <row r="188" spans="16:16" x14ac:dyDescent="0.25">
      <c r="P188" s="14"/>
    </row>
    <row r="189" spans="16:16" x14ac:dyDescent="0.25">
      <c r="P189" s="14"/>
    </row>
    <row r="190" spans="16:16" x14ac:dyDescent="0.25">
      <c r="P190" s="14"/>
    </row>
    <row r="191" spans="16:16" x14ac:dyDescent="0.25">
      <c r="P191" s="14"/>
    </row>
    <row r="192" spans="16:16" x14ac:dyDescent="0.25">
      <c r="P192" s="14"/>
    </row>
    <row r="193" spans="16:16" x14ac:dyDescent="0.25">
      <c r="P193" s="14"/>
    </row>
    <row r="194" spans="16:16" x14ac:dyDescent="0.25">
      <c r="P194" s="14"/>
    </row>
    <row r="195" spans="16:16" x14ac:dyDescent="0.25">
      <c r="P195" s="14"/>
    </row>
    <row r="196" spans="16:16" x14ac:dyDescent="0.25">
      <c r="P196" s="14"/>
    </row>
    <row r="197" spans="16:16" x14ac:dyDescent="0.25">
      <c r="P197" s="14"/>
    </row>
    <row r="198" spans="16:16" x14ac:dyDescent="0.25">
      <c r="P198" s="14"/>
    </row>
    <row r="199" spans="16:16" x14ac:dyDescent="0.25">
      <c r="P199" s="14"/>
    </row>
    <row r="200" spans="16:16" x14ac:dyDescent="0.25">
      <c r="P200" s="14"/>
    </row>
    <row r="201" spans="16:16" x14ac:dyDescent="0.25">
      <c r="P201" s="14"/>
    </row>
    <row r="202" spans="16:16" x14ac:dyDescent="0.25">
      <c r="P202" s="14"/>
    </row>
    <row r="203" spans="16:16" x14ac:dyDescent="0.25">
      <c r="P203" s="14"/>
    </row>
    <row r="204" spans="16:16" x14ac:dyDescent="0.25">
      <c r="P204" s="14"/>
    </row>
    <row r="205" spans="16:16" x14ac:dyDescent="0.25">
      <c r="P205" s="14"/>
    </row>
    <row r="206" spans="16:16" x14ac:dyDescent="0.25">
      <c r="P206" s="14"/>
    </row>
    <row r="207" spans="16:16" x14ac:dyDescent="0.25">
      <c r="P207" s="14"/>
    </row>
    <row r="208" spans="16:16" x14ac:dyDescent="0.25">
      <c r="P208" s="14"/>
    </row>
    <row r="209" spans="16:16" x14ac:dyDescent="0.25">
      <c r="P209" s="14"/>
    </row>
    <row r="210" spans="16:16" x14ac:dyDescent="0.25">
      <c r="P210" s="14"/>
    </row>
    <row r="211" spans="16:16" x14ac:dyDescent="0.25">
      <c r="P211" s="14"/>
    </row>
    <row r="212" spans="16:16" x14ac:dyDescent="0.25">
      <c r="P212" s="14"/>
    </row>
    <row r="213" spans="16:16" x14ac:dyDescent="0.25">
      <c r="P213" s="14"/>
    </row>
    <row r="214" spans="16:16" x14ac:dyDescent="0.25">
      <c r="P214" s="14"/>
    </row>
    <row r="215" spans="16:16" x14ac:dyDescent="0.25">
      <c r="P215" s="14"/>
    </row>
    <row r="216" spans="16:16" x14ac:dyDescent="0.25">
      <c r="P216" s="14"/>
    </row>
    <row r="217" spans="16:16" x14ac:dyDescent="0.25">
      <c r="P217" s="14"/>
    </row>
    <row r="218" spans="16:16" x14ac:dyDescent="0.25">
      <c r="P218" s="14"/>
    </row>
    <row r="219" spans="16:16" x14ac:dyDescent="0.25">
      <c r="P219" s="14"/>
    </row>
    <row r="220" spans="16:16" x14ac:dyDescent="0.25">
      <c r="P220" s="14"/>
    </row>
    <row r="221" spans="16:16" x14ac:dyDescent="0.25">
      <c r="P221" s="14"/>
    </row>
    <row r="222" spans="16:16" x14ac:dyDescent="0.25">
      <c r="P222" s="14"/>
    </row>
    <row r="223" spans="16:16" x14ac:dyDescent="0.25">
      <c r="P223" s="14"/>
    </row>
    <row r="224" spans="16:16" x14ac:dyDescent="0.25">
      <c r="P224" s="14"/>
    </row>
    <row r="225" spans="16:16" x14ac:dyDescent="0.25">
      <c r="P225" s="14"/>
    </row>
    <row r="226" spans="16:16" x14ac:dyDescent="0.25">
      <c r="P226" s="14"/>
    </row>
    <row r="227" spans="16:16" x14ac:dyDescent="0.25">
      <c r="P227" s="14"/>
    </row>
    <row r="228" spans="16:16" x14ac:dyDescent="0.25">
      <c r="P228" s="14"/>
    </row>
    <row r="229" spans="16:16" x14ac:dyDescent="0.25">
      <c r="P229" s="14"/>
    </row>
    <row r="230" spans="16:16" x14ac:dyDescent="0.25">
      <c r="P230" s="14"/>
    </row>
    <row r="231" spans="16:16" x14ac:dyDescent="0.25">
      <c r="P231" s="14"/>
    </row>
    <row r="232" spans="16:16" x14ac:dyDescent="0.25">
      <c r="P232" s="14"/>
    </row>
    <row r="233" spans="16:16" x14ac:dyDescent="0.25">
      <c r="P233" s="14"/>
    </row>
    <row r="234" spans="16:16" x14ac:dyDescent="0.25">
      <c r="P234" s="14"/>
    </row>
    <row r="235" spans="16:16" x14ac:dyDescent="0.25">
      <c r="P235" s="14"/>
    </row>
    <row r="236" spans="16:16" x14ac:dyDescent="0.25">
      <c r="P236" s="14"/>
    </row>
    <row r="237" spans="16:16" x14ac:dyDescent="0.25">
      <c r="P237" s="14"/>
    </row>
    <row r="238" spans="16:16" x14ac:dyDescent="0.25">
      <c r="P238" s="14"/>
    </row>
    <row r="239" spans="16:16" x14ac:dyDescent="0.25">
      <c r="P239" s="14"/>
    </row>
    <row r="240" spans="16:16" x14ac:dyDescent="0.25">
      <c r="P240" s="14"/>
    </row>
    <row r="241" spans="16:16" x14ac:dyDescent="0.25">
      <c r="P241" s="14"/>
    </row>
    <row r="242" spans="16:16" x14ac:dyDescent="0.25">
      <c r="P242" s="14"/>
    </row>
    <row r="243" spans="16:16" x14ac:dyDescent="0.25">
      <c r="P243" s="14"/>
    </row>
    <row r="244" spans="16:16" x14ac:dyDescent="0.25">
      <c r="P244" s="14"/>
    </row>
    <row r="245" spans="16:16" x14ac:dyDescent="0.25">
      <c r="P245" s="14"/>
    </row>
    <row r="246" spans="16:16" x14ac:dyDescent="0.25">
      <c r="P246" s="14"/>
    </row>
    <row r="247" spans="16:16" x14ac:dyDescent="0.25">
      <c r="P247" s="14"/>
    </row>
    <row r="248" spans="16:16" x14ac:dyDescent="0.25">
      <c r="P248" s="14"/>
    </row>
    <row r="249" spans="16:16" x14ac:dyDescent="0.25">
      <c r="P249" s="14"/>
    </row>
    <row r="250" spans="16:16" x14ac:dyDescent="0.25">
      <c r="P250" s="14"/>
    </row>
    <row r="251" spans="16:16" x14ac:dyDescent="0.25">
      <c r="P251" s="14"/>
    </row>
    <row r="252" spans="16:16" x14ac:dyDescent="0.25">
      <c r="P252" s="14"/>
    </row>
    <row r="253" spans="16:16" x14ac:dyDescent="0.25">
      <c r="P253" s="14"/>
    </row>
    <row r="254" spans="16:16" x14ac:dyDescent="0.25">
      <c r="P254" s="14"/>
    </row>
    <row r="255" spans="16:16" x14ac:dyDescent="0.25">
      <c r="P255" s="14"/>
    </row>
    <row r="256" spans="16:16" x14ac:dyDescent="0.25">
      <c r="P256" s="14"/>
    </row>
    <row r="257" spans="16:16" x14ac:dyDescent="0.25">
      <c r="P257" s="14"/>
    </row>
    <row r="258" spans="16:16" x14ac:dyDescent="0.25">
      <c r="P258" s="14"/>
    </row>
    <row r="259" spans="16:16" x14ac:dyDescent="0.25">
      <c r="P259" s="14"/>
    </row>
    <row r="260" spans="16:16" x14ac:dyDescent="0.25">
      <c r="P260" s="14"/>
    </row>
    <row r="261" spans="16:16" x14ac:dyDescent="0.25">
      <c r="P261" s="14"/>
    </row>
    <row r="262" spans="16:16" x14ac:dyDescent="0.25">
      <c r="P262" s="14"/>
    </row>
    <row r="263" spans="16:16" x14ac:dyDescent="0.25">
      <c r="P263" s="14"/>
    </row>
    <row r="264" spans="16:16" x14ac:dyDescent="0.25">
      <c r="P264" s="14"/>
    </row>
    <row r="265" spans="16:16" x14ac:dyDescent="0.25">
      <c r="P265" s="14"/>
    </row>
    <row r="266" spans="16:16" x14ac:dyDescent="0.25">
      <c r="P266" s="14"/>
    </row>
    <row r="267" spans="16:16" x14ac:dyDescent="0.25">
      <c r="P267" s="14"/>
    </row>
    <row r="268" spans="16:16" x14ac:dyDescent="0.25">
      <c r="P268" s="14"/>
    </row>
    <row r="269" spans="16:16" x14ac:dyDescent="0.25">
      <c r="P269" s="14"/>
    </row>
    <row r="270" spans="16:16" x14ac:dyDescent="0.25">
      <c r="P270" s="14"/>
    </row>
    <row r="271" spans="16:16" x14ac:dyDescent="0.25">
      <c r="P271" s="14"/>
    </row>
    <row r="272" spans="16:16" x14ac:dyDescent="0.25">
      <c r="P272" s="14"/>
    </row>
    <row r="273" spans="16:16" x14ac:dyDescent="0.25">
      <c r="P273" s="14"/>
    </row>
    <row r="274" spans="16:16" x14ac:dyDescent="0.25">
      <c r="P274" s="14"/>
    </row>
    <row r="275" spans="16:16" x14ac:dyDescent="0.25">
      <c r="P275" s="14"/>
    </row>
    <row r="276" spans="16:16" x14ac:dyDescent="0.25">
      <c r="P276" s="14"/>
    </row>
    <row r="277" spans="16:16" x14ac:dyDescent="0.25">
      <c r="P277" s="14"/>
    </row>
    <row r="278" spans="16:16" x14ac:dyDescent="0.25">
      <c r="P278" s="14"/>
    </row>
    <row r="279" spans="16:16" x14ac:dyDescent="0.25">
      <c r="P279" s="14"/>
    </row>
    <row r="280" spans="16:16" x14ac:dyDescent="0.25">
      <c r="P280" s="14"/>
    </row>
    <row r="281" spans="16:16" x14ac:dyDescent="0.25">
      <c r="P281" s="14"/>
    </row>
    <row r="282" spans="16:16" x14ac:dyDescent="0.25">
      <c r="P282" s="14"/>
    </row>
    <row r="283" spans="16:16" x14ac:dyDescent="0.25">
      <c r="P283" s="14"/>
    </row>
    <row r="284" spans="16:16" x14ac:dyDescent="0.25">
      <c r="P284" s="14"/>
    </row>
    <row r="285" spans="16:16" x14ac:dyDescent="0.25">
      <c r="P285" s="14"/>
    </row>
    <row r="286" spans="16:16" x14ac:dyDescent="0.25">
      <c r="P286" s="14"/>
    </row>
    <row r="287" spans="16:16" x14ac:dyDescent="0.25">
      <c r="P287" s="14"/>
    </row>
    <row r="288" spans="16:16" x14ac:dyDescent="0.25">
      <c r="P288" s="14"/>
    </row>
    <row r="289" spans="16:16" x14ac:dyDescent="0.25">
      <c r="P289" s="14"/>
    </row>
    <row r="290" spans="16:16" x14ac:dyDescent="0.25">
      <c r="P290" s="14"/>
    </row>
    <row r="291" spans="16:16" x14ac:dyDescent="0.25">
      <c r="P291" s="14"/>
    </row>
    <row r="292" spans="16:16" x14ac:dyDescent="0.25">
      <c r="P292" s="14"/>
    </row>
    <row r="293" spans="16:16" x14ac:dyDescent="0.25">
      <c r="P293" s="14"/>
    </row>
    <row r="294" spans="16:16" x14ac:dyDescent="0.25">
      <c r="P294" s="14"/>
    </row>
    <row r="295" spans="16:16" x14ac:dyDescent="0.25">
      <c r="P295" s="14"/>
    </row>
    <row r="296" spans="16:16" x14ac:dyDescent="0.25">
      <c r="P296" s="14"/>
    </row>
    <row r="297" spans="16:16" x14ac:dyDescent="0.25">
      <c r="P297" s="14"/>
    </row>
    <row r="298" spans="16:16" x14ac:dyDescent="0.25">
      <c r="P298" s="14"/>
    </row>
    <row r="299" spans="16:16" x14ac:dyDescent="0.25">
      <c r="P299" s="14"/>
    </row>
    <row r="300" spans="16:16" x14ac:dyDescent="0.25">
      <c r="P300" s="14"/>
    </row>
    <row r="301" spans="16:16" x14ac:dyDescent="0.25">
      <c r="P301" s="14"/>
    </row>
    <row r="302" spans="16:16" x14ac:dyDescent="0.25">
      <c r="P302" s="14"/>
    </row>
    <row r="303" spans="16:16" x14ac:dyDescent="0.25">
      <c r="P303" s="14"/>
    </row>
    <row r="304" spans="16:16" x14ac:dyDescent="0.25">
      <c r="P304" s="14"/>
    </row>
    <row r="305" spans="16:16" x14ac:dyDescent="0.25">
      <c r="P305" s="14"/>
    </row>
    <row r="306" spans="16:16" x14ac:dyDescent="0.25">
      <c r="P306" s="14"/>
    </row>
    <row r="307" spans="16:16" x14ac:dyDescent="0.25">
      <c r="P307" s="14"/>
    </row>
    <row r="308" spans="16:16" x14ac:dyDescent="0.25">
      <c r="P308" s="14"/>
    </row>
    <row r="309" spans="16:16" x14ac:dyDescent="0.25">
      <c r="P309" s="14"/>
    </row>
    <row r="310" spans="16:16" x14ac:dyDescent="0.25">
      <c r="P310" s="14"/>
    </row>
    <row r="311" spans="16:16" x14ac:dyDescent="0.25">
      <c r="P311" s="14"/>
    </row>
    <row r="312" spans="16:16" x14ac:dyDescent="0.25">
      <c r="P312" s="14"/>
    </row>
    <row r="313" spans="16:16" x14ac:dyDescent="0.25">
      <c r="P313" s="14"/>
    </row>
    <row r="314" spans="16:16" x14ac:dyDescent="0.25">
      <c r="P314" s="14"/>
    </row>
    <row r="315" spans="16:16" x14ac:dyDescent="0.25">
      <c r="P315" s="14"/>
    </row>
    <row r="316" spans="16:16" x14ac:dyDescent="0.25">
      <c r="P316" s="14"/>
    </row>
    <row r="317" spans="16:16" x14ac:dyDescent="0.25">
      <c r="P317" s="14"/>
    </row>
    <row r="318" spans="16:16" x14ac:dyDescent="0.25">
      <c r="P318" s="14"/>
    </row>
    <row r="319" spans="16:16" x14ac:dyDescent="0.25">
      <c r="P319" s="14"/>
    </row>
    <row r="320" spans="16:16" x14ac:dyDescent="0.25">
      <c r="P320" s="14"/>
    </row>
    <row r="321" spans="16:16" x14ac:dyDescent="0.25">
      <c r="P321" s="14"/>
    </row>
    <row r="322" spans="16:16" x14ac:dyDescent="0.25">
      <c r="P322" s="14"/>
    </row>
    <row r="323" spans="16:16" x14ac:dyDescent="0.25">
      <c r="P323" s="14"/>
    </row>
    <row r="324" spans="16:16" x14ac:dyDescent="0.25">
      <c r="P324" s="14"/>
    </row>
    <row r="325" spans="16:16" x14ac:dyDescent="0.25">
      <c r="P325" s="14"/>
    </row>
    <row r="326" spans="16:16" x14ac:dyDescent="0.25">
      <c r="P326" s="14"/>
    </row>
    <row r="327" spans="16:16" x14ac:dyDescent="0.25">
      <c r="P327" s="14"/>
    </row>
    <row r="328" spans="16:16" x14ac:dyDescent="0.25">
      <c r="P328" s="14"/>
    </row>
    <row r="329" spans="16:16" x14ac:dyDescent="0.25">
      <c r="P329" s="14"/>
    </row>
    <row r="330" spans="16:16" x14ac:dyDescent="0.25">
      <c r="P330" s="14"/>
    </row>
    <row r="331" spans="16:16" x14ac:dyDescent="0.25">
      <c r="P331" s="14"/>
    </row>
    <row r="332" spans="16:16" x14ac:dyDescent="0.25">
      <c r="P332" s="14"/>
    </row>
    <row r="333" spans="16:16" x14ac:dyDescent="0.25">
      <c r="P333" s="14"/>
    </row>
    <row r="334" spans="16:16" x14ac:dyDescent="0.25">
      <c r="P334" s="14"/>
    </row>
    <row r="335" spans="16:16" x14ac:dyDescent="0.25">
      <c r="P335" s="14"/>
    </row>
    <row r="336" spans="16:16" x14ac:dyDescent="0.25">
      <c r="P336" s="14"/>
    </row>
    <row r="337" spans="16:16" x14ac:dyDescent="0.25">
      <c r="P337" s="14"/>
    </row>
    <row r="338" spans="16:16" x14ac:dyDescent="0.25">
      <c r="P338" s="14"/>
    </row>
    <row r="339" spans="16:16" x14ac:dyDescent="0.25">
      <c r="P339" s="14"/>
    </row>
    <row r="340" spans="16:16" x14ac:dyDescent="0.25">
      <c r="P340" s="14"/>
    </row>
    <row r="341" spans="16:16" x14ac:dyDescent="0.25">
      <c r="P341" s="14"/>
    </row>
    <row r="342" spans="16:16" x14ac:dyDescent="0.25">
      <c r="P342" s="14"/>
    </row>
    <row r="343" spans="16:16" x14ac:dyDescent="0.25">
      <c r="P343" s="14"/>
    </row>
    <row r="344" spans="16:16" x14ac:dyDescent="0.25">
      <c r="P344" s="14"/>
    </row>
    <row r="345" spans="16:16" x14ac:dyDescent="0.25">
      <c r="P345" s="14"/>
    </row>
    <row r="346" spans="16:16" x14ac:dyDescent="0.25">
      <c r="P346" s="14"/>
    </row>
    <row r="347" spans="16:16" x14ac:dyDescent="0.25">
      <c r="P347" s="14"/>
    </row>
    <row r="348" spans="16:16" x14ac:dyDescent="0.25">
      <c r="P348" s="14"/>
    </row>
    <row r="349" spans="16:16" x14ac:dyDescent="0.25">
      <c r="P349" s="14"/>
    </row>
    <row r="350" spans="16:16" x14ac:dyDescent="0.25">
      <c r="P350" s="14"/>
    </row>
    <row r="351" spans="16:16" x14ac:dyDescent="0.25">
      <c r="P351" s="14"/>
    </row>
    <row r="352" spans="16:16" x14ac:dyDescent="0.25">
      <c r="P352" s="14"/>
    </row>
    <row r="353" spans="16:16" x14ac:dyDescent="0.25">
      <c r="P353" s="14"/>
    </row>
    <row r="354" spans="16:16" x14ac:dyDescent="0.25">
      <c r="P354" s="14"/>
    </row>
    <row r="355" spans="16:16" x14ac:dyDescent="0.25">
      <c r="P355" s="14"/>
    </row>
    <row r="356" spans="16:16" x14ac:dyDescent="0.25">
      <c r="P356" s="14"/>
    </row>
    <row r="357" spans="16:16" x14ac:dyDescent="0.25">
      <c r="P357" s="14"/>
    </row>
    <row r="358" spans="16:16" x14ac:dyDescent="0.25">
      <c r="P358" s="14"/>
    </row>
    <row r="359" spans="16:16" x14ac:dyDescent="0.25">
      <c r="P359" s="14"/>
    </row>
    <row r="360" spans="16:16" x14ac:dyDescent="0.25">
      <c r="P360" s="14"/>
    </row>
    <row r="361" spans="16:16" x14ac:dyDescent="0.25">
      <c r="P361" s="14"/>
    </row>
    <row r="362" spans="16:16" x14ac:dyDescent="0.25">
      <c r="P362" s="14"/>
    </row>
    <row r="363" spans="16:16" x14ac:dyDescent="0.25">
      <c r="P363" s="14"/>
    </row>
    <row r="364" spans="16:16" x14ac:dyDescent="0.25">
      <c r="P364" s="14"/>
    </row>
    <row r="365" spans="16:16" x14ac:dyDescent="0.25">
      <c r="P365" s="14"/>
    </row>
    <row r="366" spans="16:16" x14ac:dyDescent="0.25">
      <c r="P366" s="14"/>
    </row>
    <row r="367" spans="16:16" x14ac:dyDescent="0.25">
      <c r="P367" s="14"/>
    </row>
    <row r="368" spans="16:16" x14ac:dyDescent="0.25">
      <c r="P368" s="14"/>
    </row>
    <row r="369" spans="16:16" x14ac:dyDescent="0.25">
      <c r="P369" s="14"/>
    </row>
    <row r="370" spans="16:16" x14ac:dyDescent="0.25">
      <c r="P370" s="14"/>
    </row>
    <row r="371" spans="16:16" x14ac:dyDescent="0.25">
      <c r="P371" s="14"/>
    </row>
    <row r="372" spans="16:16" x14ac:dyDescent="0.25">
      <c r="P372" s="14"/>
    </row>
    <row r="373" spans="16:16" x14ac:dyDescent="0.25">
      <c r="P373" s="14"/>
    </row>
    <row r="374" spans="16:16" x14ac:dyDescent="0.25">
      <c r="P374" s="14"/>
    </row>
    <row r="375" spans="16:16" x14ac:dyDescent="0.25">
      <c r="P375" s="14"/>
    </row>
    <row r="376" spans="16:16" x14ac:dyDescent="0.25">
      <c r="P376" s="14"/>
    </row>
    <row r="377" spans="16:16" x14ac:dyDescent="0.25">
      <c r="P377" s="14"/>
    </row>
    <row r="378" spans="16:16" x14ac:dyDescent="0.25">
      <c r="P378" s="14"/>
    </row>
    <row r="379" spans="16:16" x14ac:dyDescent="0.25">
      <c r="P379" s="14"/>
    </row>
    <row r="380" spans="16:16" x14ac:dyDescent="0.25">
      <c r="P380" s="14"/>
    </row>
    <row r="381" spans="16:16" x14ac:dyDescent="0.25">
      <c r="P381" s="14"/>
    </row>
    <row r="382" spans="16:16" x14ac:dyDescent="0.25">
      <c r="P382" s="14"/>
    </row>
    <row r="383" spans="16:16" x14ac:dyDescent="0.25">
      <c r="P383" s="14"/>
    </row>
    <row r="384" spans="16:16" x14ac:dyDescent="0.25">
      <c r="P384" s="14"/>
    </row>
    <row r="385" spans="16:16" x14ac:dyDescent="0.25">
      <c r="P385" s="14"/>
    </row>
    <row r="386" spans="16:16" x14ac:dyDescent="0.25">
      <c r="P386" s="14"/>
    </row>
    <row r="387" spans="16:16" x14ac:dyDescent="0.25">
      <c r="P387" s="14"/>
    </row>
    <row r="388" spans="16:16" x14ac:dyDescent="0.25">
      <c r="P388" s="14"/>
    </row>
    <row r="389" spans="16:16" x14ac:dyDescent="0.25">
      <c r="P389" s="14"/>
    </row>
    <row r="390" spans="16:16" x14ac:dyDescent="0.25">
      <c r="P390" s="14"/>
    </row>
    <row r="391" spans="16:16" x14ac:dyDescent="0.25">
      <c r="P391" s="14"/>
    </row>
    <row r="392" spans="16:16" x14ac:dyDescent="0.25">
      <c r="P392" s="14"/>
    </row>
    <row r="393" spans="16:16" x14ac:dyDescent="0.25">
      <c r="P393" s="14"/>
    </row>
    <row r="394" spans="16:16" x14ac:dyDescent="0.25">
      <c r="P394" s="14"/>
    </row>
    <row r="395" spans="16:16" x14ac:dyDescent="0.25">
      <c r="P395" s="14"/>
    </row>
    <row r="396" spans="16:16" x14ac:dyDescent="0.25">
      <c r="P396" s="14"/>
    </row>
    <row r="397" spans="16:16" x14ac:dyDescent="0.25">
      <c r="P397" s="14"/>
    </row>
    <row r="398" spans="16:16" x14ac:dyDescent="0.25">
      <c r="P398" s="14"/>
    </row>
    <row r="399" spans="16:16" x14ac:dyDescent="0.25">
      <c r="P399" s="14"/>
    </row>
    <row r="400" spans="16:16" x14ac:dyDescent="0.25">
      <c r="P400" s="14"/>
    </row>
    <row r="401" spans="16:16" x14ac:dyDescent="0.25">
      <c r="P401" s="14"/>
    </row>
    <row r="402" spans="16:16" x14ac:dyDescent="0.25">
      <c r="P402" s="14"/>
    </row>
    <row r="403" spans="16:16" x14ac:dyDescent="0.25">
      <c r="P403" s="14"/>
    </row>
    <row r="404" spans="16:16" x14ac:dyDescent="0.25">
      <c r="P404" s="14"/>
    </row>
    <row r="405" spans="16:16" x14ac:dyDescent="0.25">
      <c r="P405" s="14"/>
    </row>
    <row r="406" spans="16:16" x14ac:dyDescent="0.25">
      <c r="P406" s="14"/>
    </row>
    <row r="407" spans="16:16" x14ac:dyDescent="0.25">
      <c r="P407" s="14"/>
    </row>
    <row r="408" spans="16:16" x14ac:dyDescent="0.25">
      <c r="P408" s="14"/>
    </row>
    <row r="409" spans="16:16" x14ac:dyDescent="0.25">
      <c r="P409" s="14"/>
    </row>
    <row r="410" spans="16:16" x14ac:dyDescent="0.25">
      <c r="P410" s="14"/>
    </row>
    <row r="411" spans="16:16" x14ac:dyDescent="0.25">
      <c r="P411" s="14"/>
    </row>
    <row r="412" spans="16:16" x14ac:dyDescent="0.25">
      <c r="P412" s="14"/>
    </row>
    <row r="413" spans="16:16" x14ac:dyDescent="0.25">
      <c r="P413" s="14"/>
    </row>
    <row r="414" spans="16:16" x14ac:dyDescent="0.25">
      <c r="P414" s="14"/>
    </row>
    <row r="415" spans="16:16" x14ac:dyDescent="0.25">
      <c r="P415" s="14"/>
    </row>
    <row r="416" spans="16:16" x14ac:dyDescent="0.25">
      <c r="P416" s="14"/>
    </row>
    <row r="417" spans="16:16" x14ac:dyDescent="0.25">
      <c r="P417" s="14"/>
    </row>
    <row r="418" spans="16:16" x14ac:dyDescent="0.25">
      <c r="P418" s="14"/>
    </row>
    <row r="419" spans="16:16" x14ac:dyDescent="0.25">
      <c r="P419" s="14"/>
    </row>
    <row r="420" spans="16:16" x14ac:dyDescent="0.25">
      <c r="P420" s="14"/>
    </row>
    <row r="421" spans="16:16" x14ac:dyDescent="0.25">
      <c r="P421" s="14"/>
    </row>
    <row r="422" spans="16:16" x14ac:dyDescent="0.25">
      <c r="P422" s="14"/>
    </row>
    <row r="423" spans="16:16" x14ac:dyDescent="0.25">
      <c r="P423" s="14"/>
    </row>
    <row r="424" spans="16:16" x14ac:dyDescent="0.25">
      <c r="P424" s="14"/>
    </row>
    <row r="425" spans="16:16" x14ac:dyDescent="0.25">
      <c r="P425" s="14"/>
    </row>
    <row r="426" spans="16:16" x14ac:dyDescent="0.25">
      <c r="P426" s="14"/>
    </row>
    <row r="427" spans="16:16" x14ac:dyDescent="0.25">
      <c r="P427" s="14"/>
    </row>
    <row r="428" spans="16:16" x14ac:dyDescent="0.25">
      <c r="P428" s="14"/>
    </row>
    <row r="429" spans="16:16" x14ac:dyDescent="0.25">
      <c r="P429" s="14"/>
    </row>
    <row r="430" spans="16:16" x14ac:dyDescent="0.25">
      <c r="P430" s="14"/>
    </row>
    <row r="431" spans="16:16" x14ac:dyDescent="0.25">
      <c r="P431" s="14"/>
    </row>
    <row r="432" spans="16:16" x14ac:dyDescent="0.25">
      <c r="P432" s="14"/>
    </row>
    <row r="433" spans="16:16" x14ac:dyDescent="0.25">
      <c r="P433" s="14"/>
    </row>
    <row r="434" spans="16:16" x14ac:dyDescent="0.25">
      <c r="P434" s="14"/>
    </row>
    <row r="435" spans="16:16" x14ac:dyDescent="0.25">
      <c r="P435" s="14"/>
    </row>
    <row r="436" spans="16:16" x14ac:dyDescent="0.25">
      <c r="P436" s="14"/>
    </row>
    <row r="437" spans="16:16" x14ac:dyDescent="0.25">
      <c r="P437" s="14"/>
    </row>
    <row r="438" spans="16:16" x14ac:dyDescent="0.25">
      <c r="P438" s="14"/>
    </row>
    <row r="439" spans="16:16" x14ac:dyDescent="0.25">
      <c r="P439" s="14"/>
    </row>
    <row r="440" spans="16:16" x14ac:dyDescent="0.25">
      <c r="P440" s="14"/>
    </row>
    <row r="441" spans="16:16" x14ac:dyDescent="0.25">
      <c r="P441" s="14"/>
    </row>
    <row r="442" spans="16:16" x14ac:dyDescent="0.25">
      <c r="P442" s="14"/>
    </row>
    <row r="443" spans="16:16" x14ac:dyDescent="0.25">
      <c r="P443" s="14"/>
    </row>
    <row r="444" spans="16:16" x14ac:dyDescent="0.25">
      <c r="P444" s="14"/>
    </row>
    <row r="445" spans="16:16" x14ac:dyDescent="0.25">
      <c r="P445" s="14"/>
    </row>
    <row r="446" spans="16:16" x14ac:dyDescent="0.25">
      <c r="P446" s="14"/>
    </row>
    <row r="447" spans="16:16" x14ac:dyDescent="0.25">
      <c r="P447" s="14"/>
    </row>
    <row r="448" spans="16:16" x14ac:dyDescent="0.25">
      <c r="P448" s="14"/>
    </row>
    <row r="449" spans="16:16" x14ac:dyDescent="0.25">
      <c r="P449" s="14"/>
    </row>
    <row r="450" spans="16:16" x14ac:dyDescent="0.25">
      <c r="P450" s="14"/>
    </row>
    <row r="451" spans="16:16" x14ac:dyDescent="0.25">
      <c r="P451" s="14"/>
    </row>
    <row r="452" spans="16:16" x14ac:dyDescent="0.25">
      <c r="P452" s="14"/>
    </row>
    <row r="453" spans="16:16" x14ac:dyDescent="0.25">
      <c r="P453" s="14"/>
    </row>
    <row r="454" spans="16:16" x14ac:dyDescent="0.25">
      <c r="P454" s="14"/>
    </row>
    <row r="455" spans="16:16" x14ac:dyDescent="0.25">
      <c r="P455" s="14"/>
    </row>
    <row r="456" spans="16:16" x14ac:dyDescent="0.25">
      <c r="P456" s="14"/>
    </row>
    <row r="457" spans="16:16" x14ac:dyDescent="0.25">
      <c r="P457" s="14"/>
    </row>
    <row r="458" spans="16:16" x14ac:dyDescent="0.25">
      <c r="P458" s="14"/>
    </row>
    <row r="459" spans="16:16" x14ac:dyDescent="0.25">
      <c r="P459" s="14"/>
    </row>
    <row r="460" spans="16:16" x14ac:dyDescent="0.25">
      <c r="P460" s="14"/>
    </row>
    <row r="461" spans="16:16" x14ac:dyDescent="0.25">
      <c r="P461" s="14"/>
    </row>
    <row r="462" spans="16:16" x14ac:dyDescent="0.25">
      <c r="P462" s="14"/>
    </row>
    <row r="463" spans="16:16" x14ac:dyDescent="0.25">
      <c r="P463" s="14"/>
    </row>
    <row r="464" spans="16:16" x14ac:dyDescent="0.25">
      <c r="P464" s="14"/>
    </row>
    <row r="465" spans="16:16" x14ac:dyDescent="0.25">
      <c r="P465" s="14"/>
    </row>
    <row r="466" spans="16:16" x14ac:dyDescent="0.25">
      <c r="P466" s="14"/>
    </row>
    <row r="467" spans="16:16" x14ac:dyDescent="0.25">
      <c r="P467" s="14"/>
    </row>
    <row r="468" spans="16:16" x14ac:dyDescent="0.25">
      <c r="P468" s="14"/>
    </row>
    <row r="469" spans="16:16" x14ac:dyDescent="0.25">
      <c r="P469" s="14"/>
    </row>
    <row r="470" spans="16:16" x14ac:dyDescent="0.25">
      <c r="P470" s="14"/>
    </row>
    <row r="471" spans="16:16" x14ac:dyDescent="0.25">
      <c r="P471" s="14"/>
    </row>
    <row r="472" spans="16:16" x14ac:dyDescent="0.25">
      <c r="P472" s="14"/>
    </row>
    <row r="473" spans="16:16" x14ac:dyDescent="0.25">
      <c r="P473" s="14"/>
    </row>
    <row r="474" spans="16:16" x14ac:dyDescent="0.25">
      <c r="P474" s="14"/>
    </row>
    <row r="475" spans="16:16" x14ac:dyDescent="0.25">
      <c r="P475" s="14"/>
    </row>
    <row r="476" spans="16:16" x14ac:dyDescent="0.25">
      <c r="P476" s="14"/>
    </row>
    <row r="477" spans="16:16" x14ac:dyDescent="0.25">
      <c r="P477" s="14"/>
    </row>
    <row r="478" spans="16:16" x14ac:dyDescent="0.25">
      <c r="P478" s="14"/>
    </row>
    <row r="479" spans="16:16" x14ac:dyDescent="0.25">
      <c r="P479" s="14"/>
    </row>
    <row r="480" spans="16:16" x14ac:dyDescent="0.25">
      <c r="P480" s="14"/>
    </row>
    <row r="481" spans="16:16" x14ac:dyDescent="0.25">
      <c r="P481" s="14"/>
    </row>
    <row r="482" spans="16:16" x14ac:dyDescent="0.25">
      <c r="P482" s="14"/>
    </row>
    <row r="483" spans="16:16" x14ac:dyDescent="0.25">
      <c r="P483" s="14"/>
    </row>
    <row r="484" spans="16:16" x14ac:dyDescent="0.25">
      <c r="P484" s="14"/>
    </row>
    <row r="485" spans="16:16" x14ac:dyDescent="0.25">
      <c r="P485" s="14"/>
    </row>
    <row r="486" spans="16:16" x14ac:dyDescent="0.25">
      <c r="P486" s="14"/>
    </row>
    <row r="487" spans="16:16" x14ac:dyDescent="0.25">
      <c r="P487" s="14"/>
    </row>
    <row r="488" spans="16:16" x14ac:dyDescent="0.25">
      <c r="P488" s="14"/>
    </row>
    <row r="489" spans="16:16" x14ac:dyDescent="0.25">
      <c r="P489" s="14"/>
    </row>
    <row r="490" spans="16:16" x14ac:dyDescent="0.25">
      <c r="P490" s="14"/>
    </row>
    <row r="491" spans="16:16" x14ac:dyDescent="0.25">
      <c r="P491" s="14"/>
    </row>
    <row r="492" spans="16:16" x14ac:dyDescent="0.25">
      <c r="P492" s="14"/>
    </row>
    <row r="493" spans="16:16" x14ac:dyDescent="0.25">
      <c r="P493" s="14"/>
    </row>
    <row r="494" spans="16:16" x14ac:dyDescent="0.25">
      <c r="P494" s="14"/>
    </row>
    <row r="495" spans="16:16" x14ac:dyDescent="0.25">
      <c r="P495" s="14"/>
    </row>
    <row r="496" spans="16:16" x14ac:dyDescent="0.25">
      <c r="P496" s="14"/>
    </row>
    <row r="497" spans="16:16" x14ac:dyDescent="0.25">
      <c r="P497" s="14"/>
    </row>
    <row r="498" spans="16:16" x14ac:dyDescent="0.25">
      <c r="P498" s="14"/>
    </row>
    <row r="499" spans="16:16" x14ac:dyDescent="0.25">
      <c r="P499" s="14"/>
    </row>
    <row r="500" spans="16:16" x14ac:dyDescent="0.25">
      <c r="P500" s="14"/>
    </row>
    <row r="501" spans="16:16" x14ac:dyDescent="0.25">
      <c r="P501" s="14"/>
    </row>
    <row r="502" spans="16:16" x14ac:dyDescent="0.25">
      <c r="P502" s="14"/>
    </row>
    <row r="503" spans="16:16" x14ac:dyDescent="0.25">
      <c r="P503" s="14"/>
    </row>
    <row r="504" spans="16:16" x14ac:dyDescent="0.25">
      <c r="P504" s="14"/>
    </row>
    <row r="505" spans="16:16" x14ac:dyDescent="0.25">
      <c r="P505" s="14"/>
    </row>
    <row r="506" spans="16:16" x14ac:dyDescent="0.25">
      <c r="P506" s="14"/>
    </row>
    <row r="507" spans="16:16" x14ac:dyDescent="0.25">
      <c r="P507" s="14"/>
    </row>
    <row r="508" spans="16:16" x14ac:dyDescent="0.25">
      <c r="P508" s="14"/>
    </row>
    <row r="509" spans="16:16" x14ac:dyDescent="0.25">
      <c r="P509" s="14"/>
    </row>
    <row r="510" spans="16:16" x14ac:dyDescent="0.25">
      <c r="P510" s="14"/>
    </row>
    <row r="511" spans="16:16" x14ac:dyDescent="0.25">
      <c r="P511" s="14"/>
    </row>
    <row r="512" spans="16:16" x14ac:dyDescent="0.25">
      <c r="P512" s="14"/>
    </row>
    <row r="513" spans="16:16" x14ac:dyDescent="0.25">
      <c r="P513" s="14"/>
    </row>
    <row r="514" spans="16:16" x14ac:dyDescent="0.25">
      <c r="P514" s="14"/>
    </row>
    <row r="515" spans="16:16" x14ac:dyDescent="0.25">
      <c r="P515" s="14"/>
    </row>
    <row r="516" spans="16:16" x14ac:dyDescent="0.25">
      <c r="P516" s="14"/>
    </row>
    <row r="517" spans="16:16" x14ac:dyDescent="0.25">
      <c r="P517" s="14"/>
    </row>
    <row r="518" spans="16:16" x14ac:dyDescent="0.25">
      <c r="P518" s="14"/>
    </row>
    <row r="519" spans="16:16" x14ac:dyDescent="0.25">
      <c r="P519" s="14"/>
    </row>
    <row r="520" spans="16:16" x14ac:dyDescent="0.25">
      <c r="P520" s="14"/>
    </row>
    <row r="521" spans="16:16" x14ac:dyDescent="0.25">
      <c r="P521" s="14"/>
    </row>
    <row r="522" spans="16:16" x14ac:dyDescent="0.25">
      <c r="P522" s="14"/>
    </row>
    <row r="523" spans="16:16" x14ac:dyDescent="0.25">
      <c r="P523" s="14"/>
    </row>
    <row r="524" spans="16:16" x14ac:dyDescent="0.25">
      <c r="P524" s="14"/>
    </row>
    <row r="525" spans="16:16" x14ac:dyDescent="0.25">
      <c r="P525" s="14"/>
    </row>
    <row r="526" spans="16:16" x14ac:dyDescent="0.25">
      <c r="P526" s="14"/>
    </row>
    <row r="527" spans="16:16" x14ac:dyDescent="0.25">
      <c r="P527" s="14"/>
    </row>
    <row r="528" spans="16:16" x14ac:dyDescent="0.25">
      <c r="P528" s="14"/>
    </row>
    <row r="529" spans="16:16" x14ac:dyDescent="0.25">
      <c r="P529" s="14"/>
    </row>
    <row r="530" spans="16:16" x14ac:dyDescent="0.25">
      <c r="P530" s="14"/>
    </row>
    <row r="531" spans="16:16" x14ac:dyDescent="0.25">
      <c r="P531" s="14"/>
    </row>
    <row r="532" spans="16:16" x14ac:dyDescent="0.25">
      <c r="P532" s="14"/>
    </row>
    <row r="533" spans="16:16" x14ac:dyDescent="0.25">
      <c r="P533" s="14"/>
    </row>
    <row r="534" spans="16:16" x14ac:dyDescent="0.25">
      <c r="P534" s="14"/>
    </row>
    <row r="535" spans="16:16" x14ac:dyDescent="0.25">
      <c r="P535" s="14"/>
    </row>
    <row r="536" spans="16:16" x14ac:dyDescent="0.25">
      <c r="P536" s="14"/>
    </row>
    <row r="537" spans="16:16" x14ac:dyDescent="0.25">
      <c r="P537" s="14"/>
    </row>
    <row r="538" spans="16:16" x14ac:dyDescent="0.25">
      <c r="P538" s="14"/>
    </row>
    <row r="539" spans="16:16" x14ac:dyDescent="0.25">
      <c r="P539" s="14"/>
    </row>
    <row r="540" spans="16:16" x14ac:dyDescent="0.25">
      <c r="P540" s="14"/>
    </row>
    <row r="541" spans="16:16" x14ac:dyDescent="0.25">
      <c r="P541" s="14"/>
    </row>
    <row r="542" spans="16:16" x14ac:dyDescent="0.25">
      <c r="P542" s="14"/>
    </row>
    <row r="543" spans="16:16" x14ac:dyDescent="0.25">
      <c r="P543" s="14"/>
    </row>
    <row r="544" spans="16:16" x14ac:dyDescent="0.25">
      <c r="P544" s="14"/>
    </row>
    <row r="545" spans="16:16" x14ac:dyDescent="0.25">
      <c r="P545" s="14"/>
    </row>
    <row r="546" spans="16:16" x14ac:dyDescent="0.25">
      <c r="P546" s="14"/>
    </row>
    <row r="547" spans="16:16" x14ac:dyDescent="0.25">
      <c r="P547" s="14"/>
    </row>
    <row r="548" spans="16:16" x14ac:dyDescent="0.25">
      <c r="P548" s="14"/>
    </row>
    <row r="549" spans="16:16" x14ac:dyDescent="0.25">
      <c r="P549" s="14"/>
    </row>
    <row r="550" spans="16:16" x14ac:dyDescent="0.25">
      <c r="P550" s="14"/>
    </row>
    <row r="551" spans="16:16" x14ac:dyDescent="0.25">
      <c r="P551" s="14"/>
    </row>
    <row r="552" spans="16:16" x14ac:dyDescent="0.25">
      <c r="P552" s="14"/>
    </row>
    <row r="553" spans="16:16" x14ac:dyDescent="0.25">
      <c r="P553" s="14"/>
    </row>
    <row r="554" spans="16:16" x14ac:dyDescent="0.25">
      <c r="P554" s="14"/>
    </row>
    <row r="555" spans="16:16" x14ac:dyDescent="0.25">
      <c r="P555" s="14"/>
    </row>
    <row r="556" spans="16:16" x14ac:dyDescent="0.25">
      <c r="P556" s="14"/>
    </row>
    <row r="557" spans="16:16" x14ac:dyDescent="0.25">
      <c r="P557" s="14"/>
    </row>
    <row r="558" spans="16:16" x14ac:dyDescent="0.25">
      <c r="P558" s="14"/>
    </row>
    <row r="559" spans="16:16" x14ac:dyDescent="0.25">
      <c r="P559" s="14"/>
    </row>
    <row r="560" spans="16:16" x14ac:dyDescent="0.25">
      <c r="P560" s="14"/>
    </row>
    <row r="561" spans="16:16" x14ac:dyDescent="0.25">
      <c r="P561" s="14"/>
    </row>
    <row r="562" spans="16:16" x14ac:dyDescent="0.25">
      <c r="P562" s="14"/>
    </row>
    <row r="563" spans="16:16" x14ac:dyDescent="0.25">
      <c r="P563" s="14"/>
    </row>
    <row r="564" spans="16:16" x14ac:dyDescent="0.25">
      <c r="P564" s="14"/>
    </row>
    <row r="565" spans="16:16" x14ac:dyDescent="0.25">
      <c r="P565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256"/>
  <sheetViews>
    <sheetView workbookViewId="0">
      <selection activeCell="D5" sqref="D5"/>
    </sheetView>
  </sheetViews>
  <sheetFormatPr defaultRowHeight="15" x14ac:dyDescent="0.25"/>
  <cols>
    <col min="11" max="16" width="22.5703125" bestFit="1" customWidth="1"/>
    <col min="17" max="18" width="19.7109375" bestFit="1" customWidth="1"/>
  </cols>
  <sheetData>
    <row r="1" spans="1:19" x14ac:dyDescent="0.25">
      <c r="A1" t="s">
        <v>522</v>
      </c>
      <c r="B1" t="s">
        <v>515</v>
      </c>
      <c r="C1" t="s">
        <v>509</v>
      </c>
      <c r="D1" t="s">
        <v>513</v>
      </c>
      <c r="E1" t="s">
        <v>516</v>
      </c>
      <c r="K1" t="str">
        <f>IF(A1&gt;0,$J$1&amp;A1&amp;$J$1,"")</f>
        <v>ShortInterestRate</v>
      </c>
      <c r="L1" t="str">
        <f t="shared" ref="L1:R1" si="0">IF(B1&gt;0,$J$1&amp;B1&amp;$J$1,"")</f>
        <v>Inflation</v>
      </c>
      <c r="M1" t="str">
        <f t="shared" si="0"/>
        <v>Exports</v>
      </c>
      <c r="N1" t="str">
        <f t="shared" si="0"/>
        <v>HealthExpenditure</v>
      </c>
      <c r="O1" t="str">
        <f t="shared" si="0"/>
        <v>LifeExpectancy</v>
      </c>
      <c r="P1" t="str">
        <f t="shared" si="0"/>
        <v/>
      </c>
      <c r="Q1" t="str">
        <f t="shared" si="0"/>
        <v/>
      </c>
      <c r="R1" t="str">
        <f t="shared" si="0"/>
        <v/>
      </c>
    </row>
    <row r="2" spans="1:19" x14ac:dyDescent="0.25">
      <c r="A2" s="1">
        <v>-1.1328236025340239</v>
      </c>
      <c r="B2" s="1">
        <v>3.027895043816923</v>
      </c>
      <c r="C2" s="1">
        <v>4.8581010217361253</v>
      </c>
      <c r="D2" s="1">
        <v>-3.67659214588044</v>
      </c>
      <c r="E2" s="1">
        <v>3.5885753933825688</v>
      </c>
      <c r="F2" s="1"/>
      <c r="G2" s="1"/>
      <c r="H2" s="1"/>
      <c r="I2" s="1"/>
      <c r="K2" s="1">
        <v>-1.1328236025340239</v>
      </c>
      <c r="L2" s="1">
        <v>3.027895043816923</v>
      </c>
      <c r="M2" s="1">
        <v>4.8581010217361253</v>
      </c>
      <c r="N2" s="1">
        <v>-3.67659214588044</v>
      </c>
      <c r="O2" s="1">
        <v>3.5885753933825688</v>
      </c>
      <c r="P2" s="1"/>
      <c r="Q2" s="1"/>
      <c r="R2" s="1"/>
      <c r="S2" s="1"/>
    </row>
    <row r="3" spans="1:19" x14ac:dyDescent="0.25">
      <c r="A3" t="s">
        <v>518</v>
      </c>
      <c r="B3" t="s">
        <v>508</v>
      </c>
      <c r="C3" t="s">
        <v>517</v>
      </c>
      <c r="D3" t="s">
        <v>519</v>
      </c>
      <c r="E3" t="s">
        <v>511</v>
      </c>
      <c r="F3" t="s">
        <v>509</v>
      </c>
      <c r="G3" t="s">
        <v>510</v>
      </c>
      <c r="H3" t="s">
        <v>516</v>
      </c>
      <c r="K3" t="str">
        <f t="shared" ref="K3:K65" si="1">IF(A3&gt;0,$J$1&amp;A3&amp;$J$1,"")</f>
        <v>PandemicGrowth</v>
      </c>
      <c r="L3" t="str">
        <f t="shared" ref="L3:L65" si="2">IF(B3&gt;0,$J$1&amp;B3&amp;$J$1,"")</f>
        <v>EmploymentRate</v>
      </c>
      <c r="M3" t="str">
        <f t="shared" ref="M3:M65" si="3">IF(C3&gt;0,$J$1&amp;C3&amp;$J$1,"")</f>
        <v>LongInterestRate</v>
      </c>
      <c r="N3" t="str">
        <f t="shared" ref="N3:N65" si="4">IF(D3&gt;0,$J$1&amp;D3&amp;$J$1,"")</f>
        <v>PrivateSpending</v>
      </c>
      <c r="O3" t="str">
        <f t="shared" ref="O3:O65" si="5">IF(E3&gt;0,$J$1&amp;E3&amp;$J$1,"")</f>
        <v>GDP</v>
      </c>
      <c r="P3" t="str">
        <f t="shared" ref="P3:P65" si="6">IF(F3&gt;0,$J$1&amp;F3&amp;$J$1,"")</f>
        <v>Exports</v>
      </c>
      <c r="Q3" t="str">
        <f t="shared" ref="Q3:Q65" si="7">IF(G3&gt;0,$J$1&amp;G3&amp;$J$1,"")</f>
        <v>FDI</v>
      </c>
      <c r="R3" t="str">
        <f t="shared" ref="R3:R65" si="8">IF(H3&gt;0,$J$1&amp;H3&amp;$J$1,"")</f>
        <v>LifeExpectancy</v>
      </c>
    </row>
    <row r="4" spans="1:19" x14ac:dyDescent="0.25">
      <c r="A4" s="1">
        <v>-0.2357474246101339</v>
      </c>
      <c r="B4" s="1">
        <v>-0.45696206949352802</v>
      </c>
      <c r="C4" s="1">
        <v>-1.0974496881624889</v>
      </c>
      <c r="D4" s="1">
        <v>1.057062595641554</v>
      </c>
      <c r="E4" s="1">
        <v>2.237518399194474</v>
      </c>
      <c r="F4" s="1">
        <v>-1.6158465972369991</v>
      </c>
      <c r="G4" s="1">
        <v>-0.90906622008418714</v>
      </c>
      <c r="H4" s="1">
        <v>-2.35420734255933</v>
      </c>
      <c r="I4" s="1"/>
      <c r="K4" s="1">
        <v>-0.2357474246101339</v>
      </c>
      <c r="L4" s="1">
        <v>-0.45696206949352802</v>
      </c>
      <c r="M4" s="1">
        <v>-1.0974496881624889</v>
      </c>
      <c r="N4" s="1">
        <v>1.057062595641554</v>
      </c>
      <c r="O4" s="1">
        <v>2.237518399194474</v>
      </c>
      <c r="P4" s="1">
        <v>-1.6158465972369991</v>
      </c>
      <c r="Q4" s="1">
        <v>-0.90906622008418714</v>
      </c>
      <c r="R4" s="1">
        <v>-2.35420734255933</v>
      </c>
      <c r="S4" s="1"/>
    </row>
    <row r="5" spans="1:19" x14ac:dyDescent="0.25">
      <c r="A5" t="s">
        <v>518</v>
      </c>
      <c r="B5" t="s">
        <v>517</v>
      </c>
      <c r="C5" t="s">
        <v>512</v>
      </c>
      <c r="D5" t="s">
        <v>511</v>
      </c>
      <c r="E5" t="s">
        <v>510</v>
      </c>
      <c r="F5" t="s">
        <v>513</v>
      </c>
      <c r="G5" t="s">
        <v>516</v>
      </c>
      <c r="K5" t="str">
        <f t="shared" si="1"/>
        <v>PandemicGrowth</v>
      </c>
      <c r="L5" t="str">
        <f t="shared" si="2"/>
        <v>LongInterestRate</v>
      </c>
      <c r="M5" t="str">
        <f t="shared" si="3"/>
        <v>GovernmentSpending</v>
      </c>
      <c r="N5" t="str">
        <f t="shared" si="4"/>
        <v>GDP</v>
      </c>
      <c r="O5" t="str">
        <f t="shared" si="5"/>
        <v>FDI</v>
      </c>
      <c r="P5" t="str">
        <f t="shared" si="6"/>
        <v>HealthExpenditure</v>
      </c>
      <c r="Q5" t="str">
        <f t="shared" si="7"/>
        <v>LifeExpectancy</v>
      </c>
      <c r="R5" t="str">
        <f t="shared" si="8"/>
        <v/>
      </c>
    </row>
    <row r="6" spans="1:19" x14ac:dyDescent="0.25">
      <c r="A6" s="1">
        <v>-0.21854313999542949</v>
      </c>
      <c r="B6" s="1">
        <v>-0.91230769523204946</v>
      </c>
      <c r="C6" s="1">
        <v>0.97147471897005921</v>
      </c>
      <c r="D6" s="1">
        <v>2.2927592666720482</v>
      </c>
      <c r="E6" s="1">
        <v>-1.7176338763915959</v>
      </c>
      <c r="F6" s="1">
        <v>-0.75233803455089909</v>
      </c>
      <c r="G6" s="1">
        <v>-2.5946221247782688</v>
      </c>
      <c r="H6" s="1"/>
      <c r="I6" s="1"/>
      <c r="K6" s="1">
        <v>-0.21854313999542949</v>
      </c>
      <c r="L6" s="1">
        <v>-0.91230769523204946</v>
      </c>
      <c r="M6" s="1">
        <v>0.97147471897005921</v>
      </c>
      <c r="N6" s="1">
        <v>2.2927592666720482</v>
      </c>
      <c r="O6" s="1">
        <v>-1.7176338763915959</v>
      </c>
      <c r="P6" s="1">
        <v>-0.75233803455089909</v>
      </c>
      <c r="Q6" s="1">
        <v>-2.5946221247782688</v>
      </c>
      <c r="R6" s="1"/>
      <c r="S6" s="1"/>
    </row>
    <row r="7" spans="1:19" x14ac:dyDescent="0.25">
      <c r="A7" t="s">
        <v>522</v>
      </c>
      <c r="B7" t="s">
        <v>520</v>
      </c>
      <c r="C7" t="s">
        <v>515</v>
      </c>
      <c r="D7" t="s">
        <v>519</v>
      </c>
      <c r="E7" t="s">
        <v>512</v>
      </c>
      <c r="F7" t="s">
        <v>514</v>
      </c>
      <c r="K7" t="str">
        <f t="shared" si="1"/>
        <v>ShortInterestRate</v>
      </c>
      <c r="L7" t="str">
        <f t="shared" si="2"/>
        <v>ProductionPrices</v>
      </c>
      <c r="M7" t="str">
        <f t="shared" si="3"/>
        <v>Inflation</v>
      </c>
      <c r="N7" t="str">
        <f t="shared" si="4"/>
        <v>PrivateSpending</v>
      </c>
      <c r="O7" t="str">
        <f t="shared" si="5"/>
        <v>GovernmentSpending</v>
      </c>
      <c r="P7" t="str">
        <f t="shared" si="6"/>
        <v>Imports</v>
      </c>
      <c r="Q7" t="str">
        <f t="shared" si="7"/>
        <v/>
      </c>
      <c r="R7" t="str">
        <f t="shared" si="8"/>
        <v/>
      </c>
    </row>
    <row r="8" spans="1:19" x14ac:dyDescent="0.25">
      <c r="A8" s="1">
        <v>-1.572101964350912</v>
      </c>
      <c r="B8" s="1">
        <v>2.2208090005790879</v>
      </c>
      <c r="C8" s="1">
        <v>-1.4279103745033179</v>
      </c>
      <c r="D8" s="1">
        <v>4.2117000407472931</v>
      </c>
      <c r="E8" s="1">
        <v>-1.8746300695398079</v>
      </c>
      <c r="F8" s="1">
        <v>-2.058200867080894</v>
      </c>
      <c r="G8" s="1"/>
      <c r="H8" s="1"/>
      <c r="I8" s="1"/>
      <c r="K8" s="1">
        <v>-1.572101964350912</v>
      </c>
      <c r="L8" s="1">
        <v>2.2208090005790879</v>
      </c>
      <c r="M8" s="1">
        <v>-1.4279103745033179</v>
      </c>
      <c r="N8" s="1">
        <v>4.2117000407472931</v>
      </c>
      <c r="O8" s="1">
        <v>-1.8746300695398079</v>
      </c>
      <c r="P8" s="1">
        <v>-2.058200867080894</v>
      </c>
      <c r="Q8" s="1"/>
      <c r="R8" s="1"/>
      <c r="S8" s="1"/>
    </row>
    <row r="9" spans="1:19" x14ac:dyDescent="0.25">
      <c r="A9" t="s">
        <v>522</v>
      </c>
      <c r="B9" t="s">
        <v>520</v>
      </c>
      <c r="C9" t="s">
        <v>519</v>
      </c>
      <c r="D9" t="s">
        <v>512</v>
      </c>
      <c r="E9" t="s">
        <v>511</v>
      </c>
      <c r="F9" t="s">
        <v>513</v>
      </c>
      <c r="K9" t="str">
        <f t="shared" si="1"/>
        <v>ShortInterestRate</v>
      </c>
      <c r="L9" t="str">
        <f t="shared" si="2"/>
        <v>ProductionPrices</v>
      </c>
      <c r="M9" t="str">
        <f t="shared" si="3"/>
        <v>PrivateSpending</v>
      </c>
      <c r="N9" t="str">
        <f t="shared" si="4"/>
        <v>GovernmentSpending</v>
      </c>
      <c r="O9" t="str">
        <f t="shared" si="5"/>
        <v>GDP</v>
      </c>
      <c r="P9" t="str">
        <f t="shared" si="6"/>
        <v>HealthExpenditure</v>
      </c>
      <c r="Q9" t="str">
        <f t="shared" si="7"/>
        <v/>
      </c>
      <c r="R9" t="str">
        <f t="shared" si="8"/>
        <v/>
      </c>
    </row>
    <row r="10" spans="1:19" x14ac:dyDescent="0.25">
      <c r="A10" s="1">
        <v>-1.9457279367442899</v>
      </c>
      <c r="B10" s="1">
        <v>1.0804123012190749</v>
      </c>
      <c r="C10" s="1">
        <v>3.575261251577063</v>
      </c>
      <c r="D10" s="1">
        <v>-2.499590213630186</v>
      </c>
      <c r="E10" s="1">
        <v>0.89072927117190537</v>
      </c>
      <c r="F10" s="1">
        <v>-1.7129890925390709</v>
      </c>
      <c r="G10" s="1"/>
      <c r="H10" s="1"/>
      <c r="I10" s="1"/>
      <c r="K10" s="1">
        <v>-1.9457279367442899</v>
      </c>
      <c r="L10" s="1">
        <v>1.0804123012190749</v>
      </c>
      <c r="M10" s="1">
        <v>3.575261251577063</v>
      </c>
      <c r="N10" s="1">
        <v>-2.499590213630186</v>
      </c>
      <c r="O10" s="1">
        <v>0.89072927117190537</v>
      </c>
      <c r="P10" s="1">
        <v>-1.7129890925390709</v>
      </c>
      <c r="Q10" s="1"/>
      <c r="R10" s="1"/>
      <c r="S10" s="1"/>
    </row>
    <row r="11" spans="1:19" x14ac:dyDescent="0.25">
      <c r="A11" t="s">
        <v>521</v>
      </c>
      <c r="B11" t="s">
        <v>517</v>
      </c>
      <c r="C11" t="s">
        <v>520</v>
      </c>
      <c r="D11" t="s">
        <v>519</v>
      </c>
      <c r="E11" t="s">
        <v>512</v>
      </c>
      <c r="F11" t="s">
        <v>514</v>
      </c>
      <c r="G11" t="s">
        <v>516</v>
      </c>
      <c r="K11" t="str">
        <f t="shared" si="1"/>
        <v>RecoveryRate</v>
      </c>
      <c r="L11" t="str">
        <f t="shared" si="2"/>
        <v>LongInterestRate</v>
      </c>
      <c r="M11" t="str">
        <f t="shared" si="3"/>
        <v>ProductionPrices</v>
      </c>
      <c r="N11" t="str">
        <f t="shared" si="4"/>
        <v>PrivateSpending</v>
      </c>
      <c r="O11" t="str">
        <f t="shared" si="5"/>
        <v>GovernmentSpending</v>
      </c>
      <c r="P11" t="str">
        <f t="shared" si="6"/>
        <v>Imports</v>
      </c>
      <c r="Q11" t="str">
        <f t="shared" si="7"/>
        <v>LifeExpectancy</v>
      </c>
      <c r="R11" t="str">
        <f t="shared" si="8"/>
        <v/>
      </c>
    </row>
    <row r="12" spans="1:19" x14ac:dyDescent="0.25">
      <c r="A12" s="1">
        <v>-0.28908817875356752</v>
      </c>
      <c r="B12" s="1">
        <v>-1.5474770374231761</v>
      </c>
      <c r="C12" s="1">
        <v>1.3632180028209699</v>
      </c>
      <c r="D12" s="1">
        <v>5.7153887864091262</v>
      </c>
      <c r="E12" s="1">
        <v>-2.6693672376371511</v>
      </c>
      <c r="F12" s="1">
        <v>-2.5826898752123819</v>
      </c>
      <c r="G12" s="1">
        <v>1.1384375600764041</v>
      </c>
      <c r="H12" s="1"/>
      <c r="I12" s="1"/>
      <c r="K12" s="1">
        <v>-0.28908817875356752</v>
      </c>
      <c r="L12" s="1">
        <v>-1.5474770374231761</v>
      </c>
      <c r="M12" s="1">
        <v>1.3632180028209699</v>
      </c>
      <c r="N12" s="1">
        <v>5.7153887864091262</v>
      </c>
      <c r="O12" s="1">
        <v>-2.6693672376371511</v>
      </c>
      <c r="P12" s="1">
        <v>-2.5826898752123819</v>
      </c>
      <c r="Q12" s="1">
        <v>1.1384375600764041</v>
      </c>
      <c r="R12" s="1"/>
      <c r="S12" s="1"/>
    </row>
    <row r="13" spans="1:19" x14ac:dyDescent="0.25">
      <c r="A13" t="s">
        <v>521</v>
      </c>
      <c r="B13" t="s">
        <v>517</v>
      </c>
      <c r="C13" t="s">
        <v>515</v>
      </c>
      <c r="D13" t="s">
        <v>519</v>
      </c>
      <c r="E13" t="s">
        <v>512</v>
      </c>
      <c r="F13" t="s">
        <v>511</v>
      </c>
      <c r="G13" t="s">
        <v>513</v>
      </c>
      <c r="K13" t="str">
        <f t="shared" si="1"/>
        <v>RecoveryRate</v>
      </c>
      <c r="L13" t="str">
        <f t="shared" si="2"/>
        <v>LongInterestRate</v>
      </c>
      <c r="M13" t="str">
        <f t="shared" si="3"/>
        <v>Inflation</v>
      </c>
      <c r="N13" t="str">
        <f t="shared" si="4"/>
        <v>PrivateSpending</v>
      </c>
      <c r="O13" t="str">
        <f t="shared" si="5"/>
        <v>GovernmentSpending</v>
      </c>
      <c r="P13" t="str">
        <f t="shared" si="6"/>
        <v>GDP</v>
      </c>
      <c r="Q13" t="str">
        <f t="shared" si="7"/>
        <v>HealthExpenditure</v>
      </c>
      <c r="R13" t="str">
        <f t="shared" si="8"/>
        <v/>
      </c>
    </row>
    <row r="14" spans="1:19" x14ac:dyDescent="0.25">
      <c r="A14" s="1">
        <v>-0.36251182739635518</v>
      </c>
      <c r="B14" s="1">
        <v>-1.4771265743058939</v>
      </c>
      <c r="C14" s="1">
        <v>0.97612179714258906</v>
      </c>
      <c r="D14" s="1">
        <v>2.919188381079183</v>
      </c>
      <c r="E14" s="1">
        <v>-2.0670503185883602</v>
      </c>
      <c r="F14" s="1">
        <v>1.1572844529361019</v>
      </c>
      <c r="G14" s="1">
        <v>-1.5687975156010661</v>
      </c>
      <c r="H14" s="1"/>
      <c r="I14" s="1"/>
      <c r="K14" s="1">
        <v>-0.36251182739635518</v>
      </c>
      <c r="L14" s="1">
        <v>-1.4771265743058939</v>
      </c>
      <c r="M14" s="1">
        <v>0.97612179714258906</v>
      </c>
      <c r="N14" s="1">
        <v>2.919188381079183</v>
      </c>
      <c r="O14" s="1">
        <v>-2.0670503185883602</v>
      </c>
      <c r="P14" s="1">
        <v>1.1572844529361019</v>
      </c>
      <c r="Q14" s="1">
        <v>-1.5687975156010661</v>
      </c>
      <c r="R14" s="1"/>
      <c r="S14" s="1"/>
    </row>
    <row r="15" spans="1:19" x14ac:dyDescent="0.25">
      <c r="A15" t="s">
        <v>521</v>
      </c>
      <c r="B15" t="s">
        <v>508</v>
      </c>
      <c r="C15" t="s">
        <v>522</v>
      </c>
      <c r="D15" t="s">
        <v>511</v>
      </c>
      <c r="E15" t="s">
        <v>509</v>
      </c>
      <c r="F15" t="s">
        <v>514</v>
      </c>
      <c r="G15" t="s">
        <v>516</v>
      </c>
      <c r="K15" t="str">
        <f t="shared" si="1"/>
        <v>RecoveryRate</v>
      </c>
      <c r="L15" t="str">
        <f t="shared" si="2"/>
        <v>EmploymentRate</v>
      </c>
      <c r="M15" t="str">
        <f t="shared" si="3"/>
        <v>ShortInterestRate</v>
      </c>
      <c r="N15" t="str">
        <f t="shared" si="4"/>
        <v>GDP</v>
      </c>
      <c r="O15" t="str">
        <f t="shared" si="5"/>
        <v>Exports</v>
      </c>
      <c r="P15" t="str">
        <f t="shared" si="6"/>
        <v>Imports</v>
      </c>
      <c r="Q15" t="str">
        <f t="shared" si="7"/>
        <v>LifeExpectancy</v>
      </c>
      <c r="R15" t="str">
        <f t="shared" si="8"/>
        <v/>
      </c>
    </row>
    <row r="16" spans="1:19" x14ac:dyDescent="0.25">
      <c r="A16" s="1">
        <v>-0.34943267876718398</v>
      </c>
      <c r="B16" s="1">
        <v>-0.74749899254574081</v>
      </c>
      <c r="C16" s="1">
        <v>-1.0179953666219399</v>
      </c>
      <c r="D16" s="1">
        <v>1.975859481571274</v>
      </c>
      <c r="E16" s="1">
        <v>-1.9928627763415661</v>
      </c>
      <c r="F16" s="1">
        <v>0.76649361341592614</v>
      </c>
      <c r="G16" s="1">
        <v>-2.0450744340448379</v>
      </c>
      <c r="H16" s="1"/>
      <c r="I16" s="1"/>
      <c r="K16" s="1">
        <v>-0.34943267876718398</v>
      </c>
      <c r="L16" s="1">
        <v>-0.74749899254574081</v>
      </c>
      <c r="M16" s="1">
        <v>-1.0179953666219399</v>
      </c>
      <c r="N16" s="1">
        <v>1.975859481571274</v>
      </c>
      <c r="O16" s="1">
        <v>-1.9928627763415661</v>
      </c>
      <c r="P16" s="1">
        <v>0.76649361341592614</v>
      </c>
      <c r="Q16" s="1">
        <v>-2.0450744340448379</v>
      </c>
      <c r="R16" s="1"/>
      <c r="S16" s="1"/>
    </row>
    <row r="17" spans="1:19" x14ac:dyDescent="0.25">
      <c r="A17" t="s">
        <v>508</v>
      </c>
      <c r="B17" t="s">
        <v>519</v>
      </c>
      <c r="C17" t="s">
        <v>512</v>
      </c>
      <c r="D17" t="s">
        <v>511</v>
      </c>
      <c r="E17" t="s">
        <v>514</v>
      </c>
      <c r="F17" t="s">
        <v>516</v>
      </c>
      <c r="K17" t="str">
        <f t="shared" si="1"/>
        <v>EmploymentRate</v>
      </c>
      <c r="L17" t="str">
        <f t="shared" si="2"/>
        <v>PrivateSpending</v>
      </c>
      <c r="M17" t="str">
        <f t="shared" si="3"/>
        <v>GovernmentSpending</v>
      </c>
      <c r="N17" t="str">
        <f t="shared" si="4"/>
        <v>GDP</v>
      </c>
      <c r="O17" t="str">
        <f t="shared" si="5"/>
        <v>Imports</v>
      </c>
      <c r="P17" t="str">
        <f t="shared" si="6"/>
        <v>LifeExpectancy</v>
      </c>
      <c r="Q17" t="str">
        <f t="shared" si="7"/>
        <v/>
      </c>
      <c r="R17" t="str">
        <f t="shared" si="8"/>
        <v/>
      </c>
    </row>
    <row r="18" spans="1:19" x14ac:dyDescent="0.25">
      <c r="A18" s="1">
        <v>-1.5581219972256539</v>
      </c>
      <c r="B18" s="1">
        <v>-7.984914733646443</v>
      </c>
      <c r="C18" s="1">
        <v>5.1253951469858086</v>
      </c>
      <c r="D18" s="1">
        <v>2.042783465842601</v>
      </c>
      <c r="E18" s="1">
        <v>2.4983834554146069</v>
      </c>
      <c r="F18" s="1">
        <v>-2.4999934196170162</v>
      </c>
      <c r="G18" s="1"/>
      <c r="H18" s="1"/>
      <c r="I18" s="1"/>
      <c r="K18" s="1">
        <v>-1.5581219972256539</v>
      </c>
      <c r="L18" s="1">
        <v>-7.984914733646443</v>
      </c>
      <c r="M18" s="1">
        <v>5.1253951469858086</v>
      </c>
      <c r="N18" s="1">
        <v>2.042783465842601</v>
      </c>
      <c r="O18" s="1">
        <v>2.4983834554146069</v>
      </c>
      <c r="P18" s="1">
        <v>-2.4999934196170162</v>
      </c>
      <c r="Q18" s="1"/>
      <c r="R18" s="1"/>
      <c r="S18" s="1"/>
    </row>
    <row r="19" spans="1:19" x14ac:dyDescent="0.25">
      <c r="A19" t="s">
        <v>521</v>
      </c>
      <c r="B19" t="s">
        <v>522</v>
      </c>
      <c r="C19" t="s">
        <v>520</v>
      </c>
      <c r="D19" t="s">
        <v>515</v>
      </c>
      <c r="E19" t="s">
        <v>519</v>
      </c>
      <c r="F19" t="s">
        <v>512</v>
      </c>
      <c r="G19" t="s">
        <v>514</v>
      </c>
      <c r="K19" t="str">
        <f t="shared" si="1"/>
        <v>RecoveryRate</v>
      </c>
      <c r="L19" t="str">
        <f t="shared" si="2"/>
        <v>ShortInterestRate</v>
      </c>
      <c r="M19" t="str">
        <f t="shared" si="3"/>
        <v>ProductionPrices</v>
      </c>
      <c r="N19" t="str">
        <f t="shared" si="4"/>
        <v>Inflation</v>
      </c>
      <c r="O19" t="str">
        <f t="shared" si="5"/>
        <v>PrivateSpending</v>
      </c>
      <c r="P19" t="str">
        <f t="shared" si="6"/>
        <v>GovernmentSpending</v>
      </c>
      <c r="Q19" t="str">
        <f t="shared" si="7"/>
        <v>Imports</v>
      </c>
      <c r="R19" t="str">
        <f t="shared" si="8"/>
        <v/>
      </c>
    </row>
    <row r="20" spans="1:19" x14ac:dyDescent="0.25">
      <c r="A20" s="1">
        <v>-0.25046036390740972</v>
      </c>
      <c r="B20" s="1">
        <v>-1.520709976397616</v>
      </c>
      <c r="C20" s="1">
        <v>2.102020932463005</v>
      </c>
      <c r="D20" s="1">
        <v>-1.3649401393591409</v>
      </c>
      <c r="E20" s="1">
        <v>4.1523168535088768</v>
      </c>
      <c r="F20" s="1">
        <v>-1.9106780677456161</v>
      </c>
      <c r="G20" s="1">
        <v>-1.9704719784599609</v>
      </c>
      <c r="H20" s="1"/>
      <c r="I20" s="1"/>
      <c r="K20" s="1">
        <v>-0.25046036390740972</v>
      </c>
      <c r="L20" s="1">
        <v>-1.520709976397616</v>
      </c>
      <c r="M20" s="1">
        <v>2.102020932463005</v>
      </c>
      <c r="N20" s="1">
        <v>-1.3649401393591409</v>
      </c>
      <c r="O20" s="1">
        <v>4.1523168535088768</v>
      </c>
      <c r="P20" s="1">
        <v>-1.9106780677456161</v>
      </c>
      <c r="Q20" s="1">
        <v>-1.9704719784599609</v>
      </c>
      <c r="R20" s="1"/>
      <c r="S20" s="1"/>
    </row>
    <row r="21" spans="1:19" x14ac:dyDescent="0.25">
      <c r="A21" t="s">
        <v>521</v>
      </c>
      <c r="B21" t="s">
        <v>517</v>
      </c>
      <c r="C21" t="s">
        <v>515</v>
      </c>
      <c r="D21" t="s">
        <v>519</v>
      </c>
      <c r="E21" t="s">
        <v>512</v>
      </c>
      <c r="F21" t="s">
        <v>510</v>
      </c>
      <c r="G21" t="s">
        <v>513</v>
      </c>
      <c r="H21" t="s">
        <v>516</v>
      </c>
      <c r="K21" t="str">
        <f t="shared" si="1"/>
        <v>RecoveryRate</v>
      </c>
      <c r="L21" t="str">
        <f t="shared" si="2"/>
        <v>LongInterestRate</v>
      </c>
      <c r="M21" t="str">
        <f t="shared" si="3"/>
        <v>Inflation</v>
      </c>
      <c r="N21" t="str">
        <f t="shared" si="4"/>
        <v>PrivateSpending</v>
      </c>
      <c r="O21" t="str">
        <f t="shared" si="5"/>
        <v>GovernmentSpending</v>
      </c>
      <c r="P21" t="str">
        <f t="shared" si="6"/>
        <v>FDI</v>
      </c>
      <c r="Q21" t="str">
        <f t="shared" si="7"/>
        <v>HealthExpenditure</v>
      </c>
      <c r="R21" t="str">
        <f t="shared" si="8"/>
        <v>LifeExpectancy</v>
      </c>
    </row>
    <row r="22" spans="1:19" x14ac:dyDescent="0.25">
      <c r="A22" s="1">
        <v>-0.50423776928089925</v>
      </c>
      <c r="B22" s="1">
        <v>-2.289757017921167</v>
      </c>
      <c r="C22" s="1">
        <v>2.4067440019626538</v>
      </c>
      <c r="D22" s="1">
        <v>5.2734506064755804</v>
      </c>
      <c r="E22" s="1">
        <v>-4.3380368186383844</v>
      </c>
      <c r="F22" s="1">
        <v>1.297771398499953</v>
      </c>
      <c r="G22" s="1">
        <v>-1.9975704633239439</v>
      </c>
      <c r="H22" s="1">
        <v>2.5207870672035368</v>
      </c>
      <c r="I22" s="1"/>
      <c r="K22" s="1">
        <v>-0.50423776928089925</v>
      </c>
      <c r="L22" s="1">
        <v>-2.289757017921167</v>
      </c>
      <c r="M22" s="1">
        <v>2.4067440019626538</v>
      </c>
      <c r="N22" s="1">
        <v>5.2734506064755804</v>
      </c>
      <c r="O22" s="1">
        <v>-4.3380368186383844</v>
      </c>
      <c r="P22" s="1">
        <v>1.297771398499953</v>
      </c>
      <c r="Q22" s="1">
        <v>-1.9975704633239439</v>
      </c>
      <c r="R22" s="1">
        <v>2.5207870672035368</v>
      </c>
      <c r="S22" s="1"/>
    </row>
    <row r="23" spans="1:19" x14ac:dyDescent="0.25">
      <c r="A23" t="s">
        <v>508</v>
      </c>
      <c r="B23" t="s">
        <v>522</v>
      </c>
      <c r="C23" t="s">
        <v>520</v>
      </c>
      <c r="D23" t="s">
        <v>515</v>
      </c>
      <c r="E23" t="s">
        <v>519</v>
      </c>
      <c r="F23" t="s">
        <v>514</v>
      </c>
      <c r="G23" t="s">
        <v>513</v>
      </c>
      <c r="K23" t="str">
        <f t="shared" si="1"/>
        <v>EmploymentRate</v>
      </c>
      <c r="L23" t="str">
        <f t="shared" si="2"/>
        <v>ShortInterestRate</v>
      </c>
      <c r="M23" t="str">
        <f t="shared" si="3"/>
        <v>ProductionPrices</v>
      </c>
      <c r="N23" t="str">
        <f t="shared" si="4"/>
        <v>Inflation</v>
      </c>
      <c r="O23" t="str">
        <f t="shared" si="5"/>
        <v>PrivateSpending</v>
      </c>
      <c r="P23" t="str">
        <f t="shared" si="6"/>
        <v>Imports</v>
      </c>
      <c r="Q23" t="str">
        <f t="shared" si="7"/>
        <v>HealthExpenditure</v>
      </c>
      <c r="R23" t="str">
        <f t="shared" si="8"/>
        <v/>
      </c>
    </row>
    <row r="24" spans="1:19" x14ac:dyDescent="0.25">
      <c r="A24" s="1">
        <v>-0.59896323234112292</v>
      </c>
      <c r="B24" s="1">
        <v>-1.3572543953210821</v>
      </c>
      <c r="C24" s="1">
        <v>2.2828353761119691</v>
      </c>
      <c r="D24" s="1">
        <v>-1.228084811350366</v>
      </c>
      <c r="E24" s="1">
        <v>1.9453612397871569</v>
      </c>
      <c r="F24" s="1">
        <v>-2.0142065437827101</v>
      </c>
      <c r="G24" s="1">
        <v>0.80291245765880781</v>
      </c>
      <c r="H24" s="1"/>
      <c r="I24" s="1"/>
      <c r="K24" s="1">
        <v>-0.59896323234112292</v>
      </c>
      <c r="L24" s="1">
        <v>-1.3572543953210821</v>
      </c>
      <c r="M24" s="1">
        <v>2.2828353761119691</v>
      </c>
      <c r="N24" s="1">
        <v>-1.228084811350366</v>
      </c>
      <c r="O24" s="1">
        <v>1.9453612397871569</v>
      </c>
      <c r="P24" s="1">
        <v>-2.0142065437827101</v>
      </c>
      <c r="Q24" s="1">
        <v>0.80291245765880781</v>
      </c>
      <c r="R24" s="1"/>
      <c r="S24" s="1"/>
    </row>
    <row r="25" spans="1:19" x14ac:dyDescent="0.25">
      <c r="A25" t="s">
        <v>508</v>
      </c>
      <c r="B25" t="s">
        <v>520</v>
      </c>
      <c r="C25" t="s">
        <v>515</v>
      </c>
      <c r="D25" t="s">
        <v>519</v>
      </c>
      <c r="E25" t="s">
        <v>512</v>
      </c>
      <c r="F25" t="s">
        <v>509</v>
      </c>
      <c r="K25" t="str">
        <f t="shared" si="1"/>
        <v>EmploymentRate</v>
      </c>
      <c r="L25" t="str">
        <f t="shared" si="2"/>
        <v>ProductionPrices</v>
      </c>
      <c r="M25" t="str">
        <f t="shared" si="3"/>
        <v>Inflation</v>
      </c>
      <c r="N25" t="str">
        <f t="shared" si="4"/>
        <v>PrivateSpending</v>
      </c>
      <c r="O25" t="str">
        <f t="shared" si="5"/>
        <v>GovernmentSpending</v>
      </c>
      <c r="P25" t="str">
        <f t="shared" si="6"/>
        <v>Exports</v>
      </c>
      <c r="Q25" t="str">
        <f t="shared" si="7"/>
        <v/>
      </c>
      <c r="R25" t="str">
        <f t="shared" si="8"/>
        <v/>
      </c>
    </row>
    <row r="26" spans="1:19" x14ac:dyDescent="0.25">
      <c r="A26" s="1">
        <v>-1.1487812989509181</v>
      </c>
      <c r="B26" s="1">
        <v>2.1907385501412668</v>
      </c>
      <c r="C26" s="1">
        <v>-1.4048866553675461</v>
      </c>
      <c r="D26" s="1">
        <v>-5.2808386260393974</v>
      </c>
      <c r="E26" s="1">
        <v>4.221813267361572</v>
      </c>
      <c r="F26" s="1">
        <v>2.5685960040933078</v>
      </c>
      <c r="G26" s="1"/>
      <c r="H26" s="1"/>
      <c r="I26" s="1"/>
      <c r="K26" s="1">
        <v>-1.1487812989509181</v>
      </c>
      <c r="L26" s="1">
        <v>2.1907385501412668</v>
      </c>
      <c r="M26" s="1">
        <v>-1.4048866553675461</v>
      </c>
      <c r="N26" s="1">
        <v>-5.2808386260393974</v>
      </c>
      <c r="O26" s="1">
        <v>4.221813267361572</v>
      </c>
      <c r="P26" s="1">
        <v>2.5685960040933078</v>
      </c>
      <c r="Q26" s="1"/>
      <c r="R26" s="1"/>
      <c r="S26" s="1"/>
    </row>
    <row r="27" spans="1:19" x14ac:dyDescent="0.25">
      <c r="A27" t="s">
        <v>508</v>
      </c>
      <c r="B27" t="s">
        <v>520</v>
      </c>
      <c r="C27" t="s">
        <v>519</v>
      </c>
      <c r="D27" t="s">
        <v>512</v>
      </c>
      <c r="E27" t="s">
        <v>510</v>
      </c>
      <c r="F27" t="s">
        <v>513</v>
      </c>
      <c r="K27" t="str">
        <f t="shared" si="1"/>
        <v>EmploymentRate</v>
      </c>
      <c r="L27" t="str">
        <f t="shared" si="2"/>
        <v>ProductionPrices</v>
      </c>
      <c r="M27" t="str">
        <f t="shared" si="3"/>
        <v>PrivateSpending</v>
      </c>
      <c r="N27" t="str">
        <f t="shared" si="4"/>
        <v>GovernmentSpending</v>
      </c>
      <c r="O27" t="str">
        <f t="shared" si="5"/>
        <v>FDI</v>
      </c>
      <c r="P27" t="str">
        <f t="shared" si="6"/>
        <v>HealthExpenditure</v>
      </c>
      <c r="Q27" t="str">
        <f t="shared" si="7"/>
        <v/>
      </c>
      <c r="R27" t="str">
        <f t="shared" si="8"/>
        <v/>
      </c>
    </row>
    <row r="28" spans="1:19" x14ac:dyDescent="0.25">
      <c r="A28" s="1">
        <v>-2.2374106342486999</v>
      </c>
      <c r="B28" s="1">
        <v>1.338559804520558</v>
      </c>
      <c r="C28" s="1">
        <v>-7.1591617925057598</v>
      </c>
      <c r="D28" s="1">
        <v>5.6713539716436099</v>
      </c>
      <c r="E28" s="1">
        <v>1.0873714192694111</v>
      </c>
      <c r="F28" s="1">
        <v>2.4494442411844868</v>
      </c>
      <c r="G28" s="1"/>
      <c r="H28" s="1"/>
      <c r="I28" s="1"/>
      <c r="K28" s="1">
        <v>-2.2374106342486999</v>
      </c>
      <c r="L28" s="1">
        <v>1.338559804520558</v>
      </c>
      <c r="M28" s="1">
        <v>-7.1591617925057598</v>
      </c>
      <c r="N28" s="1">
        <v>5.6713539716436099</v>
      </c>
      <c r="O28" s="1">
        <v>1.0873714192694111</v>
      </c>
      <c r="P28" s="1">
        <v>2.4494442411844868</v>
      </c>
      <c r="Q28" s="1"/>
      <c r="R28" s="1"/>
      <c r="S28" s="1"/>
    </row>
    <row r="29" spans="1:19" x14ac:dyDescent="0.25">
      <c r="A29" t="s">
        <v>508</v>
      </c>
      <c r="B29" t="s">
        <v>517</v>
      </c>
      <c r="C29" t="s">
        <v>515</v>
      </c>
      <c r="D29" t="s">
        <v>519</v>
      </c>
      <c r="E29" t="s">
        <v>511</v>
      </c>
      <c r="F29" t="s">
        <v>509</v>
      </c>
      <c r="K29" t="str">
        <f t="shared" si="1"/>
        <v>EmploymentRate</v>
      </c>
      <c r="L29" t="str">
        <f t="shared" si="2"/>
        <v>LongInterestRate</v>
      </c>
      <c r="M29" t="str">
        <f t="shared" si="3"/>
        <v>Inflation</v>
      </c>
      <c r="N29" t="str">
        <f t="shared" si="4"/>
        <v>PrivateSpending</v>
      </c>
      <c r="O29" t="str">
        <f t="shared" si="5"/>
        <v>GDP</v>
      </c>
      <c r="P29" t="str">
        <f t="shared" si="6"/>
        <v>Exports</v>
      </c>
      <c r="Q29" t="str">
        <f t="shared" si="7"/>
        <v/>
      </c>
      <c r="R29" t="str">
        <f t="shared" si="8"/>
        <v/>
      </c>
    </row>
    <row r="30" spans="1:19" x14ac:dyDescent="0.25">
      <c r="A30" s="1">
        <v>-0.83667616101502773</v>
      </c>
      <c r="B30" s="1">
        <v>-1.430372237191464</v>
      </c>
      <c r="C30" s="1">
        <v>1.541442802781857</v>
      </c>
      <c r="D30" s="1">
        <v>0.71080044440910073</v>
      </c>
      <c r="E30" s="1">
        <v>1.1813747745860641</v>
      </c>
      <c r="F30" s="1">
        <v>-0.87890582239760517</v>
      </c>
      <c r="G30" s="1"/>
      <c r="H30" s="1"/>
      <c r="I30" s="1"/>
      <c r="K30" s="1">
        <v>-0.83667616101502773</v>
      </c>
      <c r="L30" s="1">
        <v>-1.430372237191464</v>
      </c>
      <c r="M30" s="1">
        <v>1.541442802781857</v>
      </c>
      <c r="N30" s="1">
        <v>0.71080044440910073</v>
      </c>
      <c r="O30" s="1">
        <v>1.1813747745860641</v>
      </c>
      <c r="P30" s="1">
        <v>-0.87890582239760517</v>
      </c>
      <c r="Q30" s="1"/>
      <c r="R30" s="1"/>
      <c r="S30" s="1"/>
    </row>
    <row r="31" spans="1:19" x14ac:dyDescent="0.25">
      <c r="A31" t="s">
        <v>518</v>
      </c>
      <c r="B31" t="s">
        <v>522</v>
      </c>
      <c r="C31" t="s">
        <v>512</v>
      </c>
      <c r="D31" t="s">
        <v>511</v>
      </c>
      <c r="E31" t="s">
        <v>510</v>
      </c>
      <c r="F31" t="s">
        <v>513</v>
      </c>
      <c r="G31" t="s">
        <v>516</v>
      </c>
      <c r="K31" t="str">
        <f t="shared" si="1"/>
        <v>PandemicGrowth</v>
      </c>
      <c r="L31" t="str">
        <f t="shared" si="2"/>
        <v>ShortInterestRate</v>
      </c>
      <c r="M31" t="str">
        <f t="shared" si="3"/>
        <v>GovernmentSpending</v>
      </c>
      <c r="N31" t="str">
        <f t="shared" si="4"/>
        <v>GDP</v>
      </c>
      <c r="O31" t="str">
        <f t="shared" si="5"/>
        <v>FDI</v>
      </c>
      <c r="P31" t="str">
        <f t="shared" si="6"/>
        <v>HealthExpenditure</v>
      </c>
      <c r="Q31" t="str">
        <f t="shared" si="7"/>
        <v>LifeExpectancy</v>
      </c>
      <c r="R31" t="str">
        <f t="shared" si="8"/>
        <v/>
      </c>
    </row>
    <row r="32" spans="1:19" x14ac:dyDescent="0.25">
      <c r="A32" s="1">
        <v>-0.21832103798777139</v>
      </c>
      <c r="B32" s="1">
        <v>-0.83317327495335802</v>
      </c>
      <c r="C32" s="1">
        <v>0.87435407856128888</v>
      </c>
      <c r="D32" s="1">
        <v>2.097775054108951</v>
      </c>
      <c r="E32" s="1">
        <v>-1.514111659546298</v>
      </c>
      <c r="F32" s="1">
        <v>-0.68184134347409908</v>
      </c>
      <c r="G32" s="1">
        <v>-2.372677319630569</v>
      </c>
      <c r="H32" s="1"/>
      <c r="I32" s="1"/>
      <c r="K32" s="1">
        <v>-0.21832103798777139</v>
      </c>
      <c r="L32" s="1">
        <v>-0.83317327495335802</v>
      </c>
      <c r="M32" s="1">
        <v>0.87435407856128888</v>
      </c>
      <c r="N32" s="1">
        <v>2.097775054108951</v>
      </c>
      <c r="O32" s="1">
        <v>-1.514111659546298</v>
      </c>
      <c r="P32" s="1">
        <v>-0.68184134347409908</v>
      </c>
      <c r="Q32" s="1">
        <v>-2.372677319630569</v>
      </c>
      <c r="R32" s="1"/>
      <c r="S32" s="1"/>
    </row>
    <row r="33" spans="1:19" x14ac:dyDescent="0.25">
      <c r="A33" t="s">
        <v>521</v>
      </c>
      <c r="B33" t="s">
        <v>517</v>
      </c>
      <c r="C33" t="s">
        <v>520</v>
      </c>
      <c r="D33" t="s">
        <v>519</v>
      </c>
      <c r="E33" t="s">
        <v>512</v>
      </c>
      <c r="F33" t="s">
        <v>510</v>
      </c>
      <c r="G33" t="s">
        <v>513</v>
      </c>
      <c r="H33" t="s">
        <v>516</v>
      </c>
      <c r="K33" t="str">
        <f t="shared" si="1"/>
        <v>RecoveryRate</v>
      </c>
      <c r="L33" t="str">
        <f t="shared" si="2"/>
        <v>LongInterestRate</v>
      </c>
      <c r="M33" t="str">
        <f t="shared" si="3"/>
        <v>ProductionPrices</v>
      </c>
      <c r="N33" t="str">
        <f t="shared" si="4"/>
        <v>PrivateSpending</v>
      </c>
      <c r="O33" t="str">
        <f t="shared" si="5"/>
        <v>GovernmentSpending</v>
      </c>
      <c r="P33" t="str">
        <f t="shared" si="6"/>
        <v>FDI</v>
      </c>
      <c r="Q33" t="str">
        <f t="shared" si="7"/>
        <v>HealthExpenditure</v>
      </c>
      <c r="R33" t="str">
        <f t="shared" si="8"/>
        <v>LifeExpectancy</v>
      </c>
    </row>
    <row r="34" spans="1:19" x14ac:dyDescent="0.25">
      <c r="A34" s="1">
        <v>-0.4358309286460883</v>
      </c>
      <c r="B34" s="1">
        <v>-2.2407267316790609</v>
      </c>
      <c r="C34" s="1">
        <v>1.4224295926250989</v>
      </c>
      <c r="D34" s="1">
        <v>3.9976075479904152</v>
      </c>
      <c r="E34" s="1">
        <v>-3.3366234062581941</v>
      </c>
      <c r="F34" s="1">
        <v>0.93287670897277464</v>
      </c>
      <c r="G34" s="1">
        <v>-1.5868430017176789</v>
      </c>
      <c r="H34" s="1">
        <v>0.80512602415322365</v>
      </c>
      <c r="I34" s="1"/>
      <c r="K34" s="1">
        <v>-0.4358309286460883</v>
      </c>
      <c r="L34" s="1">
        <v>-2.2407267316790609</v>
      </c>
      <c r="M34" s="1">
        <v>1.4224295926250989</v>
      </c>
      <c r="N34" s="1">
        <v>3.9976075479904152</v>
      </c>
      <c r="O34" s="1">
        <v>-3.3366234062581941</v>
      </c>
      <c r="P34" s="1">
        <v>0.93287670897277464</v>
      </c>
      <c r="Q34" s="1">
        <v>-1.5868430017176789</v>
      </c>
      <c r="R34" s="1">
        <v>0.80512602415322365</v>
      </c>
      <c r="S34" s="1"/>
    </row>
    <row r="35" spans="1:19" x14ac:dyDescent="0.25">
      <c r="A35" t="s">
        <v>521</v>
      </c>
      <c r="B35" t="s">
        <v>508</v>
      </c>
      <c r="C35" t="s">
        <v>522</v>
      </c>
      <c r="D35" t="s">
        <v>519</v>
      </c>
      <c r="E35" t="s">
        <v>511</v>
      </c>
      <c r="F35" t="s">
        <v>514</v>
      </c>
      <c r="G35" t="s">
        <v>513</v>
      </c>
      <c r="H35" t="s">
        <v>516</v>
      </c>
      <c r="K35" t="str">
        <f t="shared" si="1"/>
        <v>RecoveryRate</v>
      </c>
      <c r="L35" t="str">
        <f t="shared" si="2"/>
        <v>EmploymentRate</v>
      </c>
      <c r="M35" t="str">
        <f t="shared" si="3"/>
        <v>ShortInterestRate</v>
      </c>
      <c r="N35" t="str">
        <f t="shared" si="4"/>
        <v>PrivateSpending</v>
      </c>
      <c r="O35" t="str">
        <f t="shared" si="5"/>
        <v>GDP</v>
      </c>
      <c r="P35" t="str">
        <f t="shared" si="6"/>
        <v>Imports</v>
      </c>
      <c r="Q35" t="str">
        <f t="shared" si="7"/>
        <v>HealthExpenditure</v>
      </c>
      <c r="R35" t="str">
        <f t="shared" si="8"/>
        <v>LifeExpectancy</v>
      </c>
    </row>
    <row r="36" spans="1:19" x14ac:dyDescent="0.25">
      <c r="A36" s="1">
        <v>-0.35506735358816988</v>
      </c>
      <c r="B36" s="1">
        <v>-0.31102325633392558</v>
      </c>
      <c r="C36" s="1">
        <v>-1.61826408907029</v>
      </c>
      <c r="D36" s="1">
        <v>-2.7301119852740601</v>
      </c>
      <c r="E36" s="1">
        <v>2.5820829363854698</v>
      </c>
      <c r="F36" s="1">
        <v>3.9020666153238008</v>
      </c>
      <c r="G36" s="1">
        <v>-3.3971217230658199</v>
      </c>
      <c r="H36" s="1">
        <v>-2.658774561154289</v>
      </c>
      <c r="I36" s="1"/>
      <c r="K36" s="1">
        <v>-0.35506735358816988</v>
      </c>
      <c r="L36" s="1">
        <v>-0.31102325633392558</v>
      </c>
      <c r="M36" s="1">
        <v>-1.61826408907029</v>
      </c>
      <c r="N36" s="1">
        <v>-2.7301119852740601</v>
      </c>
      <c r="O36" s="1">
        <v>2.5820829363854698</v>
      </c>
      <c r="P36" s="1">
        <v>3.9020666153238008</v>
      </c>
      <c r="Q36" s="1">
        <v>-3.3971217230658199</v>
      </c>
      <c r="R36" s="1">
        <v>-2.658774561154289</v>
      </c>
      <c r="S36" s="1"/>
    </row>
    <row r="37" spans="1:19" x14ac:dyDescent="0.25">
      <c r="A37" t="s">
        <v>518</v>
      </c>
      <c r="B37" t="s">
        <v>520</v>
      </c>
      <c r="C37" t="s">
        <v>512</v>
      </c>
      <c r="D37" t="s">
        <v>511</v>
      </c>
      <c r="E37" t="s">
        <v>509</v>
      </c>
      <c r="F37" t="s">
        <v>510</v>
      </c>
      <c r="G37" t="s">
        <v>516</v>
      </c>
      <c r="K37" t="str">
        <f t="shared" si="1"/>
        <v>PandemicGrowth</v>
      </c>
      <c r="L37" t="str">
        <f t="shared" si="2"/>
        <v>ProductionPrices</v>
      </c>
      <c r="M37" t="str">
        <f t="shared" si="3"/>
        <v>GovernmentSpending</v>
      </c>
      <c r="N37" t="str">
        <f t="shared" si="4"/>
        <v>GDP</v>
      </c>
      <c r="O37" t="str">
        <f t="shared" si="5"/>
        <v>Exports</v>
      </c>
      <c r="P37" t="str">
        <f t="shared" si="6"/>
        <v>FDI</v>
      </c>
      <c r="Q37" t="str">
        <f t="shared" si="7"/>
        <v>LifeExpectancy</v>
      </c>
      <c r="R37" t="str">
        <f t="shared" si="8"/>
        <v/>
      </c>
    </row>
    <row r="38" spans="1:19" x14ac:dyDescent="0.25">
      <c r="A38" s="1">
        <v>-0.44706341626981078</v>
      </c>
      <c r="B38" s="1">
        <v>-1.730827700761195</v>
      </c>
      <c r="C38" s="1">
        <v>1.806037002924634</v>
      </c>
      <c r="D38" s="1">
        <v>4.5888591971096986</v>
      </c>
      <c r="E38" s="1">
        <v>-1.8186255967980409</v>
      </c>
      <c r="F38" s="1">
        <v>-3.4777382992392281</v>
      </c>
      <c r="G38" s="1">
        <v>-5.510845123921702</v>
      </c>
      <c r="H38" s="1"/>
      <c r="I38" s="1"/>
      <c r="K38" s="1">
        <v>-0.44706341626981078</v>
      </c>
      <c r="L38" s="1">
        <v>-1.730827700761195</v>
      </c>
      <c r="M38" s="1">
        <v>1.806037002924634</v>
      </c>
      <c r="N38" s="1">
        <v>4.5888591971096986</v>
      </c>
      <c r="O38" s="1">
        <v>-1.8186255967980409</v>
      </c>
      <c r="P38" s="1">
        <v>-3.4777382992392281</v>
      </c>
      <c r="Q38" s="1">
        <v>-5.510845123921702</v>
      </c>
      <c r="R38" s="1"/>
      <c r="S38" s="1"/>
    </row>
    <row r="39" spans="1:19" x14ac:dyDescent="0.25">
      <c r="A39" t="s">
        <v>522</v>
      </c>
      <c r="B39" t="s">
        <v>520</v>
      </c>
      <c r="C39" t="s">
        <v>515</v>
      </c>
      <c r="D39" t="s">
        <v>509</v>
      </c>
      <c r="E39" t="s">
        <v>513</v>
      </c>
      <c r="K39" t="str">
        <f t="shared" si="1"/>
        <v>ShortInterestRate</v>
      </c>
      <c r="L39" t="str">
        <f t="shared" si="2"/>
        <v>ProductionPrices</v>
      </c>
      <c r="M39" t="str">
        <f t="shared" si="3"/>
        <v>Inflation</v>
      </c>
      <c r="N39" t="str">
        <f t="shared" si="4"/>
        <v>Exports</v>
      </c>
      <c r="O39" t="str">
        <f t="shared" si="5"/>
        <v>HealthExpenditure</v>
      </c>
      <c r="P39" t="str">
        <f t="shared" si="6"/>
        <v/>
      </c>
      <c r="Q39" t="str">
        <f t="shared" si="7"/>
        <v/>
      </c>
      <c r="R39" t="str">
        <f t="shared" si="8"/>
        <v/>
      </c>
    </row>
    <row r="40" spans="1:19" x14ac:dyDescent="0.25">
      <c r="A40" s="1">
        <v>-1.800813888411996</v>
      </c>
      <c r="B40" s="1">
        <v>2.8694395366465528</v>
      </c>
      <c r="C40" s="1">
        <v>-1.70524204254713</v>
      </c>
      <c r="D40" s="1">
        <v>2.66991905427383</v>
      </c>
      <c r="E40" s="1">
        <v>-2.3139624241295889</v>
      </c>
      <c r="F40" s="1"/>
      <c r="G40" s="1"/>
      <c r="H40" s="1"/>
      <c r="I40" s="1"/>
      <c r="K40" s="1">
        <v>-1.800813888411996</v>
      </c>
      <c r="L40" s="1">
        <v>2.8694395366465528</v>
      </c>
      <c r="M40" s="1">
        <v>-1.70524204254713</v>
      </c>
      <c r="N40" s="1">
        <v>2.66991905427383</v>
      </c>
      <c r="O40" s="1">
        <v>-2.3139624241295889</v>
      </c>
      <c r="P40" s="1"/>
      <c r="Q40" s="1"/>
      <c r="R40" s="1"/>
      <c r="S40" s="1"/>
    </row>
    <row r="41" spans="1:19" x14ac:dyDescent="0.25">
      <c r="A41" t="s">
        <v>508</v>
      </c>
      <c r="B41" t="s">
        <v>515</v>
      </c>
      <c r="C41" t="s">
        <v>512</v>
      </c>
      <c r="D41" t="s">
        <v>509</v>
      </c>
      <c r="E41" t="s">
        <v>514</v>
      </c>
      <c r="F41" t="s">
        <v>516</v>
      </c>
      <c r="K41" t="str">
        <f t="shared" si="1"/>
        <v>EmploymentRate</v>
      </c>
      <c r="L41" t="str">
        <f t="shared" si="2"/>
        <v>Inflation</v>
      </c>
      <c r="M41" t="str">
        <f t="shared" si="3"/>
        <v>GovernmentSpending</v>
      </c>
      <c r="N41" t="str">
        <f t="shared" si="4"/>
        <v>Exports</v>
      </c>
      <c r="O41" t="str">
        <f t="shared" si="5"/>
        <v>Imports</v>
      </c>
      <c r="P41" t="str">
        <f t="shared" si="6"/>
        <v>LifeExpectancy</v>
      </c>
      <c r="Q41" t="str">
        <f t="shared" si="7"/>
        <v/>
      </c>
      <c r="R41" t="str">
        <f t="shared" si="8"/>
        <v/>
      </c>
    </row>
    <row r="42" spans="1:19" x14ac:dyDescent="0.25">
      <c r="A42" s="1">
        <v>-0.76490813049210404</v>
      </c>
      <c r="B42" s="1">
        <v>2.111281252782597</v>
      </c>
      <c r="C42" s="1">
        <v>1.5056967467517881</v>
      </c>
      <c r="D42" s="1">
        <v>2.157073798179113</v>
      </c>
      <c r="E42" s="1">
        <v>-1.924612288090312</v>
      </c>
      <c r="F42" s="1">
        <v>2.771611635050065</v>
      </c>
      <c r="G42" s="1"/>
      <c r="H42" s="1"/>
      <c r="I42" s="1"/>
      <c r="K42" s="1">
        <v>-0.76490813049210404</v>
      </c>
      <c r="L42" s="1">
        <v>2.111281252782597</v>
      </c>
      <c r="M42" s="1">
        <v>1.5056967467517881</v>
      </c>
      <c r="N42" s="1">
        <v>2.157073798179113</v>
      </c>
      <c r="O42" s="1">
        <v>-1.924612288090312</v>
      </c>
      <c r="P42" s="1">
        <v>2.771611635050065</v>
      </c>
      <c r="Q42" s="1"/>
      <c r="R42" s="1"/>
      <c r="S42" s="1"/>
    </row>
    <row r="43" spans="1:19" x14ac:dyDescent="0.25">
      <c r="A43" t="s">
        <v>512</v>
      </c>
      <c r="B43" t="s">
        <v>511</v>
      </c>
      <c r="C43" t="s">
        <v>509</v>
      </c>
      <c r="D43" t="s">
        <v>514</v>
      </c>
      <c r="E43" t="s">
        <v>510</v>
      </c>
      <c r="F43" t="s">
        <v>516</v>
      </c>
      <c r="K43" t="str">
        <f t="shared" si="1"/>
        <v>GovernmentSpending</v>
      </c>
      <c r="L43" t="str">
        <f t="shared" si="2"/>
        <v>GDP</v>
      </c>
      <c r="M43" t="str">
        <f t="shared" si="3"/>
        <v>Exports</v>
      </c>
      <c r="N43" t="str">
        <f t="shared" si="4"/>
        <v>Imports</v>
      </c>
      <c r="O43" t="str">
        <f t="shared" si="5"/>
        <v>FDI</v>
      </c>
      <c r="P43" t="str">
        <f t="shared" si="6"/>
        <v>LifeExpectancy</v>
      </c>
      <c r="Q43" t="str">
        <f t="shared" si="7"/>
        <v/>
      </c>
      <c r="R43" t="str">
        <f t="shared" si="8"/>
        <v/>
      </c>
    </row>
    <row r="44" spans="1:19" x14ac:dyDescent="0.25">
      <c r="A44" s="1">
        <v>2.1295232586751691</v>
      </c>
      <c r="B44" s="1">
        <v>2.0257029654388128</v>
      </c>
      <c r="C44" s="1">
        <v>1.343202393250374</v>
      </c>
      <c r="D44" s="1">
        <v>-1.6011070173768649</v>
      </c>
      <c r="E44" s="1">
        <v>-2.642346940243816</v>
      </c>
      <c r="F44" s="1">
        <v>-1.873183257526883</v>
      </c>
      <c r="G44" s="1"/>
      <c r="H44" s="1"/>
      <c r="I44" s="1"/>
      <c r="K44" s="1">
        <v>2.1295232586751691</v>
      </c>
      <c r="L44" s="1">
        <v>2.0257029654388128</v>
      </c>
      <c r="M44" s="1">
        <v>1.343202393250374</v>
      </c>
      <c r="N44" s="1">
        <v>-1.6011070173768649</v>
      </c>
      <c r="O44" s="1">
        <v>-2.642346940243816</v>
      </c>
      <c r="P44" s="1">
        <v>-1.873183257526883</v>
      </c>
      <c r="Q44" s="1"/>
      <c r="R44" s="1"/>
      <c r="S44" s="1"/>
    </row>
    <row r="45" spans="1:19" x14ac:dyDescent="0.25">
      <c r="A45" t="s">
        <v>518</v>
      </c>
      <c r="B45" t="s">
        <v>520</v>
      </c>
      <c r="C45" t="s">
        <v>512</v>
      </c>
      <c r="D45" t="s">
        <v>511</v>
      </c>
      <c r="E45" t="s">
        <v>510</v>
      </c>
      <c r="F45" t="s">
        <v>513</v>
      </c>
      <c r="G45" t="s">
        <v>516</v>
      </c>
      <c r="K45" t="str">
        <f t="shared" si="1"/>
        <v>PandemicGrowth</v>
      </c>
      <c r="L45" t="str">
        <f t="shared" si="2"/>
        <v>ProductionPrices</v>
      </c>
      <c r="M45" t="str">
        <f t="shared" si="3"/>
        <v>GovernmentSpending</v>
      </c>
      <c r="N45" t="str">
        <f t="shared" si="4"/>
        <v>GDP</v>
      </c>
      <c r="O45" t="str">
        <f t="shared" si="5"/>
        <v>FDI</v>
      </c>
      <c r="P45" t="str">
        <f t="shared" si="6"/>
        <v>HealthExpenditure</v>
      </c>
      <c r="Q45" t="str">
        <f t="shared" si="7"/>
        <v>LifeExpectancy</v>
      </c>
      <c r="R45" t="str">
        <f t="shared" si="8"/>
        <v/>
      </c>
    </row>
    <row r="46" spans="1:19" x14ac:dyDescent="0.25">
      <c r="A46" s="1">
        <v>-0.30240703826270532</v>
      </c>
      <c r="B46" s="1">
        <v>-0.92485938447402027</v>
      </c>
      <c r="C46" s="1">
        <v>1.247358907182025</v>
      </c>
      <c r="D46" s="1">
        <v>3.3150203899875241</v>
      </c>
      <c r="E46" s="1">
        <v>-2.5016550672056201</v>
      </c>
      <c r="F46" s="1">
        <v>-0.98274913440982825</v>
      </c>
      <c r="G46" s="1">
        <v>-3.2551188328708118</v>
      </c>
      <c r="H46" s="1"/>
      <c r="I46" s="1"/>
      <c r="K46" s="1">
        <v>-0.30240703826270532</v>
      </c>
      <c r="L46" s="1">
        <v>-0.92485938447402027</v>
      </c>
      <c r="M46" s="1">
        <v>1.247358907182025</v>
      </c>
      <c r="N46" s="1">
        <v>3.3150203899875241</v>
      </c>
      <c r="O46" s="1">
        <v>-2.5016550672056201</v>
      </c>
      <c r="P46" s="1">
        <v>-0.98274913440982825</v>
      </c>
      <c r="Q46" s="1">
        <v>-3.2551188328708118</v>
      </c>
      <c r="R46" s="1"/>
      <c r="S46" s="1"/>
    </row>
    <row r="47" spans="1:19" x14ac:dyDescent="0.25">
      <c r="A47" t="s">
        <v>508</v>
      </c>
      <c r="B47" t="s">
        <v>522</v>
      </c>
      <c r="C47" t="s">
        <v>520</v>
      </c>
      <c r="D47" t="s">
        <v>515</v>
      </c>
      <c r="E47" t="s">
        <v>516</v>
      </c>
      <c r="K47" t="str">
        <f t="shared" si="1"/>
        <v>EmploymentRate</v>
      </c>
      <c r="L47" t="str">
        <f t="shared" si="2"/>
        <v>ShortInterestRate</v>
      </c>
      <c r="M47" t="str">
        <f t="shared" si="3"/>
        <v>ProductionPrices</v>
      </c>
      <c r="N47" t="str">
        <f t="shared" si="4"/>
        <v>Inflation</v>
      </c>
      <c r="O47" t="str">
        <f t="shared" si="5"/>
        <v>LifeExpectancy</v>
      </c>
      <c r="P47" t="str">
        <f t="shared" si="6"/>
        <v/>
      </c>
      <c r="Q47" t="str">
        <f t="shared" si="7"/>
        <v/>
      </c>
      <c r="R47" t="str">
        <f t="shared" si="8"/>
        <v/>
      </c>
    </row>
    <row r="48" spans="1:19" x14ac:dyDescent="0.25">
      <c r="A48" s="1">
        <v>-0.3256959593048952</v>
      </c>
      <c r="B48" s="1">
        <v>-1.617616413483038</v>
      </c>
      <c r="C48" s="1">
        <v>3.4238420025469019</v>
      </c>
      <c r="D48" s="1">
        <v>-3.601884332604151</v>
      </c>
      <c r="E48" s="1">
        <v>-2.2086709541321712</v>
      </c>
      <c r="F48" s="1"/>
      <c r="G48" s="1"/>
      <c r="H48" s="1"/>
      <c r="I48" s="1"/>
      <c r="K48" s="1">
        <v>-0.3256959593048952</v>
      </c>
      <c r="L48" s="1">
        <v>-1.617616413483038</v>
      </c>
      <c r="M48" s="1">
        <v>3.4238420025469019</v>
      </c>
      <c r="N48" s="1">
        <v>-3.601884332604151</v>
      </c>
      <c r="O48" s="1">
        <v>-2.2086709541321712</v>
      </c>
      <c r="P48" s="1"/>
      <c r="Q48" s="1"/>
      <c r="R48" s="1"/>
      <c r="S48" s="1"/>
    </row>
    <row r="49" spans="1:19" x14ac:dyDescent="0.25">
      <c r="A49" t="s">
        <v>508</v>
      </c>
      <c r="B49" t="s">
        <v>517</v>
      </c>
      <c r="C49" t="s">
        <v>520</v>
      </c>
      <c r="D49" t="s">
        <v>510</v>
      </c>
      <c r="K49" t="str">
        <f t="shared" si="1"/>
        <v>EmploymentRate</v>
      </c>
      <c r="L49" t="str">
        <f t="shared" si="2"/>
        <v>LongInterestRate</v>
      </c>
      <c r="M49" t="str">
        <f t="shared" si="3"/>
        <v>ProductionPrices</v>
      </c>
      <c r="N49" t="str">
        <f t="shared" si="4"/>
        <v>FDI</v>
      </c>
      <c r="O49" t="str">
        <f t="shared" si="5"/>
        <v/>
      </c>
      <c r="P49" t="str">
        <f t="shared" si="6"/>
        <v/>
      </c>
      <c r="Q49" t="str">
        <f t="shared" si="7"/>
        <v/>
      </c>
      <c r="R49" t="str">
        <f t="shared" si="8"/>
        <v/>
      </c>
    </row>
    <row r="50" spans="1:19" x14ac:dyDescent="0.25">
      <c r="A50" s="1">
        <v>-0.66187798820525734</v>
      </c>
      <c r="B50" s="1">
        <v>-1.6754513607867321</v>
      </c>
      <c r="C50" s="1">
        <v>1.421776440482361</v>
      </c>
      <c r="D50" s="1">
        <v>0.59466117137108399</v>
      </c>
      <c r="E50" s="1"/>
      <c r="F50" s="1"/>
      <c r="G50" s="1"/>
      <c r="H50" s="1"/>
      <c r="I50" s="1"/>
      <c r="K50" s="1">
        <v>-0.66187798820525734</v>
      </c>
      <c r="L50" s="1">
        <v>-1.6754513607867321</v>
      </c>
      <c r="M50" s="1">
        <v>1.421776440482361</v>
      </c>
      <c r="N50" s="1">
        <v>0.59466117137108399</v>
      </c>
      <c r="O50" s="1"/>
      <c r="P50" s="1"/>
      <c r="Q50" s="1"/>
      <c r="R50" s="1"/>
      <c r="S50" s="1"/>
    </row>
    <row r="51" spans="1:19" x14ac:dyDescent="0.25">
      <c r="A51" t="s">
        <v>521</v>
      </c>
      <c r="B51" t="s">
        <v>522</v>
      </c>
      <c r="C51" t="s">
        <v>519</v>
      </c>
      <c r="D51" t="s">
        <v>512</v>
      </c>
      <c r="E51" t="s">
        <v>511</v>
      </c>
      <c r="F51" t="s">
        <v>509</v>
      </c>
      <c r="G51" t="s">
        <v>516</v>
      </c>
      <c r="K51" t="str">
        <f t="shared" si="1"/>
        <v>RecoveryRate</v>
      </c>
      <c r="L51" t="str">
        <f t="shared" si="2"/>
        <v>ShortInterestRate</v>
      </c>
      <c r="M51" t="str">
        <f t="shared" si="3"/>
        <v>PrivateSpending</v>
      </c>
      <c r="N51" t="str">
        <f t="shared" si="4"/>
        <v>GovernmentSpending</v>
      </c>
      <c r="O51" t="str">
        <f t="shared" si="5"/>
        <v>GDP</v>
      </c>
      <c r="P51" t="str">
        <f t="shared" si="6"/>
        <v>Exports</v>
      </c>
      <c r="Q51" t="str">
        <f t="shared" si="7"/>
        <v>LifeExpectancy</v>
      </c>
      <c r="R51" t="str">
        <f t="shared" si="8"/>
        <v/>
      </c>
    </row>
    <row r="52" spans="1:19" x14ac:dyDescent="0.25">
      <c r="A52" s="1">
        <v>-0.58072886888512054</v>
      </c>
      <c r="B52" s="1">
        <v>-1.7010038085152901</v>
      </c>
      <c r="C52" s="1">
        <v>4.6858643701682272</v>
      </c>
      <c r="D52" s="1">
        <v>-3.3458078898459052</v>
      </c>
      <c r="E52" s="1">
        <v>1.448141674792319</v>
      </c>
      <c r="F52" s="1">
        <v>-2.758512635527028</v>
      </c>
      <c r="G52" s="1">
        <v>-1.644301265285673</v>
      </c>
      <c r="H52" s="1"/>
      <c r="I52" s="1"/>
      <c r="K52" s="1">
        <v>-0.58072886888512054</v>
      </c>
      <c r="L52" s="1">
        <v>-1.7010038085152901</v>
      </c>
      <c r="M52" s="1">
        <v>4.6858643701682272</v>
      </c>
      <c r="N52" s="1">
        <v>-3.3458078898459052</v>
      </c>
      <c r="O52" s="1">
        <v>1.448141674792319</v>
      </c>
      <c r="P52" s="1">
        <v>-2.758512635527028</v>
      </c>
      <c r="Q52" s="1">
        <v>-1.644301265285673</v>
      </c>
      <c r="R52" s="1"/>
      <c r="S52" s="1"/>
    </row>
    <row r="53" spans="1:19" x14ac:dyDescent="0.25">
      <c r="A53" t="s">
        <v>508</v>
      </c>
      <c r="B53" t="s">
        <v>517</v>
      </c>
      <c r="C53" t="s">
        <v>520</v>
      </c>
      <c r="D53" t="s">
        <v>511</v>
      </c>
      <c r="E53" t="s">
        <v>509</v>
      </c>
      <c r="F53" t="s">
        <v>513</v>
      </c>
      <c r="K53" t="str">
        <f t="shared" si="1"/>
        <v>EmploymentRate</v>
      </c>
      <c r="L53" t="str">
        <f t="shared" si="2"/>
        <v>LongInterestRate</v>
      </c>
      <c r="M53" t="str">
        <f t="shared" si="3"/>
        <v>ProductionPrices</v>
      </c>
      <c r="N53" t="str">
        <f t="shared" si="4"/>
        <v>GDP</v>
      </c>
      <c r="O53" t="str">
        <f t="shared" si="5"/>
        <v>Exports</v>
      </c>
      <c r="P53" t="str">
        <f t="shared" si="6"/>
        <v>HealthExpenditure</v>
      </c>
      <c r="Q53" t="str">
        <f t="shared" si="7"/>
        <v/>
      </c>
      <c r="R53" t="str">
        <f t="shared" si="8"/>
        <v/>
      </c>
    </row>
    <row r="54" spans="1:19" x14ac:dyDescent="0.25">
      <c r="A54" s="1">
        <v>-0.2407050269126508</v>
      </c>
      <c r="B54" s="1">
        <v>-1.342422074640107</v>
      </c>
      <c r="C54" s="1">
        <v>1.1452502299902649</v>
      </c>
      <c r="D54" s="1">
        <v>0.74169140218991736</v>
      </c>
      <c r="E54" s="1">
        <v>1.834699001277829</v>
      </c>
      <c r="F54" s="1">
        <v>-1.887508952129956</v>
      </c>
      <c r="G54" s="1"/>
      <c r="H54" s="1"/>
      <c r="I54" s="1"/>
      <c r="K54" s="1">
        <v>-0.2407050269126508</v>
      </c>
      <c r="L54" s="1">
        <v>-1.342422074640107</v>
      </c>
      <c r="M54" s="1">
        <v>1.1452502299902649</v>
      </c>
      <c r="N54" s="1">
        <v>0.74169140218991736</v>
      </c>
      <c r="O54" s="1">
        <v>1.834699001277829</v>
      </c>
      <c r="P54" s="1">
        <v>-1.887508952129956</v>
      </c>
      <c r="Q54" s="1"/>
      <c r="R54" s="1"/>
      <c r="S54" s="1"/>
    </row>
    <row r="55" spans="1:19" x14ac:dyDescent="0.25">
      <c r="A55" t="s">
        <v>508</v>
      </c>
      <c r="B55" t="s">
        <v>517</v>
      </c>
      <c r="C55" t="s">
        <v>520</v>
      </c>
      <c r="D55" t="s">
        <v>519</v>
      </c>
      <c r="E55" t="s">
        <v>511</v>
      </c>
      <c r="F55" t="s">
        <v>509</v>
      </c>
      <c r="G55" t="s">
        <v>516</v>
      </c>
      <c r="K55" t="str">
        <f t="shared" si="1"/>
        <v>EmploymentRate</v>
      </c>
      <c r="L55" t="str">
        <f t="shared" si="2"/>
        <v>LongInterestRate</v>
      </c>
      <c r="M55" t="str">
        <f t="shared" si="3"/>
        <v>ProductionPrices</v>
      </c>
      <c r="N55" t="str">
        <f t="shared" si="4"/>
        <v>PrivateSpending</v>
      </c>
      <c r="O55" t="str">
        <f t="shared" si="5"/>
        <v>GDP</v>
      </c>
      <c r="P55" t="str">
        <f t="shared" si="6"/>
        <v>Exports</v>
      </c>
      <c r="Q55" t="str">
        <f t="shared" si="7"/>
        <v>LifeExpectancy</v>
      </c>
      <c r="R55" t="str">
        <f t="shared" si="8"/>
        <v/>
      </c>
    </row>
    <row r="56" spans="1:19" x14ac:dyDescent="0.25">
      <c r="A56" s="1">
        <v>-0.76521965285913018</v>
      </c>
      <c r="B56" s="1">
        <v>-1.5053305904204459</v>
      </c>
      <c r="C56" s="1">
        <v>0.84173382419129172</v>
      </c>
      <c r="D56" s="1">
        <v>0.61150493903829528</v>
      </c>
      <c r="E56" s="1">
        <v>1.291086225137333</v>
      </c>
      <c r="F56" s="1">
        <v>-1.121545954731296</v>
      </c>
      <c r="G56" s="1">
        <v>-1.0601096578564271</v>
      </c>
      <c r="H56" s="1"/>
      <c r="I56" s="1"/>
      <c r="K56" s="1">
        <v>-0.76521965285913018</v>
      </c>
      <c r="L56" s="1">
        <v>-1.5053305904204459</v>
      </c>
      <c r="M56" s="1">
        <v>0.84173382419129172</v>
      </c>
      <c r="N56" s="1">
        <v>0.61150493903829528</v>
      </c>
      <c r="O56" s="1">
        <v>1.291086225137333</v>
      </c>
      <c r="P56" s="1">
        <v>-1.121545954731296</v>
      </c>
      <c r="Q56" s="1">
        <v>-1.0601096578564271</v>
      </c>
      <c r="R56" s="1"/>
      <c r="S56" s="1"/>
    </row>
    <row r="57" spans="1:19" x14ac:dyDescent="0.25">
      <c r="A57" t="s">
        <v>508</v>
      </c>
      <c r="B57" t="s">
        <v>517</v>
      </c>
      <c r="C57" t="s">
        <v>512</v>
      </c>
      <c r="D57" t="s">
        <v>511</v>
      </c>
      <c r="E57" t="s">
        <v>514</v>
      </c>
      <c r="F57" t="s">
        <v>510</v>
      </c>
      <c r="G57" t="s">
        <v>516</v>
      </c>
      <c r="K57" t="str">
        <f t="shared" si="1"/>
        <v>EmploymentRate</v>
      </c>
      <c r="L57" t="str">
        <f t="shared" si="2"/>
        <v>LongInterestRate</v>
      </c>
      <c r="M57" t="str">
        <f t="shared" si="3"/>
        <v>GovernmentSpending</v>
      </c>
      <c r="N57" t="str">
        <f t="shared" si="4"/>
        <v>GDP</v>
      </c>
      <c r="O57" t="str">
        <f t="shared" si="5"/>
        <v>Imports</v>
      </c>
      <c r="P57" t="str">
        <f t="shared" si="6"/>
        <v>FDI</v>
      </c>
      <c r="Q57" t="str">
        <f t="shared" si="7"/>
        <v>LifeExpectancy</v>
      </c>
      <c r="R57" t="str">
        <f t="shared" si="8"/>
        <v/>
      </c>
    </row>
    <row r="58" spans="1:19" x14ac:dyDescent="0.25">
      <c r="A58" s="1">
        <v>-0.41123220716338388</v>
      </c>
      <c r="B58" s="1">
        <v>-0.41780856773318448</v>
      </c>
      <c r="C58" s="1">
        <v>1.669095387648885</v>
      </c>
      <c r="D58" s="1">
        <v>2.366858493952182</v>
      </c>
      <c r="E58" s="1">
        <v>-0.93414647445689636</v>
      </c>
      <c r="F58" s="1">
        <v>-1.90467452957335</v>
      </c>
      <c r="G58" s="1">
        <v>-2.1955847564244468</v>
      </c>
      <c r="H58" s="1"/>
      <c r="I58" s="1"/>
      <c r="K58" s="1">
        <v>-0.41123220716338388</v>
      </c>
      <c r="L58" s="1">
        <v>-0.41780856773318448</v>
      </c>
      <c r="M58" s="1">
        <v>1.669095387648885</v>
      </c>
      <c r="N58" s="1">
        <v>2.366858493952182</v>
      </c>
      <c r="O58" s="1">
        <v>-0.93414647445689636</v>
      </c>
      <c r="P58" s="1">
        <v>-1.90467452957335</v>
      </c>
      <c r="Q58" s="1">
        <v>-2.1955847564244468</v>
      </c>
      <c r="R58" s="1"/>
      <c r="S58" s="1"/>
    </row>
    <row r="59" spans="1:19" x14ac:dyDescent="0.25">
      <c r="A59" t="s">
        <v>515</v>
      </c>
      <c r="B59" t="s">
        <v>512</v>
      </c>
      <c r="C59" t="s">
        <v>511</v>
      </c>
      <c r="D59" t="s">
        <v>509</v>
      </c>
      <c r="E59" t="s">
        <v>514</v>
      </c>
      <c r="F59" t="s">
        <v>510</v>
      </c>
      <c r="K59" t="str">
        <f t="shared" si="1"/>
        <v>Inflation</v>
      </c>
      <c r="L59" t="str">
        <f t="shared" si="2"/>
        <v>GovernmentSpending</v>
      </c>
      <c r="M59" t="str">
        <f t="shared" si="3"/>
        <v>GDP</v>
      </c>
      <c r="N59" t="str">
        <f t="shared" si="4"/>
        <v>Exports</v>
      </c>
      <c r="O59" t="str">
        <f t="shared" si="5"/>
        <v>Imports</v>
      </c>
      <c r="P59" t="str">
        <f t="shared" si="6"/>
        <v>FDI</v>
      </c>
      <c r="Q59" t="str">
        <f t="shared" si="7"/>
        <v/>
      </c>
      <c r="R59" t="str">
        <f t="shared" si="8"/>
        <v/>
      </c>
    </row>
    <row r="60" spans="1:19" x14ac:dyDescent="0.25">
      <c r="A60" s="1">
        <v>0.90521508836895459</v>
      </c>
      <c r="B60" s="1">
        <v>1.912883925896667</v>
      </c>
      <c r="C60" s="1">
        <v>0.93769256122473732</v>
      </c>
      <c r="D60" s="1">
        <v>2.355440279753362</v>
      </c>
      <c r="E60" s="1">
        <v>-1.822426226626626</v>
      </c>
      <c r="F60" s="1">
        <v>-2.0336250361467298</v>
      </c>
      <c r="G60" s="1"/>
      <c r="H60" s="1"/>
      <c r="I60" s="1"/>
      <c r="K60" s="1">
        <v>0.90521508836895459</v>
      </c>
      <c r="L60" s="1">
        <v>1.912883925896667</v>
      </c>
      <c r="M60" s="1">
        <v>0.93769256122473732</v>
      </c>
      <c r="N60" s="1">
        <v>2.355440279753362</v>
      </c>
      <c r="O60" s="1">
        <v>-1.822426226626626</v>
      </c>
      <c r="P60" s="1">
        <v>-2.0336250361467298</v>
      </c>
      <c r="Q60" s="1"/>
      <c r="R60" s="1"/>
      <c r="S60" s="1"/>
    </row>
    <row r="61" spans="1:19" x14ac:dyDescent="0.25">
      <c r="A61" t="s">
        <v>522</v>
      </c>
      <c r="B61" t="s">
        <v>519</v>
      </c>
      <c r="C61" t="s">
        <v>511</v>
      </c>
      <c r="D61" t="s">
        <v>514</v>
      </c>
      <c r="E61" t="s">
        <v>510</v>
      </c>
      <c r="F61" t="s">
        <v>516</v>
      </c>
      <c r="K61" t="str">
        <f t="shared" si="1"/>
        <v>ShortInterestRate</v>
      </c>
      <c r="L61" t="str">
        <f t="shared" si="2"/>
        <v>PrivateSpending</v>
      </c>
      <c r="M61" t="str">
        <f t="shared" si="3"/>
        <v>GDP</v>
      </c>
      <c r="N61" t="str">
        <f t="shared" si="4"/>
        <v>Imports</v>
      </c>
      <c r="O61" t="str">
        <f t="shared" si="5"/>
        <v>FDI</v>
      </c>
      <c r="P61" t="str">
        <f t="shared" si="6"/>
        <v>LifeExpectancy</v>
      </c>
      <c r="Q61" t="str">
        <f t="shared" si="7"/>
        <v/>
      </c>
      <c r="R61" t="str">
        <f t="shared" si="8"/>
        <v/>
      </c>
    </row>
    <row r="62" spans="1:19" x14ac:dyDescent="0.25">
      <c r="A62" s="1">
        <v>-0.51455027374249895</v>
      </c>
      <c r="B62" s="1">
        <v>2.8932450074439311</v>
      </c>
      <c r="C62" s="1">
        <v>2.081304470981014</v>
      </c>
      <c r="D62" s="1">
        <v>-1.9548918620467799</v>
      </c>
      <c r="E62" s="1">
        <v>-2.056983559712164</v>
      </c>
      <c r="F62" s="1">
        <v>-1.650710180813753</v>
      </c>
      <c r="G62" s="1"/>
      <c r="H62" s="1"/>
      <c r="I62" s="1"/>
      <c r="K62" s="1">
        <v>-0.51455027374249895</v>
      </c>
      <c r="L62" s="1">
        <v>2.8932450074439311</v>
      </c>
      <c r="M62" s="1">
        <v>2.081304470981014</v>
      </c>
      <c r="N62" s="1">
        <v>-1.9548918620467799</v>
      </c>
      <c r="O62" s="1">
        <v>-2.056983559712164</v>
      </c>
      <c r="P62" s="1">
        <v>-1.650710180813753</v>
      </c>
      <c r="Q62" s="1"/>
      <c r="R62" s="1"/>
      <c r="S62" s="1"/>
    </row>
    <row r="63" spans="1:19" x14ac:dyDescent="0.25">
      <c r="A63" t="s">
        <v>522</v>
      </c>
      <c r="B63" t="s">
        <v>515</v>
      </c>
      <c r="C63" t="s">
        <v>519</v>
      </c>
      <c r="D63" t="s">
        <v>511</v>
      </c>
      <c r="E63" t="s">
        <v>509</v>
      </c>
      <c r="F63" t="s">
        <v>514</v>
      </c>
      <c r="G63" t="s">
        <v>510</v>
      </c>
      <c r="K63" t="str">
        <f t="shared" si="1"/>
        <v>ShortInterestRate</v>
      </c>
      <c r="L63" t="str">
        <f t="shared" si="2"/>
        <v>Inflation</v>
      </c>
      <c r="M63" t="str">
        <f t="shared" si="3"/>
        <v>PrivateSpending</v>
      </c>
      <c r="N63" t="str">
        <f t="shared" si="4"/>
        <v>GDP</v>
      </c>
      <c r="O63" t="str">
        <f t="shared" si="5"/>
        <v>Exports</v>
      </c>
      <c r="P63" t="str">
        <f t="shared" si="6"/>
        <v>Imports</v>
      </c>
      <c r="Q63" t="str">
        <f t="shared" si="7"/>
        <v>FDI</v>
      </c>
      <c r="R63" t="str">
        <f t="shared" si="8"/>
        <v/>
      </c>
    </row>
    <row r="64" spans="1:19" x14ac:dyDescent="0.25">
      <c r="A64" s="1">
        <v>-0.57590515402794007</v>
      </c>
      <c r="B64" s="1">
        <v>0.95595086808616825</v>
      </c>
      <c r="C64" s="1">
        <v>3.3807099689686742</v>
      </c>
      <c r="D64" s="1">
        <v>1.389539114899438</v>
      </c>
      <c r="E64" s="1">
        <v>0.90644048870351968</v>
      </c>
      <c r="F64" s="1">
        <v>-2.6897908879972041</v>
      </c>
      <c r="G64" s="1">
        <v>-1.8277207479290849</v>
      </c>
      <c r="H64" s="1"/>
      <c r="I64" s="1"/>
      <c r="K64" s="1">
        <v>-0.57590515402794007</v>
      </c>
      <c r="L64" s="1">
        <v>0.95595086808616825</v>
      </c>
      <c r="M64" s="1">
        <v>3.3807099689686742</v>
      </c>
      <c r="N64" s="1">
        <v>1.389539114899438</v>
      </c>
      <c r="O64" s="1">
        <v>0.90644048870351968</v>
      </c>
      <c r="P64" s="1">
        <v>-2.6897908879972041</v>
      </c>
      <c r="Q64" s="1">
        <v>-1.8277207479290849</v>
      </c>
      <c r="R64" s="1"/>
      <c r="S64" s="1"/>
    </row>
    <row r="65" spans="1:19" x14ac:dyDescent="0.25">
      <c r="A65" t="s">
        <v>517</v>
      </c>
      <c r="B65" t="s">
        <v>520</v>
      </c>
      <c r="C65" t="s">
        <v>519</v>
      </c>
      <c r="D65" t="s">
        <v>512</v>
      </c>
      <c r="E65" t="s">
        <v>511</v>
      </c>
      <c r="F65" t="s">
        <v>513</v>
      </c>
      <c r="K65" t="str">
        <f t="shared" si="1"/>
        <v>LongInterestRate</v>
      </c>
      <c r="L65" t="str">
        <f t="shared" si="2"/>
        <v>ProductionPrices</v>
      </c>
      <c r="M65" t="str">
        <f t="shared" si="3"/>
        <v>PrivateSpending</v>
      </c>
      <c r="N65" t="str">
        <f t="shared" si="4"/>
        <v>GovernmentSpending</v>
      </c>
      <c r="O65" t="str">
        <f t="shared" si="5"/>
        <v>GDP</v>
      </c>
      <c r="P65" t="str">
        <f t="shared" si="6"/>
        <v>HealthExpenditure</v>
      </c>
      <c r="Q65" t="str">
        <f t="shared" si="7"/>
        <v/>
      </c>
      <c r="R65" t="str">
        <f t="shared" si="8"/>
        <v/>
      </c>
    </row>
    <row r="66" spans="1:19" x14ac:dyDescent="0.25">
      <c r="A66" s="1">
        <v>-2.2806107104968198</v>
      </c>
      <c r="B66" s="1">
        <v>1.3002021675015241</v>
      </c>
      <c r="C66" s="1">
        <v>3.9179060677760531</v>
      </c>
      <c r="D66" s="1">
        <v>-2.740974263134011</v>
      </c>
      <c r="E66" s="1">
        <v>0.91545469065448359</v>
      </c>
      <c r="F66" s="1">
        <v>-1.8971068269744671</v>
      </c>
      <c r="G66" s="1"/>
      <c r="H66" s="1"/>
      <c r="I66" s="1"/>
      <c r="K66" s="1">
        <v>-2.2806107104968198</v>
      </c>
      <c r="L66" s="1">
        <v>1.3002021675015241</v>
      </c>
      <c r="M66" s="1">
        <v>3.9179060677760531</v>
      </c>
      <c r="N66" s="1">
        <v>-2.740974263134011</v>
      </c>
      <c r="O66" s="1">
        <v>0.91545469065448359</v>
      </c>
      <c r="P66" s="1">
        <v>-1.8971068269744671</v>
      </c>
      <c r="Q66" s="1"/>
      <c r="R66" s="1"/>
      <c r="S66" s="1"/>
    </row>
    <row r="67" spans="1:19" x14ac:dyDescent="0.25">
      <c r="A67" t="s">
        <v>508</v>
      </c>
      <c r="B67" t="s">
        <v>522</v>
      </c>
      <c r="C67" t="s">
        <v>511</v>
      </c>
      <c r="D67" t="s">
        <v>509</v>
      </c>
      <c r="E67" t="s">
        <v>514</v>
      </c>
      <c r="F67" t="s">
        <v>516</v>
      </c>
      <c r="K67" t="str">
        <f t="shared" ref="K67:K129" si="9">IF(A67&gt;0,$J$1&amp;A67&amp;$J$1,"")</f>
        <v>EmploymentRate</v>
      </c>
      <c r="L67" t="str">
        <f t="shared" ref="L67:L129" si="10">IF(B67&gt;0,$J$1&amp;B67&amp;$J$1,"")</f>
        <v>ShortInterestRate</v>
      </c>
      <c r="M67" t="str">
        <f t="shared" ref="M67:M129" si="11">IF(C67&gt;0,$J$1&amp;C67&amp;$J$1,"")</f>
        <v>GDP</v>
      </c>
      <c r="N67" t="str">
        <f t="shared" ref="N67:N129" si="12">IF(D67&gt;0,$J$1&amp;D67&amp;$J$1,"")</f>
        <v>Exports</v>
      </c>
      <c r="O67" t="str">
        <f t="shared" ref="O67:O129" si="13">IF(E67&gt;0,$J$1&amp;E67&amp;$J$1,"")</f>
        <v>Imports</v>
      </c>
      <c r="P67" t="str">
        <f t="shared" ref="P67:P129" si="14">IF(F67&gt;0,$J$1&amp;F67&amp;$J$1,"")</f>
        <v>LifeExpectancy</v>
      </c>
      <c r="Q67" t="str">
        <f t="shared" ref="Q67:Q129" si="15">IF(G67&gt;0,$J$1&amp;G67&amp;$J$1,"")</f>
        <v/>
      </c>
      <c r="R67" t="str">
        <f t="shared" ref="R67:R129" si="16">IF(H67&gt;0,$J$1&amp;H67&amp;$J$1,"")</f>
        <v/>
      </c>
    </row>
    <row r="68" spans="1:19" x14ac:dyDescent="0.25">
      <c r="A68" s="1">
        <v>-0.73037351008144613</v>
      </c>
      <c r="B68" s="1">
        <v>-0.97483699674040514</v>
      </c>
      <c r="C68" s="1">
        <v>1.9323212516740551</v>
      </c>
      <c r="D68" s="1">
        <v>-1.9420952355224601</v>
      </c>
      <c r="E68" s="1">
        <v>0.76734677898000647</v>
      </c>
      <c r="F68" s="1">
        <v>-2.0100822810442902</v>
      </c>
      <c r="G68" s="1"/>
      <c r="H68" s="1"/>
      <c r="I68" s="1"/>
      <c r="K68" s="1">
        <v>-0.73037351008144613</v>
      </c>
      <c r="L68" s="1">
        <v>-0.97483699674040514</v>
      </c>
      <c r="M68" s="1">
        <v>1.9323212516740551</v>
      </c>
      <c r="N68" s="1">
        <v>-1.9420952355224601</v>
      </c>
      <c r="O68" s="1">
        <v>0.76734677898000647</v>
      </c>
      <c r="P68" s="1">
        <v>-2.0100822810442902</v>
      </c>
      <c r="Q68" s="1"/>
      <c r="R68" s="1"/>
      <c r="S68" s="1"/>
    </row>
    <row r="69" spans="1:19" x14ac:dyDescent="0.25">
      <c r="A69" t="s">
        <v>517</v>
      </c>
      <c r="B69" t="s">
        <v>520</v>
      </c>
      <c r="C69" t="s">
        <v>519</v>
      </c>
      <c r="D69" t="s">
        <v>512</v>
      </c>
      <c r="E69" t="s">
        <v>514</v>
      </c>
      <c r="F69" t="s">
        <v>516</v>
      </c>
      <c r="K69" t="str">
        <f t="shared" si="9"/>
        <v>LongInterestRate</v>
      </c>
      <c r="L69" t="str">
        <f t="shared" si="10"/>
        <v>ProductionPrices</v>
      </c>
      <c r="M69" t="str">
        <f t="shared" si="11"/>
        <v>PrivateSpending</v>
      </c>
      <c r="N69" t="str">
        <f t="shared" si="12"/>
        <v>GovernmentSpending</v>
      </c>
      <c r="O69" t="str">
        <f t="shared" si="13"/>
        <v>Imports</v>
      </c>
      <c r="P69" t="str">
        <f t="shared" si="14"/>
        <v>LifeExpectancy</v>
      </c>
      <c r="Q69" t="str">
        <f t="shared" si="15"/>
        <v/>
      </c>
      <c r="R69" t="str">
        <f t="shared" si="16"/>
        <v/>
      </c>
    </row>
    <row r="70" spans="1:19" x14ac:dyDescent="0.25">
      <c r="A70" s="1">
        <v>-1.618757416401309</v>
      </c>
      <c r="B70" s="1">
        <v>1.4582030197845499</v>
      </c>
      <c r="C70" s="1">
        <v>5.6419120778594136</v>
      </c>
      <c r="D70" s="1">
        <v>-2.5616072755166912</v>
      </c>
      <c r="E70" s="1">
        <v>-2.6043127192123752</v>
      </c>
      <c r="F70" s="1">
        <v>1.118769237513398</v>
      </c>
      <c r="G70" s="1"/>
      <c r="H70" s="1"/>
      <c r="I70" s="1"/>
      <c r="K70" s="1">
        <v>-1.618757416401309</v>
      </c>
      <c r="L70" s="1">
        <v>1.4582030197845499</v>
      </c>
      <c r="M70" s="1">
        <v>5.6419120778594136</v>
      </c>
      <c r="N70" s="1">
        <v>-2.5616072755166912</v>
      </c>
      <c r="O70" s="1">
        <v>-2.6043127192123752</v>
      </c>
      <c r="P70" s="1">
        <v>1.118769237513398</v>
      </c>
      <c r="Q70" s="1"/>
      <c r="R70" s="1"/>
      <c r="S70" s="1"/>
    </row>
    <row r="71" spans="1:19" x14ac:dyDescent="0.25">
      <c r="A71" t="s">
        <v>515</v>
      </c>
      <c r="B71" t="s">
        <v>519</v>
      </c>
      <c r="C71" t="s">
        <v>509</v>
      </c>
      <c r="D71" t="s">
        <v>514</v>
      </c>
      <c r="E71" t="s">
        <v>510</v>
      </c>
      <c r="F71" t="s">
        <v>516</v>
      </c>
      <c r="K71" t="str">
        <f t="shared" si="9"/>
        <v>Inflation</v>
      </c>
      <c r="L71" t="str">
        <f t="shared" si="10"/>
        <v>PrivateSpending</v>
      </c>
      <c r="M71" t="str">
        <f t="shared" si="11"/>
        <v>Exports</v>
      </c>
      <c r="N71" t="str">
        <f t="shared" si="12"/>
        <v>Imports</v>
      </c>
      <c r="O71" t="str">
        <f t="shared" si="13"/>
        <v>FDI</v>
      </c>
      <c r="P71" t="str">
        <f t="shared" si="14"/>
        <v>LifeExpectancy</v>
      </c>
      <c r="Q71" t="str">
        <f t="shared" si="15"/>
        <v/>
      </c>
      <c r="R71" t="str">
        <f t="shared" si="16"/>
        <v/>
      </c>
    </row>
    <row r="72" spans="1:19" x14ac:dyDescent="0.25">
      <c r="A72" s="1">
        <v>1.957506674704691</v>
      </c>
      <c r="B72" s="1">
        <v>3.761541070965396</v>
      </c>
      <c r="C72" s="1">
        <v>2.7609524533078562</v>
      </c>
      <c r="D72" s="1">
        <v>-3.760884080662247</v>
      </c>
      <c r="E72" s="1">
        <v>-1.278315834400336</v>
      </c>
      <c r="F72" s="1">
        <v>2.8273040203171722</v>
      </c>
      <c r="G72" s="1"/>
      <c r="H72" s="1"/>
      <c r="I72" s="1"/>
      <c r="K72" s="1">
        <v>1.957506674704691</v>
      </c>
      <c r="L72" s="1">
        <v>3.761541070965396</v>
      </c>
      <c r="M72" s="1">
        <v>2.7609524533078562</v>
      </c>
      <c r="N72" s="1">
        <v>-3.760884080662247</v>
      </c>
      <c r="O72" s="1">
        <v>-1.278315834400336</v>
      </c>
      <c r="P72" s="1">
        <v>2.8273040203171722</v>
      </c>
      <c r="Q72" s="1"/>
      <c r="R72" s="1"/>
      <c r="S72" s="1"/>
    </row>
    <row r="73" spans="1:19" x14ac:dyDescent="0.25">
      <c r="A73" t="s">
        <v>508</v>
      </c>
      <c r="B73" t="s">
        <v>520</v>
      </c>
      <c r="C73" t="s">
        <v>519</v>
      </c>
      <c r="D73" t="s">
        <v>512</v>
      </c>
      <c r="E73" t="s">
        <v>513</v>
      </c>
      <c r="K73" t="str">
        <f t="shared" si="9"/>
        <v>EmploymentRate</v>
      </c>
      <c r="L73" t="str">
        <f t="shared" si="10"/>
        <v>ProductionPrices</v>
      </c>
      <c r="M73" t="str">
        <f t="shared" si="11"/>
        <v>PrivateSpending</v>
      </c>
      <c r="N73" t="str">
        <f t="shared" si="12"/>
        <v>GovernmentSpending</v>
      </c>
      <c r="O73" t="str">
        <f t="shared" si="13"/>
        <v>HealthExpenditure</v>
      </c>
      <c r="P73" t="str">
        <f t="shared" si="14"/>
        <v/>
      </c>
      <c r="Q73" t="str">
        <f t="shared" si="15"/>
        <v/>
      </c>
      <c r="R73" t="str">
        <f t="shared" si="16"/>
        <v/>
      </c>
    </row>
    <row r="74" spans="1:19" x14ac:dyDescent="0.25">
      <c r="A74" s="1">
        <v>-1.647159436597311</v>
      </c>
      <c r="B74" s="1">
        <v>1.0699701661494689</v>
      </c>
      <c r="C74" s="1">
        <v>-4.1115075869756863</v>
      </c>
      <c r="D74" s="1">
        <v>3.64343463355564</v>
      </c>
      <c r="E74" s="1">
        <v>2.131185271553715</v>
      </c>
      <c r="F74" s="1"/>
      <c r="G74" s="1"/>
      <c r="H74" s="1"/>
      <c r="I74" s="1"/>
      <c r="K74" s="1">
        <v>-1.647159436597311</v>
      </c>
      <c r="L74" s="1">
        <v>1.0699701661494689</v>
      </c>
      <c r="M74" s="1">
        <v>-4.1115075869756863</v>
      </c>
      <c r="N74" s="1">
        <v>3.64343463355564</v>
      </c>
      <c r="O74" s="1">
        <v>2.131185271553715</v>
      </c>
      <c r="P74" s="1"/>
      <c r="Q74" s="1"/>
      <c r="R74" s="1"/>
      <c r="S74" s="1"/>
    </row>
    <row r="75" spans="1:19" x14ac:dyDescent="0.25">
      <c r="A75" t="s">
        <v>521</v>
      </c>
      <c r="B75" t="s">
        <v>508</v>
      </c>
      <c r="C75" t="s">
        <v>522</v>
      </c>
      <c r="D75" t="s">
        <v>520</v>
      </c>
      <c r="E75" t="s">
        <v>515</v>
      </c>
      <c r="F75" t="s">
        <v>516</v>
      </c>
      <c r="K75" t="str">
        <f t="shared" si="9"/>
        <v>RecoveryRate</v>
      </c>
      <c r="L75" t="str">
        <f t="shared" si="10"/>
        <v>EmploymentRate</v>
      </c>
      <c r="M75" t="str">
        <f t="shared" si="11"/>
        <v>ShortInterestRate</v>
      </c>
      <c r="N75" t="str">
        <f t="shared" si="12"/>
        <v>ProductionPrices</v>
      </c>
      <c r="O75" t="str">
        <f t="shared" si="13"/>
        <v>Inflation</v>
      </c>
      <c r="P75" t="str">
        <f t="shared" si="14"/>
        <v>LifeExpectancy</v>
      </c>
      <c r="Q75" t="str">
        <f t="shared" si="15"/>
        <v/>
      </c>
      <c r="R75" t="str">
        <f t="shared" si="16"/>
        <v/>
      </c>
    </row>
    <row r="76" spans="1:19" x14ac:dyDescent="0.25">
      <c r="A76" s="1">
        <v>-0.19678766353304819</v>
      </c>
      <c r="B76" s="1">
        <v>-0.31990222524818063</v>
      </c>
      <c r="C76" s="1">
        <v>-1.589833577817326</v>
      </c>
      <c r="D76" s="1">
        <v>3.3737577428200449</v>
      </c>
      <c r="E76" s="1">
        <v>-3.569380229196748</v>
      </c>
      <c r="F76" s="1">
        <v>-2.1791662750212581</v>
      </c>
      <c r="G76" s="1"/>
      <c r="H76" s="1"/>
      <c r="I76" s="1"/>
      <c r="K76" s="1">
        <v>-0.19678766353304819</v>
      </c>
      <c r="L76" s="1">
        <v>-0.31990222524818063</v>
      </c>
      <c r="M76" s="1">
        <v>-1.589833577817326</v>
      </c>
      <c r="N76" s="1">
        <v>3.3737577428200449</v>
      </c>
      <c r="O76" s="1">
        <v>-3.569380229196748</v>
      </c>
      <c r="P76" s="1">
        <v>-2.1791662750212581</v>
      </c>
      <c r="Q76" s="1"/>
      <c r="R76" s="1"/>
      <c r="S76" s="1"/>
    </row>
    <row r="77" spans="1:19" x14ac:dyDescent="0.25">
      <c r="A77" t="s">
        <v>517</v>
      </c>
      <c r="B77" t="s">
        <v>520</v>
      </c>
      <c r="C77" t="s">
        <v>515</v>
      </c>
      <c r="D77" t="s">
        <v>519</v>
      </c>
      <c r="E77" t="s">
        <v>512</v>
      </c>
      <c r="F77" t="s">
        <v>514</v>
      </c>
      <c r="K77" t="str">
        <f t="shared" si="9"/>
        <v>LongInterestRate</v>
      </c>
      <c r="L77" t="str">
        <f t="shared" si="10"/>
        <v>ProductionPrices</v>
      </c>
      <c r="M77" t="str">
        <f t="shared" si="11"/>
        <v>Inflation</v>
      </c>
      <c r="N77" t="str">
        <f t="shared" si="12"/>
        <v>PrivateSpending</v>
      </c>
      <c r="O77" t="str">
        <f t="shared" si="13"/>
        <v>GovernmentSpending</v>
      </c>
      <c r="P77" t="str">
        <f t="shared" si="14"/>
        <v>Imports</v>
      </c>
      <c r="Q77" t="str">
        <f t="shared" si="15"/>
        <v/>
      </c>
      <c r="R77" t="str">
        <f t="shared" si="16"/>
        <v/>
      </c>
    </row>
    <row r="78" spans="1:19" x14ac:dyDescent="0.25">
      <c r="A78" s="1">
        <v>-1.6255195757471821</v>
      </c>
      <c r="B78" s="1">
        <v>2.311620212573283</v>
      </c>
      <c r="C78" s="1">
        <v>-1.466259228665149</v>
      </c>
      <c r="D78" s="1">
        <v>4.3375304583240659</v>
      </c>
      <c r="E78" s="1">
        <v>-1.9233400183041161</v>
      </c>
      <c r="F78" s="1">
        <v>-2.1348707032685512</v>
      </c>
      <c r="G78" s="1"/>
      <c r="H78" s="1"/>
      <c r="I78" s="1"/>
      <c r="K78" s="1">
        <v>-1.6255195757471821</v>
      </c>
      <c r="L78" s="1">
        <v>2.311620212573283</v>
      </c>
      <c r="M78" s="1">
        <v>-1.466259228665149</v>
      </c>
      <c r="N78" s="1">
        <v>4.3375304583240659</v>
      </c>
      <c r="O78" s="1">
        <v>-1.9233400183041161</v>
      </c>
      <c r="P78" s="1">
        <v>-2.1348707032685512</v>
      </c>
      <c r="Q78" s="1"/>
      <c r="R78" s="1"/>
      <c r="S78" s="1"/>
    </row>
    <row r="79" spans="1:19" x14ac:dyDescent="0.25">
      <c r="A79" t="s">
        <v>515</v>
      </c>
      <c r="B79" t="s">
        <v>509</v>
      </c>
      <c r="C79" t="s">
        <v>513</v>
      </c>
      <c r="D79" t="s">
        <v>516</v>
      </c>
      <c r="K79" t="str">
        <f t="shared" si="9"/>
        <v>Inflation</v>
      </c>
      <c r="L79" t="str">
        <f t="shared" si="10"/>
        <v>Exports</v>
      </c>
      <c r="M79" t="str">
        <f t="shared" si="11"/>
        <v>HealthExpenditure</v>
      </c>
      <c r="N79" t="str">
        <f t="shared" si="12"/>
        <v>LifeExpectancy</v>
      </c>
      <c r="O79" t="str">
        <f t="shared" si="13"/>
        <v/>
      </c>
      <c r="P79" t="str">
        <f t="shared" si="14"/>
        <v/>
      </c>
      <c r="Q79" t="str">
        <f t="shared" si="15"/>
        <v/>
      </c>
      <c r="R79" t="str">
        <f t="shared" si="16"/>
        <v/>
      </c>
    </row>
    <row r="80" spans="1:19" x14ac:dyDescent="0.25">
      <c r="A80" s="1">
        <v>1.7674540055336601</v>
      </c>
      <c r="B80" s="1">
        <v>4.1351000613131834</v>
      </c>
      <c r="C80" s="1">
        <v>-2.8547383922917069</v>
      </c>
      <c r="D80" s="1">
        <v>3.0413249359702381</v>
      </c>
      <c r="E80" s="1"/>
      <c r="F80" s="1"/>
      <c r="G80" s="1"/>
      <c r="H80" s="1"/>
      <c r="I80" s="1"/>
      <c r="K80" s="1">
        <v>1.7674540055336601</v>
      </c>
      <c r="L80" s="1">
        <v>4.1351000613131834</v>
      </c>
      <c r="M80" s="1">
        <v>-2.8547383922917069</v>
      </c>
      <c r="N80" s="1">
        <v>3.0413249359702381</v>
      </c>
      <c r="O80" s="1"/>
      <c r="P80" s="1"/>
      <c r="Q80" s="1"/>
      <c r="R80" s="1"/>
      <c r="S80" s="1"/>
    </row>
    <row r="81" spans="1:19" x14ac:dyDescent="0.25">
      <c r="A81" t="s">
        <v>508</v>
      </c>
      <c r="B81" t="s">
        <v>520</v>
      </c>
      <c r="C81" t="s">
        <v>519</v>
      </c>
      <c r="D81" t="s">
        <v>512</v>
      </c>
      <c r="E81" t="s">
        <v>509</v>
      </c>
      <c r="F81" t="s">
        <v>514</v>
      </c>
      <c r="K81" t="str">
        <f t="shared" si="9"/>
        <v>EmploymentRate</v>
      </c>
      <c r="L81" t="str">
        <f t="shared" si="10"/>
        <v>ProductionPrices</v>
      </c>
      <c r="M81" t="str">
        <f t="shared" si="11"/>
        <v>PrivateSpending</v>
      </c>
      <c r="N81" t="str">
        <f t="shared" si="12"/>
        <v>GovernmentSpending</v>
      </c>
      <c r="O81" t="str">
        <f t="shared" si="13"/>
        <v>Exports</v>
      </c>
      <c r="P81" t="str">
        <f t="shared" si="14"/>
        <v>Imports</v>
      </c>
      <c r="Q81" t="str">
        <f t="shared" si="15"/>
        <v/>
      </c>
      <c r="R81" t="str">
        <f t="shared" si="16"/>
        <v/>
      </c>
    </row>
    <row r="82" spans="1:19" x14ac:dyDescent="0.25">
      <c r="A82" s="1">
        <v>-1.408426295215631</v>
      </c>
      <c r="B82" s="1">
        <v>1.30709786264368</v>
      </c>
      <c r="C82" s="1">
        <v>-8.3309875057339227</v>
      </c>
      <c r="D82" s="1">
        <v>5.7109314564582991</v>
      </c>
      <c r="E82" s="1">
        <v>2.9571640171637821</v>
      </c>
      <c r="F82" s="1">
        <v>1.4176796081305161</v>
      </c>
      <c r="G82" s="1"/>
      <c r="H82" s="1"/>
      <c r="I82" s="1"/>
      <c r="K82" s="1">
        <v>-1.408426295215631</v>
      </c>
      <c r="L82" s="1">
        <v>1.30709786264368</v>
      </c>
      <c r="M82" s="1">
        <v>-8.3309875057339227</v>
      </c>
      <c r="N82" s="1">
        <v>5.7109314564582991</v>
      </c>
      <c r="O82" s="1">
        <v>2.9571640171637821</v>
      </c>
      <c r="P82" s="1">
        <v>1.4176796081305161</v>
      </c>
      <c r="Q82" s="1"/>
      <c r="R82" s="1"/>
      <c r="S82" s="1"/>
    </row>
    <row r="83" spans="1:19" x14ac:dyDescent="0.25">
      <c r="A83" t="s">
        <v>508</v>
      </c>
      <c r="B83" t="s">
        <v>517</v>
      </c>
      <c r="C83" t="s">
        <v>520</v>
      </c>
      <c r="D83" t="s">
        <v>515</v>
      </c>
      <c r="E83" t="s">
        <v>519</v>
      </c>
      <c r="F83" t="s">
        <v>514</v>
      </c>
      <c r="G83" t="s">
        <v>513</v>
      </c>
      <c r="K83" t="str">
        <f t="shared" si="9"/>
        <v>EmploymentRate</v>
      </c>
      <c r="L83" t="str">
        <f t="shared" si="10"/>
        <v>LongInterestRate</v>
      </c>
      <c r="M83" t="str">
        <f t="shared" si="11"/>
        <v>ProductionPrices</v>
      </c>
      <c r="N83" t="str">
        <f t="shared" si="12"/>
        <v>Inflation</v>
      </c>
      <c r="O83" t="str">
        <f t="shared" si="13"/>
        <v>PrivateSpending</v>
      </c>
      <c r="P83" t="str">
        <f t="shared" si="14"/>
        <v>Imports</v>
      </c>
      <c r="Q83" t="str">
        <f t="shared" si="15"/>
        <v>HealthExpenditure</v>
      </c>
      <c r="R83" t="str">
        <f t="shared" si="16"/>
        <v/>
      </c>
    </row>
    <row r="84" spans="1:19" x14ac:dyDescent="0.25">
      <c r="A84" s="1">
        <v>-0.64954597186176577</v>
      </c>
      <c r="B84" s="1">
        <v>-1.527729352059825</v>
      </c>
      <c r="C84" s="1">
        <v>2.4464158535423182</v>
      </c>
      <c r="D84" s="1">
        <v>-1.2467727503342529</v>
      </c>
      <c r="E84" s="1">
        <v>1.9894373172813471</v>
      </c>
      <c r="F84" s="1">
        <v>-2.036522245919056</v>
      </c>
      <c r="G84" s="1">
        <v>0.78398315001304442</v>
      </c>
      <c r="H84" s="1"/>
      <c r="I84" s="1"/>
      <c r="K84" s="1">
        <v>-0.64954597186176577</v>
      </c>
      <c r="L84" s="1">
        <v>-1.527729352059825</v>
      </c>
      <c r="M84" s="1">
        <v>2.4464158535423182</v>
      </c>
      <c r="N84" s="1">
        <v>-1.2467727503342529</v>
      </c>
      <c r="O84" s="1">
        <v>1.9894373172813471</v>
      </c>
      <c r="P84" s="1">
        <v>-2.036522245919056</v>
      </c>
      <c r="Q84" s="1">
        <v>0.78398315001304442</v>
      </c>
      <c r="R84" s="1"/>
      <c r="S84" s="1"/>
    </row>
    <row r="85" spans="1:19" x14ac:dyDescent="0.25">
      <c r="A85" t="s">
        <v>508</v>
      </c>
      <c r="B85" t="s">
        <v>515</v>
      </c>
      <c r="C85" t="s">
        <v>512</v>
      </c>
      <c r="D85" t="s">
        <v>514</v>
      </c>
      <c r="E85" t="s">
        <v>513</v>
      </c>
      <c r="F85" t="s">
        <v>516</v>
      </c>
      <c r="K85" t="str">
        <f t="shared" si="9"/>
        <v>EmploymentRate</v>
      </c>
      <c r="L85" t="str">
        <f t="shared" si="10"/>
        <v>Inflation</v>
      </c>
      <c r="M85" t="str">
        <f t="shared" si="11"/>
        <v>GovernmentSpending</v>
      </c>
      <c r="N85" t="str">
        <f t="shared" si="12"/>
        <v>Imports</v>
      </c>
      <c r="O85" t="str">
        <f t="shared" si="13"/>
        <v>HealthExpenditure</v>
      </c>
      <c r="P85" t="str">
        <f t="shared" si="14"/>
        <v>LifeExpectancy</v>
      </c>
      <c r="Q85" t="str">
        <f t="shared" si="15"/>
        <v/>
      </c>
      <c r="R85" t="str">
        <f t="shared" si="16"/>
        <v/>
      </c>
    </row>
    <row r="86" spans="1:19" x14ac:dyDescent="0.25">
      <c r="A86" s="1">
        <v>-1.3909032519785021</v>
      </c>
      <c r="B86" s="1">
        <v>2.1465497631064498</v>
      </c>
      <c r="C86" s="1">
        <v>2.471743068988896</v>
      </c>
      <c r="D86" s="1">
        <v>-3.0603521708761598</v>
      </c>
      <c r="E86" s="1">
        <v>2.6243257885800322</v>
      </c>
      <c r="F86" s="1">
        <v>2.1027194739648771</v>
      </c>
      <c r="G86" s="1"/>
      <c r="H86" s="1"/>
      <c r="I86" s="1"/>
      <c r="K86" s="1">
        <v>-1.3909032519785021</v>
      </c>
      <c r="L86" s="1">
        <v>2.1465497631064498</v>
      </c>
      <c r="M86" s="1">
        <v>2.471743068988896</v>
      </c>
      <c r="N86" s="1">
        <v>-3.0603521708761598</v>
      </c>
      <c r="O86" s="1">
        <v>2.6243257885800322</v>
      </c>
      <c r="P86" s="1">
        <v>2.1027194739648771</v>
      </c>
      <c r="Q86" s="1"/>
      <c r="R86" s="1"/>
      <c r="S86" s="1"/>
    </row>
    <row r="87" spans="1:19" x14ac:dyDescent="0.25">
      <c r="A87" t="s">
        <v>522</v>
      </c>
      <c r="B87" t="s">
        <v>515</v>
      </c>
      <c r="C87" t="s">
        <v>519</v>
      </c>
      <c r="D87" t="s">
        <v>512</v>
      </c>
      <c r="E87" t="s">
        <v>514</v>
      </c>
      <c r="F87" t="s">
        <v>516</v>
      </c>
      <c r="K87" t="str">
        <f t="shared" si="9"/>
        <v>ShortInterestRate</v>
      </c>
      <c r="L87" t="str">
        <f t="shared" si="10"/>
        <v>Inflation</v>
      </c>
      <c r="M87" t="str">
        <f t="shared" si="11"/>
        <v>PrivateSpending</v>
      </c>
      <c r="N87" t="str">
        <f t="shared" si="12"/>
        <v>GovernmentSpending</v>
      </c>
      <c r="O87" t="str">
        <f t="shared" si="13"/>
        <v>Imports</v>
      </c>
      <c r="P87" t="str">
        <f t="shared" si="14"/>
        <v>LifeExpectancy</v>
      </c>
      <c r="Q87" t="str">
        <f t="shared" si="15"/>
        <v/>
      </c>
      <c r="R87" t="str">
        <f t="shared" si="16"/>
        <v/>
      </c>
    </row>
    <row r="88" spans="1:19" x14ac:dyDescent="0.25">
      <c r="A88" s="1">
        <v>-1.536832754898005</v>
      </c>
      <c r="B88" s="1">
        <v>2.3418118111130179</v>
      </c>
      <c r="C88" s="1">
        <v>6.7164804514002707</v>
      </c>
      <c r="D88" s="1">
        <v>-3.101419944375444</v>
      </c>
      <c r="E88" s="1">
        <v>-2.862050089736258</v>
      </c>
      <c r="F88" s="1">
        <v>2.5893478890830091</v>
      </c>
      <c r="G88" s="1"/>
      <c r="H88" s="1"/>
      <c r="I88" s="1"/>
      <c r="K88" s="1">
        <v>-1.536832754898005</v>
      </c>
      <c r="L88" s="1">
        <v>2.3418118111130179</v>
      </c>
      <c r="M88" s="1">
        <v>6.7164804514002707</v>
      </c>
      <c r="N88" s="1">
        <v>-3.101419944375444</v>
      </c>
      <c r="O88" s="1">
        <v>-2.862050089736258</v>
      </c>
      <c r="P88" s="1">
        <v>2.5893478890830091</v>
      </c>
      <c r="Q88" s="1"/>
      <c r="R88" s="1"/>
      <c r="S88" s="1"/>
    </row>
    <row r="89" spans="1:19" x14ac:dyDescent="0.25">
      <c r="A89" t="s">
        <v>508</v>
      </c>
      <c r="B89" t="s">
        <v>515</v>
      </c>
      <c r="C89" t="s">
        <v>512</v>
      </c>
      <c r="D89" t="s">
        <v>511</v>
      </c>
      <c r="E89" t="s">
        <v>514</v>
      </c>
      <c r="F89" t="s">
        <v>510</v>
      </c>
      <c r="G89" t="s">
        <v>513</v>
      </c>
      <c r="K89" t="str">
        <f t="shared" si="9"/>
        <v>EmploymentRate</v>
      </c>
      <c r="L89" t="str">
        <f t="shared" si="10"/>
        <v>Inflation</v>
      </c>
      <c r="M89" t="str">
        <f t="shared" si="11"/>
        <v>GovernmentSpending</v>
      </c>
      <c r="N89" t="str">
        <f t="shared" si="12"/>
        <v>GDP</v>
      </c>
      <c r="O89" t="str">
        <f t="shared" si="13"/>
        <v>Imports</v>
      </c>
      <c r="P89" t="str">
        <f t="shared" si="14"/>
        <v>FDI</v>
      </c>
      <c r="Q89" t="str">
        <f t="shared" si="15"/>
        <v>HealthExpenditure</v>
      </c>
      <c r="R89" t="str">
        <f t="shared" si="16"/>
        <v/>
      </c>
    </row>
    <row r="90" spans="1:19" x14ac:dyDescent="0.25">
      <c r="A90" s="1">
        <v>-0.87020845926520329</v>
      </c>
      <c r="B90" s="1">
        <v>0.92794735973057674</v>
      </c>
      <c r="C90" s="1">
        <v>2.1158664032526819</v>
      </c>
      <c r="D90" s="1">
        <v>1.1019670962416901</v>
      </c>
      <c r="E90" s="1">
        <v>-2.1259300532170591</v>
      </c>
      <c r="F90" s="1">
        <v>-0.90093467472811217</v>
      </c>
      <c r="G90" s="1">
        <v>1.457838700303298</v>
      </c>
      <c r="H90" s="1"/>
      <c r="I90" s="1"/>
      <c r="K90" s="1">
        <v>-0.87020845926520329</v>
      </c>
      <c r="L90" s="1">
        <v>0.92794735973057674</v>
      </c>
      <c r="M90" s="1">
        <v>2.1158664032526819</v>
      </c>
      <c r="N90" s="1">
        <v>1.1019670962416901</v>
      </c>
      <c r="O90" s="1">
        <v>-2.1259300532170591</v>
      </c>
      <c r="P90" s="1">
        <v>-0.90093467472811217</v>
      </c>
      <c r="Q90" s="1">
        <v>1.457838700303298</v>
      </c>
      <c r="R90" s="1"/>
      <c r="S90" s="1"/>
    </row>
    <row r="91" spans="1:19" x14ac:dyDescent="0.25">
      <c r="A91" t="s">
        <v>518</v>
      </c>
      <c r="B91" t="s">
        <v>520</v>
      </c>
      <c r="C91" t="s">
        <v>519</v>
      </c>
      <c r="D91" t="s">
        <v>511</v>
      </c>
      <c r="E91" t="s">
        <v>509</v>
      </c>
      <c r="F91" t="s">
        <v>510</v>
      </c>
      <c r="G91" t="s">
        <v>516</v>
      </c>
      <c r="K91" t="str">
        <f t="shared" si="9"/>
        <v>PandemicGrowth</v>
      </c>
      <c r="L91" t="str">
        <f t="shared" si="10"/>
        <v>ProductionPrices</v>
      </c>
      <c r="M91" t="str">
        <f t="shared" si="11"/>
        <v>PrivateSpending</v>
      </c>
      <c r="N91" t="str">
        <f t="shared" si="12"/>
        <v>GDP</v>
      </c>
      <c r="O91" t="str">
        <f t="shared" si="13"/>
        <v>Exports</v>
      </c>
      <c r="P91" t="str">
        <f t="shared" si="14"/>
        <v>FDI</v>
      </c>
      <c r="Q91" t="str">
        <f t="shared" si="15"/>
        <v>LifeExpectancy</v>
      </c>
      <c r="R91" t="str">
        <f t="shared" si="16"/>
        <v/>
      </c>
    </row>
    <row r="92" spans="1:19" x14ac:dyDescent="0.25">
      <c r="A92" s="1">
        <v>-0.45956762010466029</v>
      </c>
      <c r="B92" s="1">
        <v>-1.7547124815194539</v>
      </c>
      <c r="C92" s="1">
        <v>1.799529550716328</v>
      </c>
      <c r="D92" s="1">
        <v>4.0756628565449171</v>
      </c>
      <c r="E92" s="1">
        <v>-2.5153009546808738</v>
      </c>
      <c r="F92" s="1">
        <v>-2.486823972775313</v>
      </c>
      <c r="G92" s="1">
        <v>-4.5626886846769423</v>
      </c>
      <c r="H92" s="1"/>
      <c r="I92" s="1"/>
      <c r="K92" s="1">
        <v>-0.45956762010466029</v>
      </c>
      <c r="L92" s="1">
        <v>-1.7547124815194539</v>
      </c>
      <c r="M92" s="1">
        <v>1.799529550716328</v>
      </c>
      <c r="N92" s="1">
        <v>4.0756628565449171</v>
      </c>
      <c r="O92" s="1">
        <v>-2.5153009546808738</v>
      </c>
      <c r="P92" s="1">
        <v>-2.486823972775313</v>
      </c>
      <c r="Q92" s="1">
        <v>-4.5626886846769423</v>
      </c>
      <c r="R92" s="1"/>
      <c r="S92" s="1"/>
    </row>
    <row r="93" spans="1:19" x14ac:dyDescent="0.25">
      <c r="A93" t="s">
        <v>518</v>
      </c>
      <c r="B93" t="s">
        <v>508</v>
      </c>
      <c r="C93" t="s">
        <v>517</v>
      </c>
      <c r="D93" t="s">
        <v>511</v>
      </c>
      <c r="E93" t="s">
        <v>509</v>
      </c>
      <c r="F93" t="s">
        <v>514</v>
      </c>
      <c r="G93" t="s">
        <v>516</v>
      </c>
      <c r="K93" t="str">
        <f t="shared" si="9"/>
        <v>PandemicGrowth</v>
      </c>
      <c r="L93" t="str">
        <f t="shared" si="10"/>
        <v>EmploymentRate</v>
      </c>
      <c r="M93" t="str">
        <f t="shared" si="11"/>
        <v>LongInterestRate</v>
      </c>
      <c r="N93" t="str">
        <f t="shared" si="12"/>
        <v>GDP</v>
      </c>
      <c r="O93" t="str">
        <f t="shared" si="13"/>
        <v>Exports</v>
      </c>
      <c r="P93" t="str">
        <f t="shared" si="14"/>
        <v>Imports</v>
      </c>
      <c r="Q93" t="str">
        <f t="shared" si="15"/>
        <v>LifeExpectancy</v>
      </c>
      <c r="R93" t="str">
        <f t="shared" si="16"/>
        <v/>
      </c>
    </row>
    <row r="94" spans="1:19" x14ac:dyDescent="0.25">
      <c r="A94" s="1">
        <v>-0.213065450692945</v>
      </c>
      <c r="B94" s="1">
        <v>-0.73250849547157448</v>
      </c>
      <c r="C94" s="1">
        <v>-1.087069619297562</v>
      </c>
      <c r="D94" s="1">
        <v>2.0252217480813721</v>
      </c>
      <c r="E94" s="1">
        <v>-2.1384849878990049</v>
      </c>
      <c r="F94" s="1">
        <v>0.85423822223108203</v>
      </c>
      <c r="G94" s="1">
        <v>-2.2191618855721842</v>
      </c>
      <c r="H94" s="1"/>
      <c r="I94" s="1"/>
      <c r="K94" s="1">
        <v>-0.213065450692945</v>
      </c>
      <c r="L94" s="1">
        <v>-0.73250849547157448</v>
      </c>
      <c r="M94" s="1">
        <v>-1.087069619297562</v>
      </c>
      <c r="N94" s="1">
        <v>2.0252217480813721</v>
      </c>
      <c r="O94" s="1">
        <v>-2.1384849878990049</v>
      </c>
      <c r="P94" s="1">
        <v>0.85423822223108203</v>
      </c>
      <c r="Q94" s="1">
        <v>-2.2191618855721842</v>
      </c>
      <c r="R94" s="1"/>
      <c r="S94" s="1"/>
    </row>
    <row r="95" spans="1:19" x14ac:dyDescent="0.25">
      <c r="A95" t="s">
        <v>518</v>
      </c>
      <c r="B95" t="s">
        <v>520</v>
      </c>
      <c r="C95" t="s">
        <v>512</v>
      </c>
      <c r="D95" t="s">
        <v>511</v>
      </c>
      <c r="E95" t="s">
        <v>514</v>
      </c>
      <c r="F95" t="s">
        <v>510</v>
      </c>
      <c r="G95" t="s">
        <v>516</v>
      </c>
      <c r="K95" t="str">
        <f t="shared" si="9"/>
        <v>PandemicGrowth</v>
      </c>
      <c r="L95" t="str">
        <f t="shared" si="10"/>
        <v>ProductionPrices</v>
      </c>
      <c r="M95" t="str">
        <f t="shared" si="11"/>
        <v>GovernmentSpending</v>
      </c>
      <c r="N95" t="str">
        <f t="shared" si="12"/>
        <v>GDP</v>
      </c>
      <c r="O95" t="str">
        <f t="shared" si="13"/>
        <v>Imports</v>
      </c>
      <c r="P95" t="str">
        <f t="shared" si="14"/>
        <v>FDI</v>
      </c>
      <c r="Q95" t="str">
        <f t="shared" si="15"/>
        <v>LifeExpectancy</v>
      </c>
      <c r="R95" t="str">
        <f t="shared" si="16"/>
        <v/>
      </c>
    </row>
    <row r="96" spans="1:19" x14ac:dyDescent="0.25">
      <c r="A96" s="1">
        <v>-0.30884379477084989</v>
      </c>
      <c r="B96" s="1">
        <v>-0.78612954221469089</v>
      </c>
      <c r="C96" s="1">
        <v>2.1275413104731848</v>
      </c>
      <c r="D96" s="1">
        <v>3.2530936155538179</v>
      </c>
      <c r="E96" s="1">
        <v>-1.006542556117044</v>
      </c>
      <c r="F96" s="1">
        <v>-3.1435229582389241</v>
      </c>
      <c r="G96" s="1">
        <v>-3.5637210517804299</v>
      </c>
      <c r="H96" s="1"/>
      <c r="I96" s="1"/>
      <c r="K96" s="1">
        <v>-0.30884379477084989</v>
      </c>
      <c r="L96" s="1">
        <v>-0.78612954221469089</v>
      </c>
      <c r="M96" s="1">
        <v>2.1275413104731848</v>
      </c>
      <c r="N96" s="1">
        <v>3.2530936155538179</v>
      </c>
      <c r="O96" s="1">
        <v>-1.006542556117044</v>
      </c>
      <c r="P96" s="1">
        <v>-3.1435229582389241</v>
      </c>
      <c r="Q96" s="1">
        <v>-3.5637210517804299</v>
      </c>
      <c r="R96" s="1"/>
      <c r="S96" s="1"/>
    </row>
    <row r="97" spans="1:19" x14ac:dyDescent="0.25">
      <c r="A97" t="s">
        <v>508</v>
      </c>
      <c r="B97" t="s">
        <v>515</v>
      </c>
      <c r="C97" t="s">
        <v>519</v>
      </c>
      <c r="D97" t="s">
        <v>512</v>
      </c>
      <c r="E97" t="s">
        <v>510</v>
      </c>
      <c r="F97" t="s">
        <v>513</v>
      </c>
      <c r="G97" t="s">
        <v>516</v>
      </c>
      <c r="K97" t="str">
        <f t="shared" si="9"/>
        <v>EmploymentRate</v>
      </c>
      <c r="L97" t="str">
        <f t="shared" si="10"/>
        <v>Inflation</v>
      </c>
      <c r="M97" t="str">
        <f t="shared" si="11"/>
        <v>PrivateSpending</v>
      </c>
      <c r="N97" t="str">
        <f t="shared" si="12"/>
        <v>GovernmentSpending</v>
      </c>
      <c r="O97" t="str">
        <f t="shared" si="13"/>
        <v>FDI</v>
      </c>
      <c r="P97" t="str">
        <f t="shared" si="14"/>
        <v>HealthExpenditure</v>
      </c>
      <c r="Q97" t="str">
        <f t="shared" si="15"/>
        <v>LifeExpectancy</v>
      </c>
      <c r="R97" t="str">
        <f t="shared" si="16"/>
        <v/>
      </c>
    </row>
    <row r="98" spans="1:19" x14ac:dyDescent="0.25">
      <c r="A98" s="1">
        <v>-2.1866337269569249</v>
      </c>
      <c r="B98" s="1">
        <v>2.2984117854619841</v>
      </c>
      <c r="C98" s="1">
        <v>-5.5213332242099789</v>
      </c>
      <c r="D98" s="1">
        <v>4.4147969578487336</v>
      </c>
      <c r="E98" s="1">
        <v>1.5676701182677539</v>
      </c>
      <c r="F98" s="1">
        <v>1.7790576048985629</v>
      </c>
      <c r="G98" s="1">
        <v>1.971062601610565</v>
      </c>
      <c r="H98" s="1"/>
      <c r="I98" s="1"/>
      <c r="K98" s="1">
        <v>-2.1866337269569249</v>
      </c>
      <c r="L98" s="1">
        <v>2.2984117854619841</v>
      </c>
      <c r="M98" s="1">
        <v>-5.5213332242099789</v>
      </c>
      <c r="N98" s="1">
        <v>4.4147969578487336</v>
      </c>
      <c r="O98" s="1">
        <v>1.5676701182677539</v>
      </c>
      <c r="P98" s="1">
        <v>1.7790576048985629</v>
      </c>
      <c r="Q98" s="1">
        <v>1.971062601610565</v>
      </c>
      <c r="R98" s="1"/>
      <c r="S98" s="1"/>
    </row>
    <row r="99" spans="1:19" x14ac:dyDescent="0.25">
      <c r="A99" t="s">
        <v>508</v>
      </c>
      <c r="B99" t="s">
        <v>515</v>
      </c>
      <c r="C99" t="s">
        <v>519</v>
      </c>
      <c r="D99" t="s">
        <v>514</v>
      </c>
      <c r="E99" t="s">
        <v>513</v>
      </c>
      <c r="F99" t="s">
        <v>516</v>
      </c>
      <c r="K99" t="str">
        <f t="shared" si="9"/>
        <v>EmploymentRate</v>
      </c>
      <c r="L99" t="str">
        <f t="shared" si="10"/>
        <v>Inflation</v>
      </c>
      <c r="M99" t="str">
        <f t="shared" si="11"/>
        <v>PrivateSpending</v>
      </c>
      <c r="N99" t="str">
        <f t="shared" si="12"/>
        <v>Imports</v>
      </c>
      <c r="O99" t="str">
        <f t="shared" si="13"/>
        <v>HealthExpenditure</v>
      </c>
      <c r="P99" t="str">
        <f t="shared" si="14"/>
        <v>LifeExpectancy</v>
      </c>
      <c r="Q99" t="str">
        <f t="shared" si="15"/>
        <v/>
      </c>
      <c r="R99" t="str">
        <f t="shared" si="16"/>
        <v/>
      </c>
    </row>
    <row r="100" spans="1:19" x14ac:dyDescent="0.25">
      <c r="A100" s="1">
        <v>-0.73322068438001775</v>
      </c>
      <c r="B100" s="1">
        <v>1.5738110794135181</v>
      </c>
      <c r="C100" s="1">
        <v>3.1322030136881529</v>
      </c>
      <c r="D100" s="1">
        <v>-3.2948336817533859</v>
      </c>
      <c r="E100" s="1">
        <v>1.6992493701738289</v>
      </c>
      <c r="F100" s="1">
        <v>2.2181882511610622</v>
      </c>
      <c r="G100" s="1"/>
      <c r="H100" s="1"/>
      <c r="I100" s="1"/>
      <c r="K100" s="1">
        <v>-0.73322068438001775</v>
      </c>
      <c r="L100" s="1">
        <v>1.5738110794135181</v>
      </c>
      <c r="M100" s="1">
        <v>3.1322030136881529</v>
      </c>
      <c r="N100" s="1">
        <v>-3.2948336817533859</v>
      </c>
      <c r="O100" s="1">
        <v>1.6992493701738289</v>
      </c>
      <c r="P100" s="1">
        <v>2.2181882511610622</v>
      </c>
      <c r="Q100" s="1"/>
      <c r="R100" s="1"/>
      <c r="S100" s="1"/>
    </row>
    <row r="101" spans="1:19" x14ac:dyDescent="0.25">
      <c r="A101" t="s">
        <v>520</v>
      </c>
      <c r="B101" t="s">
        <v>519</v>
      </c>
      <c r="C101" t="s">
        <v>509</v>
      </c>
      <c r="D101" t="s">
        <v>514</v>
      </c>
      <c r="E101" t="s">
        <v>510</v>
      </c>
      <c r="F101" t="s">
        <v>516</v>
      </c>
      <c r="K101" t="str">
        <f t="shared" si="9"/>
        <v>ProductionPrices</v>
      </c>
      <c r="L101" t="str">
        <f t="shared" si="10"/>
        <v>PrivateSpending</v>
      </c>
      <c r="M101" t="str">
        <f t="shared" si="11"/>
        <v>Exports</v>
      </c>
      <c r="N101" t="str">
        <f t="shared" si="12"/>
        <v>Imports</v>
      </c>
      <c r="O101" t="str">
        <f t="shared" si="13"/>
        <v>FDI</v>
      </c>
      <c r="P101" t="str">
        <f t="shared" si="14"/>
        <v>LifeExpectancy</v>
      </c>
      <c r="Q101" t="str">
        <f t="shared" si="15"/>
        <v/>
      </c>
      <c r="R101" t="str">
        <f t="shared" si="16"/>
        <v/>
      </c>
    </row>
    <row r="102" spans="1:19" x14ac:dyDescent="0.25">
      <c r="A102" s="1">
        <v>1.058440350411739</v>
      </c>
      <c r="B102" s="1">
        <v>3.2405584181098939</v>
      </c>
      <c r="C102" s="1">
        <v>2.4750668577976258</v>
      </c>
      <c r="D102" s="1">
        <v>-3.30235845230388</v>
      </c>
      <c r="E102" s="1">
        <v>-1.2375822724402219</v>
      </c>
      <c r="F102" s="1">
        <v>1.591873501980986</v>
      </c>
      <c r="G102" s="1"/>
      <c r="H102" s="1"/>
      <c r="I102" s="1"/>
      <c r="K102" s="1">
        <v>1.058440350411739</v>
      </c>
      <c r="L102" s="1">
        <v>3.2405584181098939</v>
      </c>
      <c r="M102" s="1">
        <v>2.4750668577976258</v>
      </c>
      <c r="N102" s="1">
        <v>-3.30235845230388</v>
      </c>
      <c r="O102" s="1">
        <v>-1.2375822724402219</v>
      </c>
      <c r="P102" s="1">
        <v>1.591873501980986</v>
      </c>
      <c r="Q102" s="1"/>
      <c r="R102" s="1"/>
      <c r="S102" s="1"/>
    </row>
    <row r="103" spans="1:19" x14ac:dyDescent="0.25">
      <c r="A103" t="s">
        <v>518</v>
      </c>
      <c r="B103" t="s">
        <v>515</v>
      </c>
      <c r="C103" t="s">
        <v>512</v>
      </c>
      <c r="D103" t="s">
        <v>511</v>
      </c>
      <c r="E103" t="s">
        <v>510</v>
      </c>
      <c r="F103" t="s">
        <v>513</v>
      </c>
      <c r="G103" t="s">
        <v>516</v>
      </c>
      <c r="K103" t="str">
        <f t="shared" si="9"/>
        <v>PandemicGrowth</v>
      </c>
      <c r="L103" t="str">
        <f t="shared" si="10"/>
        <v>Inflation</v>
      </c>
      <c r="M103" t="str">
        <f t="shared" si="11"/>
        <v>GovernmentSpending</v>
      </c>
      <c r="N103" t="str">
        <f t="shared" si="12"/>
        <v>GDP</v>
      </c>
      <c r="O103" t="str">
        <f t="shared" si="13"/>
        <v>FDI</v>
      </c>
      <c r="P103" t="str">
        <f t="shared" si="14"/>
        <v>HealthExpenditure</v>
      </c>
      <c r="Q103" t="str">
        <f t="shared" si="15"/>
        <v>LifeExpectancy</v>
      </c>
      <c r="R103" t="str">
        <f t="shared" si="16"/>
        <v/>
      </c>
    </row>
    <row r="104" spans="1:19" x14ac:dyDescent="0.25">
      <c r="A104" s="1">
        <v>-0.25379337006433289</v>
      </c>
      <c r="B104" s="1">
        <v>-1.2091351932073</v>
      </c>
      <c r="C104" s="1">
        <v>0.9993727479983977</v>
      </c>
      <c r="D104" s="1">
        <v>2.8180983349826292</v>
      </c>
      <c r="E104" s="1">
        <v>-2.0612478245125581</v>
      </c>
      <c r="F104" s="1">
        <v>-0.87713752912501552</v>
      </c>
      <c r="G104" s="1">
        <v>-3.30523354964566</v>
      </c>
      <c r="H104" s="1"/>
      <c r="I104" s="1"/>
      <c r="K104" s="1">
        <v>-0.25379337006433289</v>
      </c>
      <c r="L104" s="1">
        <v>-1.2091351932073</v>
      </c>
      <c r="M104" s="1">
        <v>0.9993727479983977</v>
      </c>
      <c r="N104" s="1">
        <v>2.8180983349826292</v>
      </c>
      <c r="O104" s="1">
        <v>-2.0612478245125581</v>
      </c>
      <c r="P104" s="1">
        <v>-0.87713752912501552</v>
      </c>
      <c r="Q104" s="1">
        <v>-3.30523354964566</v>
      </c>
      <c r="R104" s="1"/>
      <c r="S104" s="1"/>
    </row>
    <row r="105" spans="1:19" x14ac:dyDescent="0.25">
      <c r="A105" t="s">
        <v>518</v>
      </c>
      <c r="B105" t="s">
        <v>508</v>
      </c>
      <c r="C105" t="s">
        <v>520</v>
      </c>
      <c r="D105" t="s">
        <v>515</v>
      </c>
      <c r="E105" t="s">
        <v>512</v>
      </c>
      <c r="F105" t="s">
        <v>511</v>
      </c>
      <c r="G105" t="s">
        <v>514</v>
      </c>
      <c r="H105" t="s">
        <v>510</v>
      </c>
      <c r="K105" t="str">
        <f t="shared" si="9"/>
        <v>PandemicGrowth</v>
      </c>
      <c r="L105" t="str">
        <f t="shared" si="10"/>
        <v>EmploymentRate</v>
      </c>
      <c r="M105" t="str">
        <f t="shared" si="11"/>
        <v>ProductionPrices</v>
      </c>
      <c r="N105" t="str">
        <f t="shared" si="12"/>
        <v>Inflation</v>
      </c>
      <c r="O105" t="str">
        <f t="shared" si="13"/>
        <v>GovernmentSpending</v>
      </c>
      <c r="P105" t="str">
        <f t="shared" si="14"/>
        <v>GDP</v>
      </c>
      <c r="Q105" t="str">
        <f t="shared" si="15"/>
        <v>Imports</v>
      </c>
      <c r="R105" t="str">
        <f t="shared" si="16"/>
        <v>FDI</v>
      </c>
    </row>
    <row r="106" spans="1:19" x14ac:dyDescent="0.25">
      <c r="A106" s="1">
        <v>-0.28779546337066719</v>
      </c>
      <c r="B106" s="1">
        <v>-0.58176155556886089</v>
      </c>
      <c r="C106" s="1">
        <v>-2.177170305609192</v>
      </c>
      <c r="D106" s="1">
        <v>3.3060535291409718</v>
      </c>
      <c r="E106" s="1">
        <v>1.4676175818530111</v>
      </c>
      <c r="F106" s="1">
        <v>2.235600452483399</v>
      </c>
      <c r="G106" s="1">
        <v>-0.68778627951620841</v>
      </c>
      <c r="H106" s="1">
        <v>-1.2982486574328489</v>
      </c>
      <c r="I106" s="1"/>
      <c r="K106" s="1">
        <v>-0.28779546337066719</v>
      </c>
      <c r="L106" s="1">
        <v>-0.58176155556886089</v>
      </c>
      <c r="M106" s="1">
        <v>-2.177170305609192</v>
      </c>
      <c r="N106" s="1">
        <v>3.3060535291409718</v>
      </c>
      <c r="O106" s="1">
        <v>1.4676175818530111</v>
      </c>
      <c r="P106" s="1">
        <v>2.235600452483399</v>
      </c>
      <c r="Q106" s="1">
        <v>-0.68778627951620841</v>
      </c>
      <c r="R106" s="1">
        <v>-1.2982486574328489</v>
      </c>
      <c r="S106" s="1"/>
    </row>
    <row r="107" spans="1:19" x14ac:dyDescent="0.25">
      <c r="A107" t="s">
        <v>521</v>
      </c>
      <c r="B107" t="s">
        <v>517</v>
      </c>
      <c r="C107" t="s">
        <v>520</v>
      </c>
      <c r="D107" t="s">
        <v>519</v>
      </c>
      <c r="E107" t="s">
        <v>512</v>
      </c>
      <c r="F107" t="s">
        <v>511</v>
      </c>
      <c r="G107" t="s">
        <v>509</v>
      </c>
      <c r="H107" t="s">
        <v>514</v>
      </c>
      <c r="K107" t="str">
        <f t="shared" si="9"/>
        <v>RecoveryRate</v>
      </c>
      <c r="L107" t="str">
        <f t="shared" si="10"/>
        <v>LongInterestRate</v>
      </c>
      <c r="M107" t="str">
        <f t="shared" si="11"/>
        <v>ProductionPrices</v>
      </c>
      <c r="N107" t="str">
        <f t="shared" si="12"/>
        <v>PrivateSpending</v>
      </c>
      <c r="O107" t="str">
        <f t="shared" si="13"/>
        <v>GovernmentSpending</v>
      </c>
      <c r="P107" t="str">
        <f t="shared" si="14"/>
        <v>GDP</v>
      </c>
      <c r="Q107" t="str">
        <f t="shared" si="15"/>
        <v>Exports</v>
      </c>
      <c r="R107" t="str">
        <f t="shared" si="16"/>
        <v>Imports</v>
      </c>
    </row>
    <row r="108" spans="1:19" x14ac:dyDescent="0.25">
      <c r="A108" s="1">
        <v>-0.43568200474520419</v>
      </c>
      <c r="B108" s="1">
        <v>-1.9254692964147031</v>
      </c>
      <c r="C108" s="1">
        <v>0.94706885983687272</v>
      </c>
      <c r="D108" s="1">
        <v>6.2874874367196201</v>
      </c>
      <c r="E108" s="1">
        <v>-3.4993543395315472</v>
      </c>
      <c r="F108" s="1">
        <v>0.66212050717150506</v>
      </c>
      <c r="G108" s="1">
        <v>-1.46345838880066</v>
      </c>
      <c r="H108" s="1">
        <v>-1.783324851501189</v>
      </c>
      <c r="I108" s="1"/>
      <c r="K108" s="1">
        <v>-0.43568200474520419</v>
      </c>
      <c r="L108" s="1">
        <v>-1.9254692964147031</v>
      </c>
      <c r="M108" s="1">
        <v>0.94706885983687272</v>
      </c>
      <c r="N108" s="1">
        <v>6.2874874367196201</v>
      </c>
      <c r="O108" s="1">
        <v>-3.4993543395315472</v>
      </c>
      <c r="P108" s="1">
        <v>0.66212050717150506</v>
      </c>
      <c r="Q108" s="1">
        <v>-1.46345838880066</v>
      </c>
      <c r="R108" s="1">
        <v>-1.783324851501189</v>
      </c>
      <c r="S108" s="1"/>
    </row>
    <row r="109" spans="1:19" x14ac:dyDescent="0.25">
      <c r="A109" t="s">
        <v>521</v>
      </c>
      <c r="B109" t="s">
        <v>522</v>
      </c>
      <c r="C109" t="s">
        <v>515</v>
      </c>
      <c r="D109" t="s">
        <v>519</v>
      </c>
      <c r="E109" t="s">
        <v>512</v>
      </c>
      <c r="F109" t="s">
        <v>511</v>
      </c>
      <c r="G109" t="s">
        <v>509</v>
      </c>
      <c r="H109" t="s">
        <v>514</v>
      </c>
      <c r="K109" t="str">
        <f t="shared" si="9"/>
        <v>RecoveryRate</v>
      </c>
      <c r="L109" t="str">
        <f t="shared" si="10"/>
        <v>ShortInterestRate</v>
      </c>
      <c r="M109" t="str">
        <f t="shared" si="11"/>
        <v>Inflation</v>
      </c>
      <c r="N109" t="str">
        <f t="shared" si="12"/>
        <v>PrivateSpending</v>
      </c>
      <c r="O109" t="str">
        <f t="shared" si="13"/>
        <v>GovernmentSpending</v>
      </c>
      <c r="P109" t="str">
        <f t="shared" si="14"/>
        <v>GDP</v>
      </c>
      <c r="Q109" t="str">
        <f t="shared" si="15"/>
        <v>Exports</v>
      </c>
      <c r="R109" t="str">
        <f t="shared" si="16"/>
        <v>Imports</v>
      </c>
    </row>
    <row r="110" spans="1:19" x14ac:dyDescent="0.25">
      <c r="A110" s="1">
        <v>-0.47881861977491169</v>
      </c>
      <c r="B110" s="1">
        <v>-1.5669327879299479</v>
      </c>
      <c r="C110" s="1">
        <v>0.79754736305857676</v>
      </c>
      <c r="D110" s="1">
        <v>5.982404616976809</v>
      </c>
      <c r="E110" s="1">
        <v>-3.4610209919401922</v>
      </c>
      <c r="F110" s="1">
        <v>0.9895306252128141</v>
      </c>
      <c r="G110" s="1">
        <v>-1.8005800565280949</v>
      </c>
      <c r="H110" s="1">
        <v>-1.3947119462253461</v>
      </c>
      <c r="I110" s="1"/>
      <c r="K110" s="1">
        <v>-0.47881861977491169</v>
      </c>
      <c r="L110" s="1">
        <v>-1.5669327879299479</v>
      </c>
      <c r="M110" s="1">
        <v>0.79754736305857676</v>
      </c>
      <c r="N110" s="1">
        <v>5.982404616976809</v>
      </c>
      <c r="O110" s="1">
        <v>-3.4610209919401922</v>
      </c>
      <c r="P110" s="1">
        <v>0.9895306252128141</v>
      </c>
      <c r="Q110" s="1">
        <v>-1.8005800565280949</v>
      </c>
      <c r="R110" s="1">
        <v>-1.3947119462253461</v>
      </c>
      <c r="S110" s="1"/>
    </row>
    <row r="111" spans="1:19" x14ac:dyDescent="0.25">
      <c r="A111" t="s">
        <v>517</v>
      </c>
      <c r="B111" t="s">
        <v>515</v>
      </c>
      <c r="C111" t="s">
        <v>519</v>
      </c>
      <c r="D111" t="s">
        <v>512</v>
      </c>
      <c r="E111" t="s">
        <v>514</v>
      </c>
      <c r="F111" t="s">
        <v>516</v>
      </c>
      <c r="K111" t="str">
        <f t="shared" si="9"/>
        <v>LongInterestRate</v>
      </c>
      <c r="L111" t="str">
        <f t="shared" si="10"/>
        <v>Inflation</v>
      </c>
      <c r="M111" t="str">
        <f t="shared" si="11"/>
        <v>PrivateSpending</v>
      </c>
      <c r="N111" t="str">
        <f t="shared" si="12"/>
        <v>GovernmentSpending</v>
      </c>
      <c r="O111" t="str">
        <f t="shared" si="13"/>
        <v>Imports</v>
      </c>
      <c r="P111" t="str">
        <f t="shared" si="14"/>
        <v>LifeExpectancy</v>
      </c>
      <c r="Q111" t="str">
        <f t="shared" si="15"/>
        <v/>
      </c>
      <c r="R111" t="str">
        <f t="shared" si="16"/>
        <v/>
      </c>
    </row>
    <row r="112" spans="1:19" x14ac:dyDescent="0.25">
      <c r="A112" s="1">
        <v>-1.6330950280561709</v>
      </c>
      <c r="B112" s="1">
        <v>2.5158000051623879</v>
      </c>
      <c r="C112" s="1">
        <v>7.1378200041384856</v>
      </c>
      <c r="D112" s="1">
        <v>-3.2836561033790921</v>
      </c>
      <c r="E112" s="1">
        <v>-3.072575797151063</v>
      </c>
      <c r="F112" s="1">
        <v>2.7751278147843359</v>
      </c>
      <c r="G112" s="1"/>
      <c r="H112" s="1"/>
      <c r="I112" s="1"/>
      <c r="K112" s="1">
        <v>-1.6330950280561709</v>
      </c>
      <c r="L112" s="1">
        <v>2.5158000051623879</v>
      </c>
      <c r="M112" s="1">
        <v>7.1378200041384856</v>
      </c>
      <c r="N112" s="1">
        <v>-3.2836561033790921</v>
      </c>
      <c r="O112" s="1">
        <v>-3.072575797151063</v>
      </c>
      <c r="P112" s="1">
        <v>2.7751278147843359</v>
      </c>
      <c r="Q112" s="1"/>
      <c r="R112" s="1"/>
      <c r="S112" s="1"/>
    </row>
    <row r="113" spans="1:19" x14ac:dyDescent="0.25">
      <c r="A113" t="s">
        <v>521</v>
      </c>
      <c r="B113" t="s">
        <v>517</v>
      </c>
      <c r="C113" t="s">
        <v>520</v>
      </c>
      <c r="D113" t="s">
        <v>515</v>
      </c>
      <c r="E113" t="s">
        <v>519</v>
      </c>
      <c r="F113" t="s">
        <v>512</v>
      </c>
      <c r="G113" t="s">
        <v>514</v>
      </c>
      <c r="K113" t="str">
        <f t="shared" si="9"/>
        <v>RecoveryRate</v>
      </c>
      <c r="L113" t="str">
        <f t="shared" si="10"/>
        <v>LongInterestRate</v>
      </c>
      <c r="M113" t="str">
        <f t="shared" si="11"/>
        <v>ProductionPrices</v>
      </c>
      <c r="N113" t="str">
        <f t="shared" si="12"/>
        <v>Inflation</v>
      </c>
      <c r="O113" t="str">
        <f t="shared" si="13"/>
        <v>PrivateSpending</v>
      </c>
      <c r="P113" t="str">
        <f t="shared" si="14"/>
        <v>GovernmentSpending</v>
      </c>
      <c r="Q113" t="str">
        <f t="shared" si="15"/>
        <v>Imports</v>
      </c>
      <c r="R113" t="str">
        <f t="shared" si="16"/>
        <v/>
      </c>
    </row>
    <row r="114" spans="1:19" x14ac:dyDescent="0.25">
      <c r="A114" s="1">
        <v>-0.25073041765736331</v>
      </c>
      <c r="B114" s="1">
        <v>-1.5557157298582329</v>
      </c>
      <c r="C114" s="1">
        <v>2.1728830832507868</v>
      </c>
      <c r="D114" s="1">
        <v>-1.3995799144225149</v>
      </c>
      <c r="E114" s="1">
        <v>4.2695001889084132</v>
      </c>
      <c r="F114" s="1">
        <v>-1.9622351626360961</v>
      </c>
      <c r="G114" s="1">
        <v>-2.0359037723943829</v>
      </c>
      <c r="H114" s="1"/>
      <c r="I114" s="1"/>
      <c r="K114" s="1">
        <v>-0.25073041765736331</v>
      </c>
      <c r="L114" s="1">
        <v>-1.5557157298582329</v>
      </c>
      <c r="M114" s="1">
        <v>2.1728830832507868</v>
      </c>
      <c r="N114" s="1">
        <v>-1.3995799144225149</v>
      </c>
      <c r="O114" s="1">
        <v>4.2695001889084132</v>
      </c>
      <c r="P114" s="1">
        <v>-1.9622351626360961</v>
      </c>
      <c r="Q114" s="1">
        <v>-2.0359037723943829</v>
      </c>
      <c r="R114" s="1"/>
      <c r="S114" s="1"/>
    </row>
    <row r="115" spans="1:19" x14ac:dyDescent="0.25">
      <c r="A115" t="s">
        <v>508</v>
      </c>
      <c r="B115" t="s">
        <v>517</v>
      </c>
      <c r="C115" t="s">
        <v>515</v>
      </c>
      <c r="D115" t="s">
        <v>511</v>
      </c>
      <c r="E115" t="s">
        <v>509</v>
      </c>
      <c r="F115" t="s">
        <v>514</v>
      </c>
      <c r="G115" t="s">
        <v>510</v>
      </c>
      <c r="K115" t="str">
        <f t="shared" si="9"/>
        <v>EmploymentRate</v>
      </c>
      <c r="L115" t="str">
        <f t="shared" si="10"/>
        <v>LongInterestRate</v>
      </c>
      <c r="M115" t="str">
        <f t="shared" si="11"/>
        <v>Inflation</v>
      </c>
      <c r="N115" t="str">
        <f t="shared" si="12"/>
        <v>GDP</v>
      </c>
      <c r="O115" t="str">
        <f t="shared" si="13"/>
        <v>Exports</v>
      </c>
      <c r="P115" t="str">
        <f t="shared" si="14"/>
        <v>Imports</v>
      </c>
      <c r="Q115" t="str">
        <f t="shared" si="15"/>
        <v>FDI</v>
      </c>
      <c r="R115" t="str">
        <f t="shared" si="16"/>
        <v/>
      </c>
    </row>
    <row r="116" spans="1:19" x14ac:dyDescent="0.25">
      <c r="A116" s="1">
        <v>-1.0099431466971349</v>
      </c>
      <c r="B116" s="1">
        <v>-1.358271247057645</v>
      </c>
      <c r="C116" s="1">
        <v>1.400105364595452</v>
      </c>
      <c r="D116" s="1">
        <v>1.1016009286910149</v>
      </c>
      <c r="E116" s="1">
        <v>-1.2949722105155539</v>
      </c>
      <c r="F116" s="1">
        <v>0.49360769906571877</v>
      </c>
      <c r="G116" s="1">
        <v>0.70286967341414297</v>
      </c>
      <c r="H116" s="1"/>
      <c r="I116" s="1"/>
      <c r="K116" s="1">
        <v>-1.0099431466971349</v>
      </c>
      <c r="L116" s="1">
        <v>-1.358271247057645</v>
      </c>
      <c r="M116" s="1">
        <v>1.400105364595452</v>
      </c>
      <c r="N116" s="1">
        <v>1.1016009286910149</v>
      </c>
      <c r="O116" s="1">
        <v>-1.2949722105155539</v>
      </c>
      <c r="P116" s="1">
        <v>0.49360769906571877</v>
      </c>
      <c r="Q116" s="1">
        <v>0.70286967341414297</v>
      </c>
      <c r="R116" s="1"/>
      <c r="S116" s="1"/>
    </row>
    <row r="117" spans="1:19" x14ac:dyDescent="0.25">
      <c r="A117" t="s">
        <v>521</v>
      </c>
      <c r="B117" t="s">
        <v>517</v>
      </c>
      <c r="C117" t="s">
        <v>512</v>
      </c>
      <c r="D117" t="s">
        <v>511</v>
      </c>
      <c r="E117" t="s">
        <v>514</v>
      </c>
      <c r="F117" t="s">
        <v>513</v>
      </c>
      <c r="G117" t="s">
        <v>516</v>
      </c>
      <c r="K117" t="str">
        <f t="shared" si="9"/>
        <v>RecoveryRate</v>
      </c>
      <c r="L117" t="str">
        <f t="shared" si="10"/>
        <v>LongInterestRate</v>
      </c>
      <c r="M117" t="str">
        <f t="shared" si="11"/>
        <v>GovernmentSpending</v>
      </c>
      <c r="N117" t="str">
        <f t="shared" si="12"/>
        <v>GDP</v>
      </c>
      <c r="O117" t="str">
        <f t="shared" si="13"/>
        <v>Imports</v>
      </c>
      <c r="P117" t="str">
        <f t="shared" si="14"/>
        <v>HealthExpenditure</v>
      </c>
      <c r="Q117" t="str">
        <f t="shared" si="15"/>
        <v>LifeExpectancy</v>
      </c>
      <c r="R117" t="str">
        <f t="shared" si="16"/>
        <v/>
      </c>
    </row>
    <row r="118" spans="1:19" x14ac:dyDescent="0.25">
      <c r="A118" s="1">
        <v>-0.43545174741881781</v>
      </c>
      <c r="B118" s="1">
        <v>-1.5363650465700609</v>
      </c>
      <c r="C118" s="1">
        <v>-1.4967734229191001</v>
      </c>
      <c r="D118" s="1">
        <v>2.0840488878192232</v>
      </c>
      <c r="E118" s="1">
        <v>2.6637124176740539</v>
      </c>
      <c r="F118" s="1">
        <v>-3.071232862873968</v>
      </c>
      <c r="G118" s="1">
        <v>-1.9312549263099179</v>
      </c>
      <c r="H118" s="1"/>
      <c r="I118" s="1"/>
      <c r="K118" s="1">
        <v>-0.43545174741881781</v>
      </c>
      <c r="L118" s="1">
        <v>-1.5363650465700609</v>
      </c>
      <c r="M118" s="1">
        <v>-1.4967734229191001</v>
      </c>
      <c r="N118" s="1">
        <v>2.0840488878192232</v>
      </c>
      <c r="O118" s="1">
        <v>2.6637124176740539</v>
      </c>
      <c r="P118" s="1">
        <v>-3.071232862873968</v>
      </c>
      <c r="Q118" s="1">
        <v>-1.9312549263099179</v>
      </c>
      <c r="R118" s="1"/>
      <c r="S118" s="1"/>
    </row>
    <row r="119" spans="1:19" x14ac:dyDescent="0.25">
      <c r="A119" t="s">
        <v>521</v>
      </c>
      <c r="B119" t="s">
        <v>508</v>
      </c>
      <c r="C119" t="s">
        <v>522</v>
      </c>
      <c r="D119" t="s">
        <v>515</v>
      </c>
      <c r="E119" t="s">
        <v>511</v>
      </c>
      <c r="F119" t="s">
        <v>509</v>
      </c>
      <c r="G119" t="s">
        <v>514</v>
      </c>
      <c r="H119" t="s">
        <v>510</v>
      </c>
      <c r="K119" t="str">
        <f t="shared" si="9"/>
        <v>RecoveryRate</v>
      </c>
      <c r="L119" t="str">
        <f t="shared" si="10"/>
        <v>EmploymentRate</v>
      </c>
      <c r="M119" t="str">
        <f t="shared" si="11"/>
        <v>ShortInterestRate</v>
      </c>
      <c r="N119" t="str">
        <f t="shared" si="12"/>
        <v>Inflation</v>
      </c>
      <c r="O119" t="str">
        <f t="shared" si="13"/>
        <v>GDP</v>
      </c>
      <c r="P119" t="str">
        <f t="shared" si="14"/>
        <v>Exports</v>
      </c>
      <c r="Q119" t="str">
        <f t="shared" si="15"/>
        <v>Imports</v>
      </c>
      <c r="R119" t="str">
        <f t="shared" si="16"/>
        <v>FDI</v>
      </c>
    </row>
    <row r="120" spans="1:19" x14ac:dyDescent="0.25">
      <c r="A120" s="1">
        <v>-0.28686399169123622</v>
      </c>
      <c r="B120" s="1">
        <v>-0.91213094160824937</v>
      </c>
      <c r="C120" s="1">
        <v>-1.158439720527578</v>
      </c>
      <c r="D120" s="1">
        <v>1.191343592476984</v>
      </c>
      <c r="E120" s="1">
        <v>1.0169135159423921</v>
      </c>
      <c r="F120" s="1">
        <v>-1.11926200519912</v>
      </c>
      <c r="G120" s="1">
        <v>0.39278356726217051</v>
      </c>
      <c r="H120" s="1">
        <v>0.67448176685802352</v>
      </c>
      <c r="I120" s="1"/>
      <c r="K120" s="1">
        <v>-0.28686399169123622</v>
      </c>
      <c r="L120" s="1">
        <v>-0.91213094160824937</v>
      </c>
      <c r="M120" s="1">
        <v>-1.158439720527578</v>
      </c>
      <c r="N120" s="1">
        <v>1.191343592476984</v>
      </c>
      <c r="O120" s="1">
        <v>1.0169135159423921</v>
      </c>
      <c r="P120" s="1">
        <v>-1.11926200519912</v>
      </c>
      <c r="Q120" s="1">
        <v>0.39278356726217051</v>
      </c>
      <c r="R120" s="1">
        <v>0.67448176685802352</v>
      </c>
      <c r="S120" s="1"/>
    </row>
    <row r="121" spans="1:19" x14ac:dyDescent="0.25">
      <c r="A121" t="s">
        <v>518</v>
      </c>
      <c r="B121" t="s">
        <v>520</v>
      </c>
      <c r="C121" t="s">
        <v>515</v>
      </c>
      <c r="D121" t="s">
        <v>519</v>
      </c>
      <c r="E121" t="s">
        <v>511</v>
      </c>
      <c r="F121" t="s">
        <v>510</v>
      </c>
      <c r="G121" t="s">
        <v>513</v>
      </c>
      <c r="K121" t="str">
        <f t="shared" si="9"/>
        <v>PandemicGrowth</v>
      </c>
      <c r="L121" t="str">
        <f t="shared" si="10"/>
        <v>ProductionPrices</v>
      </c>
      <c r="M121" t="str">
        <f t="shared" si="11"/>
        <v>Inflation</v>
      </c>
      <c r="N121" t="str">
        <f t="shared" si="12"/>
        <v>PrivateSpending</v>
      </c>
      <c r="O121" t="str">
        <f t="shared" si="13"/>
        <v>GDP</v>
      </c>
      <c r="P121" t="str">
        <f t="shared" si="14"/>
        <v>FDI</v>
      </c>
      <c r="Q121" t="str">
        <f t="shared" si="15"/>
        <v>HealthExpenditure</v>
      </c>
      <c r="R121" t="str">
        <f t="shared" si="16"/>
        <v/>
      </c>
    </row>
    <row r="122" spans="1:19" x14ac:dyDescent="0.25">
      <c r="A122" s="1">
        <v>-0.45385839496753949</v>
      </c>
      <c r="B122" s="1">
        <v>-4.2072738553350284</v>
      </c>
      <c r="C122" s="1">
        <v>5.3779634491501076</v>
      </c>
      <c r="D122" s="1">
        <v>1.731785247623727</v>
      </c>
      <c r="E122" s="1">
        <v>3.345061419082783</v>
      </c>
      <c r="F122" s="1">
        <v>-2.0140094470209808</v>
      </c>
      <c r="G122" s="1">
        <v>-1.4163890424090451</v>
      </c>
      <c r="H122" s="1"/>
      <c r="I122" s="1"/>
      <c r="K122" s="1">
        <v>-0.45385839496753949</v>
      </c>
      <c r="L122" s="1">
        <v>-4.2072738553350284</v>
      </c>
      <c r="M122" s="1">
        <v>5.3779634491501076</v>
      </c>
      <c r="N122" s="1">
        <v>1.731785247623727</v>
      </c>
      <c r="O122" s="1">
        <v>3.345061419082783</v>
      </c>
      <c r="P122" s="1">
        <v>-2.0140094470209808</v>
      </c>
      <c r="Q122" s="1">
        <v>-1.4163890424090451</v>
      </c>
      <c r="R122" s="1"/>
      <c r="S122" s="1"/>
    </row>
    <row r="123" spans="1:19" x14ac:dyDescent="0.25">
      <c r="A123" t="s">
        <v>521</v>
      </c>
      <c r="B123" t="s">
        <v>517</v>
      </c>
      <c r="C123" t="s">
        <v>519</v>
      </c>
      <c r="D123" t="s">
        <v>512</v>
      </c>
      <c r="E123" t="s">
        <v>511</v>
      </c>
      <c r="F123" t="s">
        <v>509</v>
      </c>
      <c r="G123" t="s">
        <v>516</v>
      </c>
      <c r="K123" t="str">
        <f t="shared" si="9"/>
        <v>RecoveryRate</v>
      </c>
      <c r="L123" t="str">
        <f t="shared" si="10"/>
        <v>LongInterestRate</v>
      </c>
      <c r="M123" t="str">
        <f t="shared" si="11"/>
        <v>PrivateSpending</v>
      </c>
      <c r="N123" t="str">
        <f t="shared" si="12"/>
        <v>GovernmentSpending</v>
      </c>
      <c r="O123" t="str">
        <f t="shared" si="13"/>
        <v>GDP</v>
      </c>
      <c r="P123" t="str">
        <f t="shared" si="14"/>
        <v>Exports</v>
      </c>
      <c r="Q123" t="str">
        <f t="shared" si="15"/>
        <v>LifeExpectancy</v>
      </c>
      <c r="R123" t="str">
        <f t="shared" si="16"/>
        <v/>
      </c>
    </row>
    <row r="124" spans="1:19" x14ac:dyDescent="0.25">
      <c r="A124" s="1">
        <v>-0.64893982081852497</v>
      </c>
      <c r="B124" s="1">
        <v>-2.081104535778135</v>
      </c>
      <c r="C124" s="1">
        <v>5.7147840565179653</v>
      </c>
      <c r="D124" s="1">
        <v>-4.0717224865513844</v>
      </c>
      <c r="E124" s="1">
        <v>1.735349131222375</v>
      </c>
      <c r="F124" s="1">
        <v>-3.481409613499451</v>
      </c>
      <c r="G124" s="1">
        <v>-1.998229514994738</v>
      </c>
      <c r="H124" s="1"/>
      <c r="I124" s="1"/>
      <c r="K124" s="1">
        <v>-0.64893982081852497</v>
      </c>
      <c r="L124" s="1">
        <v>-2.081104535778135</v>
      </c>
      <c r="M124" s="1">
        <v>5.7147840565179653</v>
      </c>
      <c r="N124" s="1">
        <v>-4.0717224865513844</v>
      </c>
      <c r="O124" s="1">
        <v>1.735349131222375</v>
      </c>
      <c r="P124" s="1">
        <v>-3.481409613499451</v>
      </c>
      <c r="Q124" s="1">
        <v>-1.998229514994738</v>
      </c>
      <c r="R124" s="1"/>
      <c r="S124" s="1"/>
    </row>
    <row r="125" spans="1:19" x14ac:dyDescent="0.25">
      <c r="A125" t="s">
        <v>508</v>
      </c>
      <c r="B125" t="s">
        <v>522</v>
      </c>
      <c r="C125" t="s">
        <v>515</v>
      </c>
      <c r="D125" t="s">
        <v>511</v>
      </c>
      <c r="E125" t="s">
        <v>509</v>
      </c>
      <c r="F125" t="s">
        <v>514</v>
      </c>
      <c r="G125" t="s">
        <v>510</v>
      </c>
      <c r="K125" t="str">
        <f t="shared" si="9"/>
        <v>EmploymentRate</v>
      </c>
      <c r="L125" t="str">
        <f t="shared" si="10"/>
        <v>ShortInterestRate</v>
      </c>
      <c r="M125" t="str">
        <f t="shared" si="11"/>
        <v>Inflation</v>
      </c>
      <c r="N125" t="str">
        <f t="shared" si="12"/>
        <v>GDP</v>
      </c>
      <c r="O125" t="str">
        <f t="shared" si="13"/>
        <v>Exports</v>
      </c>
      <c r="P125" t="str">
        <f t="shared" si="14"/>
        <v>Imports</v>
      </c>
      <c r="Q125" t="str">
        <f t="shared" si="15"/>
        <v>FDI</v>
      </c>
      <c r="R125" t="str">
        <f t="shared" si="16"/>
        <v/>
      </c>
    </row>
    <row r="126" spans="1:19" x14ac:dyDescent="0.25">
      <c r="A126" s="1">
        <v>-0.93140767622855969</v>
      </c>
      <c r="B126" s="1">
        <v>-1.202698302399527</v>
      </c>
      <c r="C126" s="1">
        <v>1.2449408257617081</v>
      </c>
      <c r="D126" s="1">
        <v>1.02624444073106</v>
      </c>
      <c r="E126" s="1">
        <v>-1.162895736490362</v>
      </c>
      <c r="F126" s="1">
        <v>0.43272183158170158</v>
      </c>
      <c r="G126" s="1">
        <v>0.67853873014918065</v>
      </c>
      <c r="H126" s="1"/>
      <c r="I126" s="1"/>
      <c r="K126" s="1">
        <v>-0.93140767622855969</v>
      </c>
      <c r="L126" s="1">
        <v>-1.202698302399527</v>
      </c>
      <c r="M126" s="1">
        <v>1.2449408257617081</v>
      </c>
      <c r="N126" s="1">
        <v>1.02624444073106</v>
      </c>
      <c r="O126" s="1">
        <v>-1.162895736490362</v>
      </c>
      <c r="P126" s="1">
        <v>0.43272183158170158</v>
      </c>
      <c r="Q126" s="1">
        <v>0.67853873014918065</v>
      </c>
      <c r="R126" s="1"/>
      <c r="S126" s="1"/>
    </row>
    <row r="127" spans="1:19" x14ac:dyDescent="0.25">
      <c r="A127" t="s">
        <v>517</v>
      </c>
      <c r="B127" t="s">
        <v>515</v>
      </c>
      <c r="C127" t="s">
        <v>512</v>
      </c>
      <c r="D127" t="s">
        <v>511</v>
      </c>
      <c r="E127" t="s">
        <v>509</v>
      </c>
      <c r="F127" t="s">
        <v>514</v>
      </c>
      <c r="G127" t="s">
        <v>513</v>
      </c>
      <c r="K127" t="str">
        <f t="shared" si="9"/>
        <v>LongInterestRate</v>
      </c>
      <c r="L127" t="str">
        <f t="shared" si="10"/>
        <v>Inflation</v>
      </c>
      <c r="M127" t="str">
        <f t="shared" si="11"/>
        <v>GovernmentSpending</v>
      </c>
      <c r="N127" t="str">
        <f t="shared" si="12"/>
        <v>GDP</v>
      </c>
      <c r="O127" t="str">
        <f t="shared" si="13"/>
        <v>Exports</v>
      </c>
      <c r="P127" t="str">
        <f t="shared" si="14"/>
        <v>Imports</v>
      </c>
      <c r="Q127" t="str">
        <f t="shared" si="15"/>
        <v>HealthExpenditure</v>
      </c>
      <c r="R127" t="str">
        <f t="shared" si="16"/>
        <v/>
      </c>
    </row>
    <row r="128" spans="1:19" x14ac:dyDescent="0.25">
      <c r="A128" s="1">
        <v>-1.882465875265199</v>
      </c>
      <c r="B128" s="1">
        <v>1.4801071066238149</v>
      </c>
      <c r="C128" s="1">
        <v>-1.0552788552238059</v>
      </c>
      <c r="D128" s="1">
        <v>1.570884489442631</v>
      </c>
      <c r="E128" s="1">
        <v>1.6844802925957201</v>
      </c>
      <c r="F128" s="1">
        <v>2.033062810831781</v>
      </c>
      <c r="G128" s="1">
        <v>-3.73363461626065</v>
      </c>
      <c r="H128" s="1"/>
      <c r="I128" s="1"/>
      <c r="K128" s="1">
        <v>-1.882465875265199</v>
      </c>
      <c r="L128" s="1">
        <v>1.4801071066238149</v>
      </c>
      <c r="M128" s="1">
        <v>-1.0552788552238059</v>
      </c>
      <c r="N128" s="1">
        <v>1.570884489442631</v>
      </c>
      <c r="O128" s="1">
        <v>1.6844802925957201</v>
      </c>
      <c r="P128" s="1">
        <v>2.033062810831781</v>
      </c>
      <c r="Q128" s="1">
        <v>-3.73363461626065</v>
      </c>
      <c r="R128" s="1"/>
      <c r="S128" s="1"/>
    </row>
    <row r="129" spans="1:19" x14ac:dyDescent="0.25">
      <c r="A129" t="s">
        <v>508</v>
      </c>
      <c r="B129" t="s">
        <v>520</v>
      </c>
      <c r="C129" t="s">
        <v>519</v>
      </c>
      <c r="D129" t="s">
        <v>514</v>
      </c>
      <c r="E129" t="s">
        <v>513</v>
      </c>
      <c r="F129" t="s">
        <v>516</v>
      </c>
      <c r="K129" t="str">
        <f t="shared" si="9"/>
        <v>EmploymentRate</v>
      </c>
      <c r="L129" t="str">
        <f t="shared" si="10"/>
        <v>ProductionPrices</v>
      </c>
      <c r="M129" t="str">
        <f t="shared" si="11"/>
        <v>PrivateSpending</v>
      </c>
      <c r="N129" t="str">
        <f t="shared" si="12"/>
        <v>Imports</v>
      </c>
      <c r="O129" t="str">
        <f t="shared" si="13"/>
        <v>HealthExpenditure</v>
      </c>
      <c r="P129" t="str">
        <f t="shared" si="14"/>
        <v>LifeExpectancy</v>
      </c>
      <c r="Q129" t="str">
        <f t="shared" si="15"/>
        <v/>
      </c>
      <c r="R129" t="str">
        <f t="shared" si="16"/>
        <v/>
      </c>
    </row>
    <row r="130" spans="1:19" x14ac:dyDescent="0.25">
      <c r="A130" s="1">
        <v>-0.63903903323138711</v>
      </c>
      <c r="B130" s="1">
        <v>0.78427791305035599</v>
      </c>
      <c r="C130" s="1">
        <v>2.5812464862393809</v>
      </c>
      <c r="D130" s="1">
        <v>-2.8468984518997931</v>
      </c>
      <c r="E130" s="1">
        <v>1.519387790181109</v>
      </c>
      <c r="F130" s="1">
        <v>1.1294706782686541</v>
      </c>
      <c r="G130" s="1"/>
      <c r="H130" s="1"/>
      <c r="I130" s="1"/>
      <c r="K130" s="1">
        <v>-0.63903903323138711</v>
      </c>
      <c r="L130" s="1">
        <v>0.78427791305035599</v>
      </c>
      <c r="M130" s="1">
        <v>2.5812464862393809</v>
      </c>
      <c r="N130" s="1">
        <v>-2.8468984518997931</v>
      </c>
      <c r="O130" s="1">
        <v>1.519387790181109</v>
      </c>
      <c r="P130" s="1">
        <v>1.1294706782686541</v>
      </c>
      <c r="Q130" s="1"/>
      <c r="R130" s="1"/>
      <c r="S130" s="1"/>
    </row>
    <row r="131" spans="1:19" x14ac:dyDescent="0.25">
      <c r="A131" t="s">
        <v>520</v>
      </c>
      <c r="B131" t="s">
        <v>512</v>
      </c>
      <c r="C131" t="s">
        <v>509</v>
      </c>
      <c r="D131" t="s">
        <v>514</v>
      </c>
      <c r="E131" t="s">
        <v>510</v>
      </c>
      <c r="F131" t="s">
        <v>516</v>
      </c>
      <c r="K131" t="str">
        <f t="shared" ref="K131:K193" si="17">IF(A131&gt;0,$J$1&amp;A131&amp;$J$1,"")</f>
        <v>ProductionPrices</v>
      </c>
      <c r="L131" t="str">
        <f t="shared" ref="L131:L193" si="18">IF(B131&gt;0,$J$1&amp;B131&amp;$J$1,"")</f>
        <v>GovernmentSpending</v>
      </c>
      <c r="M131" t="str">
        <f t="shared" ref="M131:M193" si="19">IF(C131&gt;0,$J$1&amp;C131&amp;$J$1,"")</f>
        <v>Exports</v>
      </c>
      <c r="N131" t="str">
        <f t="shared" ref="N131:N193" si="20">IF(D131&gt;0,$J$1&amp;D131&amp;$J$1,"")</f>
        <v>Imports</v>
      </c>
      <c r="O131" t="str">
        <f t="shared" ref="O131:O193" si="21">IF(E131&gt;0,$J$1&amp;E131&amp;$J$1,"")</f>
        <v>FDI</v>
      </c>
      <c r="P131" t="str">
        <f t="shared" ref="P131:P193" si="22">IF(F131&gt;0,$J$1&amp;F131&amp;$J$1,"")</f>
        <v>LifeExpectancy</v>
      </c>
      <c r="Q131" t="str">
        <f t="shared" ref="Q131:Q193" si="23">IF(G131&gt;0,$J$1&amp;G131&amp;$J$1,"")</f>
        <v/>
      </c>
      <c r="R131" t="str">
        <f t="shared" ref="R131:R193" si="24">IF(H131&gt;0,$J$1&amp;H131&amp;$J$1,"")</f>
        <v/>
      </c>
    </row>
    <row r="132" spans="1:19" x14ac:dyDescent="0.25">
      <c r="A132" s="1">
        <v>1.1716791826616531</v>
      </c>
      <c r="B132" s="1">
        <v>2.0897555139899628</v>
      </c>
      <c r="C132" s="1">
        <v>3.530203322431575</v>
      </c>
      <c r="D132" s="1">
        <v>-2.518675388326761</v>
      </c>
      <c r="E132" s="1">
        <v>-1.782431618095883</v>
      </c>
      <c r="F132" s="1">
        <v>0.87445351246940628</v>
      </c>
      <c r="G132" s="1"/>
      <c r="H132" s="1"/>
      <c r="I132" s="1"/>
      <c r="K132" s="1">
        <v>1.1716791826616531</v>
      </c>
      <c r="L132" s="1">
        <v>2.0897555139899628</v>
      </c>
      <c r="M132" s="1">
        <v>3.530203322431575</v>
      </c>
      <c r="N132" s="1">
        <v>-2.518675388326761</v>
      </c>
      <c r="O132" s="1">
        <v>-1.782431618095883</v>
      </c>
      <c r="P132" s="1">
        <v>0.87445351246940628</v>
      </c>
      <c r="Q132" s="1"/>
      <c r="R132" s="1"/>
      <c r="S132" s="1"/>
    </row>
    <row r="133" spans="1:19" x14ac:dyDescent="0.25">
      <c r="A133" t="s">
        <v>520</v>
      </c>
      <c r="B133" t="s">
        <v>519</v>
      </c>
      <c r="C133" t="s">
        <v>511</v>
      </c>
      <c r="D133" t="s">
        <v>514</v>
      </c>
      <c r="E133" t="s">
        <v>510</v>
      </c>
      <c r="F133" t="s">
        <v>513</v>
      </c>
      <c r="K133" t="str">
        <f t="shared" si="17"/>
        <v>ProductionPrices</v>
      </c>
      <c r="L133" t="str">
        <f t="shared" si="18"/>
        <v>PrivateSpending</v>
      </c>
      <c r="M133" t="str">
        <f t="shared" si="19"/>
        <v>GDP</v>
      </c>
      <c r="N133" t="str">
        <f t="shared" si="20"/>
        <v>Imports</v>
      </c>
      <c r="O133" t="str">
        <f t="shared" si="21"/>
        <v>FDI</v>
      </c>
      <c r="P133" t="str">
        <f t="shared" si="22"/>
        <v>HealthExpenditure</v>
      </c>
      <c r="Q133" t="str">
        <f t="shared" si="23"/>
        <v/>
      </c>
      <c r="R133" t="str">
        <f t="shared" si="24"/>
        <v/>
      </c>
    </row>
    <row r="134" spans="1:19" x14ac:dyDescent="0.25">
      <c r="A134" s="1">
        <v>0.57449617928635355</v>
      </c>
      <c r="B134" s="1">
        <v>6.1827508158226117</v>
      </c>
      <c r="C134" s="1">
        <v>0.88370529162556299</v>
      </c>
      <c r="D134" s="1">
        <v>-5.814523110402825</v>
      </c>
      <c r="E134" s="1">
        <v>-2.4989999814530601</v>
      </c>
      <c r="F134" s="1">
        <v>2.6063924597651611</v>
      </c>
      <c r="G134" s="1"/>
      <c r="H134" s="1"/>
      <c r="I134" s="1"/>
      <c r="K134" s="1">
        <v>0.57449617928635355</v>
      </c>
      <c r="L134" s="1">
        <v>6.1827508158226117</v>
      </c>
      <c r="M134" s="1">
        <v>0.88370529162556299</v>
      </c>
      <c r="N134" s="1">
        <v>-5.814523110402825</v>
      </c>
      <c r="O134" s="1">
        <v>-2.4989999814530601</v>
      </c>
      <c r="P134" s="1">
        <v>2.6063924597651611</v>
      </c>
      <c r="Q134" s="1"/>
      <c r="R134" s="1"/>
      <c r="S134" s="1"/>
    </row>
    <row r="135" spans="1:19" x14ac:dyDescent="0.25">
      <c r="A135" t="s">
        <v>521</v>
      </c>
      <c r="B135" t="s">
        <v>508</v>
      </c>
      <c r="C135" t="s">
        <v>517</v>
      </c>
      <c r="D135" t="s">
        <v>520</v>
      </c>
      <c r="E135" t="s">
        <v>510</v>
      </c>
      <c r="K135" t="str">
        <f t="shared" si="17"/>
        <v>RecoveryRate</v>
      </c>
      <c r="L135" t="str">
        <f t="shared" si="18"/>
        <v>EmploymentRate</v>
      </c>
      <c r="M135" t="str">
        <f t="shared" si="19"/>
        <v>LongInterestRate</v>
      </c>
      <c r="N135" t="str">
        <f t="shared" si="20"/>
        <v>ProductionPrices</v>
      </c>
      <c r="O135" t="str">
        <f t="shared" si="21"/>
        <v>FDI</v>
      </c>
      <c r="P135" t="str">
        <f t="shared" si="22"/>
        <v/>
      </c>
      <c r="Q135" t="str">
        <f t="shared" si="23"/>
        <v/>
      </c>
      <c r="R135" t="str">
        <f t="shared" si="24"/>
        <v/>
      </c>
    </row>
    <row r="136" spans="1:19" x14ac:dyDescent="0.25">
      <c r="A136" s="1">
        <v>-0.21607312278012031</v>
      </c>
      <c r="B136" s="1">
        <v>-0.66037619758483312</v>
      </c>
      <c r="C136" s="1">
        <v>-1.6771730843449231</v>
      </c>
      <c r="D136" s="1">
        <v>1.4141915815403989</v>
      </c>
      <c r="E136" s="1">
        <v>0.5862119769804871</v>
      </c>
      <c r="F136" s="1"/>
      <c r="G136" s="1"/>
      <c r="H136" s="1"/>
      <c r="I136" s="1"/>
      <c r="K136" s="1">
        <v>-0.21607312278012031</v>
      </c>
      <c r="L136" s="1">
        <v>-0.66037619758483312</v>
      </c>
      <c r="M136" s="1">
        <v>-1.6771730843449231</v>
      </c>
      <c r="N136" s="1">
        <v>1.4141915815403989</v>
      </c>
      <c r="O136" s="1">
        <v>0.5862119769804871</v>
      </c>
      <c r="P136" s="1"/>
      <c r="Q136" s="1"/>
      <c r="R136" s="1"/>
      <c r="S136" s="1"/>
    </row>
    <row r="137" spans="1:19" x14ac:dyDescent="0.25">
      <c r="A137" t="s">
        <v>508</v>
      </c>
      <c r="B137" t="s">
        <v>520</v>
      </c>
      <c r="C137" t="s">
        <v>512</v>
      </c>
      <c r="D137" t="s">
        <v>514</v>
      </c>
      <c r="E137" t="s">
        <v>513</v>
      </c>
      <c r="F137" t="s">
        <v>516</v>
      </c>
      <c r="K137" t="str">
        <f t="shared" si="17"/>
        <v>EmploymentRate</v>
      </c>
      <c r="L137" t="str">
        <f t="shared" si="18"/>
        <v>ProductionPrices</v>
      </c>
      <c r="M137" t="str">
        <f t="shared" si="19"/>
        <v>GovernmentSpending</v>
      </c>
      <c r="N137" t="str">
        <f t="shared" si="20"/>
        <v>Imports</v>
      </c>
      <c r="O137" t="str">
        <f t="shared" si="21"/>
        <v>HealthExpenditure</v>
      </c>
      <c r="P137" t="str">
        <f t="shared" si="22"/>
        <v>LifeExpectancy</v>
      </c>
      <c r="Q137" t="str">
        <f t="shared" si="23"/>
        <v/>
      </c>
      <c r="R137" t="str">
        <f t="shared" si="24"/>
        <v/>
      </c>
    </row>
    <row r="138" spans="1:19" x14ac:dyDescent="0.25">
      <c r="A138" s="1">
        <v>-1.190958419430141</v>
      </c>
      <c r="B138" s="1">
        <v>1.1597026836384361</v>
      </c>
      <c r="C138" s="1">
        <v>2.2256329795251029</v>
      </c>
      <c r="D138" s="1">
        <v>-2.914814806996294</v>
      </c>
      <c r="E138" s="1">
        <v>2.3511753135305038</v>
      </c>
      <c r="F138" s="1">
        <v>0.89868083630225193</v>
      </c>
      <c r="G138" s="1"/>
      <c r="H138" s="1"/>
      <c r="I138" s="1"/>
      <c r="K138" s="1">
        <v>-1.190958419430141</v>
      </c>
      <c r="L138" s="1">
        <v>1.1597026836384361</v>
      </c>
      <c r="M138" s="1">
        <v>2.2256329795251029</v>
      </c>
      <c r="N138" s="1">
        <v>-2.914814806996294</v>
      </c>
      <c r="O138" s="1">
        <v>2.3511753135305038</v>
      </c>
      <c r="P138" s="1">
        <v>0.89868083630225193</v>
      </c>
      <c r="Q138" s="1"/>
      <c r="R138" s="1"/>
      <c r="S138" s="1"/>
    </row>
    <row r="139" spans="1:19" x14ac:dyDescent="0.25">
      <c r="A139" t="s">
        <v>518</v>
      </c>
      <c r="B139" t="s">
        <v>520</v>
      </c>
      <c r="C139" t="s">
        <v>515</v>
      </c>
      <c r="D139" t="s">
        <v>512</v>
      </c>
      <c r="E139" t="s">
        <v>511</v>
      </c>
      <c r="F139" t="s">
        <v>509</v>
      </c>
      <c r="G139" t="s">
        <v>510</v>
      </c>
      <c r="H139" t="s">
        <v>513</v>
      </c>
      <c r="K139" t="str">
        <f t="shared" si="17"/>
        <v>PandemicGrowth</v>
      </c>
      <c r="L139" t="str">
        <f t="shared" si="18"/>
        <v>ProductionPrices</v>
      </c>
      <c r="M139" t="str">
        <f t="shared" si="19"/>
        <v>Inflation</v>
      </c>
      <c r="N139" t="str">
        <f t="shared" si="20"/>
        <v>GovernmentSpending</v>
      </c>
      <c r="O139" t="str">
        <f t="shared" si="21"/>
        <v>GDP</v>
      </c>
      <c r="P139" t="str">
        <f t="shared" si="22"/>
        <v>Exports</v>
      </c>
      <c r="Q139" t="str">
        <f t="shared" si="23"/>
        <v>FDI</v>
      </c>
      <c r="R139" t="str">
        <f t="shared" si="24"/>
        <v>HealthExpenditure</v>
      </c>
    </row>
    <row r="140" spans="1:19" x14ac:dyDescent="0.25">
      <c r="A140" s="1">
        <v>-0.31025289764972819</v>
      </c>
      <c r="B140" s="1">
        <v>-2.645041506014445</v>
      </c>
      <c r="C140" s="1">
        <v>3.7497859274602598</v>
      </c>
      <c r="D140" s="1">
        <v>1.1160195872013161</v>
      </c>
      <c r="E140" s="1">
        <v>2.6789841251700741</v>
      </c>
      <c r="F140" s="1">
        <v>1.6081205376294549</v>
      </c>
      <c r="G140" s="1">
        <v>-1.992817647870246</v>
      </c>
      <c r="H140" s="1">
        <v>-1.839364613331046</v>
      </c>
      <c r="I140" s="1"/>
      <c r="K140" s="1">
        <v>-0.31025289764972819</v>
      </c>
      <c r="L140" s="1">
        <v>-2.645041506014445</v>
      </c>
      <c r="M140" s="1">
        <v>3.7497859274602598</v>
      </c>
      <c r="N140" s="1">
        <v>1.1160195872013161</v>
      </c>
      <c r="O140" s="1">
        <v>2.6789841251700741</v>
      </c>
      <c r="P140" s="1">
        <v>1.6081205376294549</v>
      </c>
      <c r="Q140" s="1">
        <v>-1.992817647870246</v>
      </c>
      <c r="R140" s="1">
        <v>-1.839364613331046</v>
      </c>
      <c r="S140" s="1"/>
    </row>
    <row r="141" spans="1:19" x14ac:dyDescent="0.25">
      <c r="A141" t="s">
        <v>515</v>
      </c>
      <c r="B141" t="s">
        <v>519</v>
      </c>
      <c r="C141" t="s">
        <v>511</v>
      </c>
      <c r="D141" t="s">
        <v>514</v>
      </c>
      <c r="E141" t="s">
        <v>510</v>
      </c>
      <c r="F141" t="s">
        <v>513</v>
      </c>
      <c r="K141" t="str">
        <f t="shared" si="17"/>
        <v>Inflation</v>
      </c>
      <c r="L141" t="str">
        <f t="shared" si="18"/>
        <v>PrivateSpending</v>
      </c>
      <c r="M141" t="str">
        <f t="shared" si="19"/>
        <v>GDP</v>
      </c>
      <c r="N141" t="str">
        <f t="shared" si="20"/>
        <v>Imports</v>
      </c>
      <c r="O141" t="str">
        <f t="shared" si="21"/>
        <v>FDI</v>
      </c>
      <c r="P141" t="str">
        <f t="shared" si="22"/>
        <v>HealthExpenditure</v>
      </c>
      <c r="Q141" t="str">
        <f t="shared" si="23"/>
        <v/>
      </c>
      <c r="R141" t="str">
        <f t="shared" si="24"/>
        <v/>
      </c>
    </row>
    <row r="142" spans="1:19" x14ac:dyDescent="0.25">
      <c r="A142" s="1">
        <v>0.65166039549449772</v>
      </c>
      <c r="B142" s="1">
        <v>5.6802403728037456</v>
      </c>
      <c r="C142" s="1">
        <v>1.1873294074351499</v>
      </c>
      <c r="D142" s="1">
        <v>-5.1483644666520796</v>
      </c>
      <c r="E142" s="1">
        <v>-2.4485270721194499</v>
      </c>
      <c r="F142" s="1">
        <v>2.1302915643808591</v>
      </c>
      <c r="G142" s="1"/>
      <c r="H142" s="1"/>
      <c r="I142" s="1"/>
      <c r="K142" s="1">
        <v>0.65166039549449772</v>
      </c>
      <c r="L142" s="1">
        <v>5.6802403728037456</v>
      </c>
      <c r="M142" s="1">
        <v>1.1873294074351499</v>
      </c>
      <c r="N142" s="1">
        <v>-5.1483644666520796</v>
      </c>
      <c r="O142" s="1">
        <v>-2.4485270721194499</v>
      </c>
      <c r="P142" s="1">
        <v>2.1302915643808591</v>
      </c>
      <c r="Q142" s="1"/>
      <c r="R142" s="1"/>
      <c r="S142" s="1"/>
    </row>
    <row r="143" spans="1:19" x14ac:dyDescent="0.25">
      <c r="A143" t="s">
        <v>515</v>
      </c>
      <c r="B143" t="s">
        <v>512</v>
      </c>
      <c r="C143" t="s">
        <v>511</v>
      </c>
      <c r="D143" t="s">
        <v>514</v>
      </c>
      <c r="E143" t="s">
        <v>510</v>
      </c>
      <c r="F143" t="s">
        <v>516</v>
      </c>
      <c r="K143" t="str">
        <f t="shared" si="17"/>
        <v>Inflation</v>
      </c>
      <c r="L143" t="str">
        <f t="shared" si="18"/>
        <v>GovernmentSpending</v>
      </c>
      <c r="M143" t="str">
        <f t="shared" si="19"/>
        <v>GDP</v>
      </c>
      <c r="N143" t="str">
        <f t="shared" si="20"/>
        <v>Imports</v>
      </c>
      <c r="O143" t="str">
        <f t="shared" si="21"/>
        <v>FDI</v>
      </c>
      <c r="P143" t="str">
        <f t="shared" si="22"/>
        <v>LifeExpectancy</v>
      </c>
      <c r="Q143" t="str">
        <f t="shared" si="23"/>
        <v/>
      </c>
      <c r="R143" t="str">
        <f t="shared" si="24"/>
        <v/>
      </c>
    </row>
    <row r="144" spans="1:19" x14ac:dyDescent="0.25">
      <c r="A144" s="1">
        <v>-1.1344672831837139</v>
      </c>
      <c r="B144" s="1">
        <v>2.164669276126117</v>
      </c>
      <c r="C144" s="1">
        <v>3.216489173873192</v>
      </c>
      <c r="D144" s="1">
        <v>-1.1566943026028209</v>
      </c>
      <c r="E144" s="1">
        <v>-3.1425392474715532</v>
      </c>
      <c r="F144" s="1">
        <v>-4.0655531222762944</v>
      </c>
      <c r="G144" s="1"/>
      <c r="H144" s="1"/>
      <c r="I144" s="1"/>
      <c r="K144" s="1">
        <v>-1.1344672831837139</v>
      </c>
      <c r="L144" s="1">
        <v>2.164669276126117</v>
      </c>
      <c r="M144" s="1">
        <v>3.216489173873192</v>
      </c>
      <c r="N144" s="1">
        <v>-1.1566943026028209</v>
      </c>
      <c r="O144" s="1">
        <v>-3.1425392474715532</v>
      </c>
      <c r="P144" s="1">
        <v>-4.0655531222762944</v>
      </c>
      <c r="Q144" s="1"/>
      <c r="R144" s="1"/>
      <c r="S144" s="1"/>
    </row>
    <row r="145" spans="1:19" x14ac:dyDescent="0.25">
      <c r="A145" t="s">
        <v>522</v>
      </c>
      <c r="B145" t="s">
        <v>520</v>
      </c>
      <c r="C145" t="s">
        <v>511</v>
      </c>
      <c r="D145" t="s">
        <v>509</v>
      </c>
      <c r="E145" t="s">
        <v>513</v>
      </c>
      <c r="K145" t="str">
        <f t="shared" si="17"/>
        <v>ShortInterestRate</v>
      </c>
      <c r="L145" t="str">
        <f t="shared" si="18"/>
        <v>ProductionPrices</v>
      </c>
      <c r="M145" t="str">
        <f t="shared" si="19"/>
        <v>GDP</v>
      </c>
      <c r="N145" t="str">
        <f t="shared" si="20"/>
        <v>Exports</v>
      </c>
      <c r="O145" t="str">
        <f t="shared" si="21"/>
        <v>HealthExpenditure</v>
      </c>
      <c r="P145" t="str">
        <f t="shared" si="22"/>
        <v/>
      </c>
      <c r="Q145" t="str">
        <f t="shared" si="23"/>
        <v/>
      </c>
      <c r="R145" t="str">
        <f t="shared" si="24"/>
        <v/>
      </c>
    </row>
    <row r="146" spans="1:19" x14ac:dyDescent="0.25">
      <c r="A146" s="1">
        <v>-1.305106177631207</v>
      </c>
      <c r="B146" s="1">
        <v>1.096241208902059</v>
      </c>
      <c r="C146" s="1">
        <v>0.62922523907160932</v>
      </c>
      <c r="D146" s="1">
        <v>2.0025495524589449</v>
      </c>
      <c r="E146" s="1">
        <v>-2.0316330743377549</v>
      </c>
      <c r="F146" s="1"/>
      <c r="G146" s="1"/>
      <c r="H146" s="1"/>
      <c r="I146" s="1"/>
      <c r="K146" s="1">
        <v>-1.305106177631207</v>
      </c>
      <c r="L146" s="1">
        <v>1.096241208902059</v>
      </c>
      <c r="M146" s="1">
        <v>0.62922523907160932</v>
      </c>
      <c r="N146" s="1">
        <v>2.0025495524589449</v>
      </c>
      <c r="O146" s="1">
        <v>-2.0316330743377549</v>
      </c>
      <c r="P146" s="1"/>
      <c r="Q146" s="1"/>
      <c r="R146" s="1"/>
      <c r="S146" s="1"/>
    </row>
    <row r="147" spans="1:19" x14ac:dyDescent="0.25">
      <c r="A147" t="s">
        <v>521</v>
      </c>
      <c r="B147" t="s">
        <v>508</v>
      </c>
      <c r="C147" t="s">
        <v>517</v>
      </c>
      <c r="D147" t="s">
        <v>511</v>
      </c>
      <c r="E147" t="s">
        <v>509</v>
      </c>
      <c r="F147" t="s">
        <v>514</v>
      </c>
      <c r="G147" t="s">
        <v>516</v>
      </c>
      <c r="K147" t="str">
        <f t="shared" si="17"/>
        <v>RecoveryRate</v>
      </c>
      <c r="L147" t="str">
        <f t="shared" si="18"/>
        <v>EmploymentRate</v>
      </c>
      <c r="M147" t="str">
        <f t="shared" si="19"/>
        <v>LongInterestRate</v>
      </c>
      <c r="N147" t="str">
        <f t="shared" si="20"/>
        <v>GDP</v>
      </c>
      <c r="O147" t="str">
        <f t="shared" si="21"/>
        <v>Exports</v>
      </c>
      <c r="P147" t="str">
        <f t="shared" si="22"/>
        <v>Imports</v>
      </c>
      <c r="Q147" t="str">
        <f t="shared" si="23"/>
        <v>LifeExpectancy</v>
      </c>
      <c r="R147" t="str">
        <f t="shared" si="24"/>
        <v/>
      </c>
    </row>
    <row r="148" spans="1:19" x14ac:dyDescent="0.25">
      <c r="A148" s="1">
        <v>-0.35529925817948588</v>
      </c>
      <c r="B148" s="1">
        <v>-0.79757900592470321</v>
      </c>
      <c r="C148" s="1">
        <v>-1.0898799176862819</v>
      </c>
      <c r="D148" s="1">
        <v>2.1094732313818811</v>
      </c>
      <c r="E148" s="1">
        <v>-2.1745025166645622</v>
      </c>
      <c r="F148" s="1">
        <v>0.82511072963327847</v>
      </c>
      <c r="G148" s="1">
        <v>-2.2027429210855249</v>
      </c>
      <c r="H148" s="1"/>
      <c r="I148" s="1"/>
      <c r="K148" s="1">
        <v>-0.35529925817948588</v>
      </c>
      <c r="L148" s="1">
        <v>-0.79757900592470321</v>
      </c>
      <c r="M148" s="1">
        <v>-1.0898799176862819</v>
      </c>
      <c r="N148" s="1">
        <v>2.1094732313818811</v>
      </c>
      <c r="O148" s="1">
        <v>-2.1745025166645622</v>
      </c>
      <c r="P148" s="1">
        <v>0.82511072963327847</v>
      </c>
      <c r="Q148" s="1">
        <v>-2.2027429210855249</v>
      </c>
      <c r="R148" s="1"/>
      <c r="S148" s="1"/>
    </row>
    <row r="149" spans="1:19" x14ac:dyDescent="0.25">
      <c r="A149" t="s">
        <v>515</v>
      </c>
      <c r="B149" t="s">
        <v>512</v>
      </c>
      <c r="C149" t="s">
        <v>509</v>
      </c>
      <c r="D149" t="s">
        <v>514</v>
      </c>
      <c r="E149" t="s">
        <v>510</v>
      </c>
      <c r="F149" t="s">
        <v>516</v>
      </c>
      <c r="K149" t="str">
        <f t="shared" si="17"/>
        <v>Inflation</v>
      </c>
      <c r="L149" t="str">
        <f t="shared" si="18"/>
        <v>GovernmentSpending</v>
      </c>
      <c r="M149" t="str">
        <f t="shared" si="19"/>
        <v>Exports</v>
      </c>
      <c r="N149" t="str">
        <f t="shared" si="20"/>
        <v>Imports</v>
      </c>
      <c r="O149" t="str">
        <f t="shared" si="21"/>
        <v>FDI</v>
      </c>
      <c r="P149" t="str">
        <f t="shared" si="22"/>
        <v>LifeExpectancy</v>
      </c>
      <c r="Q149" t="str">
        <f t="shared" si="23"/>
        <v/>
      </c>
      <c r="R149" t="str">
        <f t="shared" si="24"/>
        <v/>
      </c>
    </row>
    <row r="150" spans="1:19" x14ac:dyDescent="0.25">
      <c r="A150" s="1">
        <v>1.655651700324279</v>
      </c>
      <c r="B150" s="1">
        <v>1.689982466206116</v>
      </c>
      <c r="C150" s="1">
        <v>3.1719590508239981</v>
      </c>
      <c r="D150" s="1">
        <v>-1.974070672356133</v>
      </c>
      <c r="E150" s="1">
        <v>-1.4793565064624199</v>
      </c>
      <c r="F150" s="1">
        <v>1.5405186137800171</v>
      </c>
      <c r="G150" s="1"/>
      <c r="H150" s="1"/>
      <c r="I150" s="1"/>
      <c r="K150" s="1">
        <v>1.655651700324279</v>
      </c>
      <c r="L150" s="1">
        <v>1.689982466206116</v>
      </c>
      <c r="M150" s="1">
        <v>3.1719590508239981</v>
      </c>
      <c r="N150" s="1">
        <v>-1.974070672356133</v>
      </c>
      <c r="O150" s="1">
        <v>-1.4793565064624199</v>
      </c>
      <c r="P150" s="1">
        <v>1.5405186137800171</v>
      </c>
      <c r="Q150" s="1"/>
      <c r="R150" s="1"/>
      <c r="S150" s="1"/>
    </row>
    <row r="151" spans="1:19" x14ac:dyDescent="0.25">
      <c r="A151" t="s">
        <v>518</v>
      </c>
      <c r="B151" t="s">
        <v>508</v>
      </c>
      <c r="C151" t="s">
        <v>522</v>
      </c>
      <c r="D151" t="s">
        <v>519</v>
      </c>
      <c r="E151" t="s">
        <v>511</v>
      </c>
      <c r="F151" t="s">
        <v>509</v>
      </c>
      <c r="G151" t="s">
        <v>510</v>
      </c>
      <c r="H151" t="s">
        <v>516</v>
      </c>
      <c r="K151" t="str">
        <f t="shared" si="17"/>
        <v>PandemicGrowth</v>
      </c>
      <c r="L151" t="str">
        <f t="shared" si="18"/>
        <v>EmploymentRate</v>
      </c>
      <c r="M151" t="str">
        <f t="shared" si="19"/>
        <v>ShortInterestRate</v>
      </c>
      <c r="N151" t="str">
        <f t="shared" si="20"/>
        <v>PrivateSpending</v>
      </c>
      <c r="O151" t="str">
        <f t="shared" si="21"/>
        <v>GDP</v>
      </c>
      <c r="P151" t="str">
        <f t="shared" si="22"/>
        <v>Exports</v>
      </c>
      <c r="Q151" t="str">
        <f t="shared" si="23"/>
        <v>FDI</v>
      </c>
      <c r="R151" t="str">
        <f t="shared" si="24"/>
        <v>LifeExpectancy</v>
      </c>
    </row>
    <row r="152" spans="1:19" x14ac:dyDescent="0.25">
      <c r="A152" s="1">
        <v>-0.22812127442205099</v>
      </c>
      <c r="B152" s="1">
        <v>-0.44005032982808728</v>
      </c>
      <c r="C152" s="1">
        <v>-0.99118982673287392</v>
      </c>
      <c r="D152" s="1">
        <v>0.95257834942715569</v>
      </c>
      <c r="E152" s="1">
        <v>2.0645328583823441</v>
      </c>
      <c r="F152" s="1">
        <v>-1.4746509379895689</v>
      </c>
      <c r="G152" s="1">
        <v>-0.77633519941327678</v>
      </c>
      <c r="H152" s="1">
        <v>-2.135437859565728</v>
      </c>
      <c r="I152" s="1"/>
      <c r="K152" s="1">
        <v>-0.22812127442205099</v>
      </c>
      <c r="L152" s="1">
        <v>-0.44005032982808728</v>
      </c>
      <c r="M152" s="1">
        <v>-0.99118982673287392</v>
      </c>
      <c r="N152" s="1">
        <v>0.95257834942715569</v>
      </c>
      <c r="O152" s="1">
        <v>2.0645328583823441</v>
      </c>
      <c r="P152" s="1">
        <v>-1.4746509379895689</v>
      </c>
      <c r="Q152" s="1">
        <v>-0.77633519941327678</v>
      </c>
      <c r="R152" s="1">
        <v>-2.135437859565728</v>
      </c>
      <c r="S152" s="1"/>
    </row>
    <row r="153" spans="1:19" x14ac:dyDescent="0.25">
      <c r="A153" t="s">
        <v>515</v>
      </c>
      <c r="B153" t="s">
        <v>512</v>
      </c>
      <c r="C153" t="s">
        <v>511</v>
      </c>
      <c r="D153" t="s">
        <v>509</v>
      </c>
      <c r="E153" t="s">
        <v>510</v>
      </c>
      <c r="F153" t="s">
        <v>516</v>
      </c>
      <c r="K153" t="str">
        <f t="shared" si="17"/>
        <v>Inflation</v>
      </c>
      <c r="L153" t="str">
        <f t="shared" si="18"/>
        <v>GovernmentSpending</v>
      </c>
      <c r="M153" t="str">
        <f t="shared" si="19"/>
        <v>GDP</v>
      </c>
      <c r="N153" t="str">
        <f t="shared" si="20"/>
        <v>Exports</v>
      </c>
      <c r="O153" t="str">
        <f t="shared" si="21"/>
        <v>FDI</v>
      </c>
      <c r="P153" t="str">
        <f t="shared" si="22"/>
        <v>LifeExpectancy</v>
      </c>
      <c r="Q153" t="str">
        <f t="shared" si="23"/>
        <v/>
      </c>
      <c r="R153" t="str">
        <f t="shared" si="24"/>
        <v/>
      </c>
    </row>
    <row r="154" spans="1:19" x14ac:dyDescent="0.25">
      <c r="A154" s="1">
        <v>-2.157348934664773</v>
      </c>
      <c r="B154" s="1">
        <v>1.2523222216592651</v>
      </c>
      <c r="C154" s="1">
        <v>3.6279776996200881</v>
      </c>
      <c r="D154" s="1">
        <v>-1.5794026907586161</v>
      </c>
      <c r="E154" s="1">
        <v>-2.61397835874256</v>
      </c>
      <c r="F154" s="1">
        <v>-5.4682309669090436</v>
      </c>
      <c r="G154" s="1"/>
      <c r="H154" s="1"/>
      <c r="I154" s="1"/>
      <c r="K154" s="1">
        <v>-2.157348934664773</v>
      </c>
      <c r="L154" s="1">
        <v>1.2523222216592651</v>
      </c>
      <c r="M154" s="1">
        <v>3.6279776996200881</v>
      </c>
      <c r="N154" s="1">
        <v>-1.5794026907586161</v>
      </c>
      <c r="O154" s="1">
        <v>-2.61397835874256</v>
      </c>
      <c r="P154" s="1">
        <v>-5.4682309669090436</v>
      </c>
      <c r="Q154" s="1"/>
      <c r="R154" s="1"/>
      <c r="S154" s="1"/>
    </row>
    <row r="155" spans="1:19" x14ac:dyDescent="0.25">
      <c r="A155" t="s">
        <v>518</v>
      </c>
      <c r="B155" t="s">
        <v>522</v>
      </c>
      <c r="C155" t="s">
        <v>519</v>
      </c>
      <c r="D155" t="s">
        <v>511</v>
      </c>
      <c r="E155" t="s">
        <v>514</v>
      </c>
      <c r="F155" t="s">
        <v>510</v>
      </c>
      <c r="G155" t="s">
        <v>516</v>
      </c>
      <c r="K155" t="str">
        <f t="shared" si="17"/>
        <v>PandemicGrowth</v>
      </c>
      <c r="L155" t="str">
        <f t="shared" si="18"/>
        <v>ShortInterestRate</v>
      </c>
      <c r="M155" t="str">
        <f t="shared" si="19"/>
        <v>PrivateSpending</v>
      </c>
      <c r="N155" t="str">
        <f t="shared" si="20"/>
        <v>GDP</v>
      </c>
      <c r="O155" t="str">
        <f t="shared" si="21"/>
        <v>Imports</v>
      </c>
      <c r="P155" t="str">
        <f t="shared" si="22"/>
        <v>FDI</v>
      </c>
      <c r="Q155" t="str">
        <f t="shared" si="23"/>
        <v>LifeExpectancy</v>
      </c>
      <c r="R155" t="str">
        <f t="shared" si="24"/>
        <v/>
      </c>
    </row>
    <row r="156" spans="1:19" x14ac:dyDescent="0.25">
      <c r="A156" s="1">
        <v>-0.21827705970027511</v>
      </c>
      <c r="B156" s="1">
        <v>-0.54170426796481985</v>
      </c>
      <c r="C156" s="1">
        <v>2.7988688025391482</v>
      </c>
      <c r="D156" s="1">
        <v>2.0201668750995321</v>
      </c>
      <c r="E156" s="1">
        <v>-1.8667268018982699</v>
      </c>
      <c r="F156" s="1">
        <v>-2.0035498212688112</v>
      </c>
      <c r="G156" s="1">
        <v>-1.617296425855224</v>
      </c>
      <c r="H156" s="1"/>
      <c r="I156" s="1"/>
      <c r="K156" s="1">
        <v>-0.21827705970027511</v>
      </c>
      <c r="L156" s="1">
        <v>-0.54170426796481985</v>
      </c>
      <c r="M156" s="1">
        <v>2.7988688025391482</v>
      </c>
      <c r="N156" s="1">
        <v>2.0201668750995321</v>
      </c>
      <c r="O156" s="1">
        <v>-1.8667268018982699</v>
      </c>
      <c r="P156" s="1">
        <v>-2.0035498212688112</v>
      </c>
      <c r="Q156" s="1">
        <v>-1.617296425855224</v>
      </c>
      <c r="R156" s="1"/>
      <c r="S156" s="1"/>
    </row>
    <row r="157" spans="1:19" x14ac:dyDescent="0.25">
      <c r="A157" t="s">
        <v>518</v>
      </c>
      <c r="B157" t="s">
        <v>508</v>
      </c>
      <c r="C157" t="s">
        <v>522</v>
      </c>
      <c r="D157" t="s">
        <v>511</v>
      </c>
      <c r="E157" t="s">
        <v>509</v>
      </c>
      <c r="F157" t="s">
        <v>514</v>
      </c>
      <c r="G157" t="s">
        <v>516</v>
      </c>
      <c r="K157" t="str">
        <f t="shared" si="17"/>
        <v>PandemicGrowth</v>
      </c>
      <c r="L157" t="str">
        <f t="shared" si="18"/>
        <v>EmploymentRate</v>
      </c>
      <c r="M157" t="str">
        <f t="shared" si="19"/>
        <v>ShortInterestRate</v>
      </c>
      <c r="N157" t="str">
        <f t="shared" si="20"/>
        <v>GDP</v>
      </c>
      <c r="O157" t="str">
        <f t="shared" si="21"/>
        <v>Exports</v>
      </c>
      <c r="P157" t="str">
        <f t="shared" si="22"/>
        <v>Imports</v>
      </c>
      <c r="Q157" t="str">
        <f t="shared" si="23"/>
        <v>LifeExpectancy</v>
      </c>
      <c r="R157" t="str">
        <f t="shared" si="24"/>
        <v/>
      </c>
    </row>
    <row r="158" spans="1:19" x14ac:dyDescent="0.25">
      <c r="A158" s="1">
        <v>-0.20946287149178611</v>
      </c>
      <c r="B158" s="1">
        <v>-0.69062507381534877</v>
      </c>
      <c r="C158" s="1">
        <v>-1.0414847199584001</v>
      </c>
      <c r="D158" s="1">
        <v>1.9256399371499859</v>
      </c>
      <c r="E158" s="1">
        <v>-2.0076450439883722</v>
      </c>
      <c r="F158" s="1">
        <v>0.81098607483515062</v>
      </c>
      <c r="G158" s="1">
        <v>-2.1050522367290929</v>
      </c>
      <c r="H158" s="1"/>
      <c r="I158" s="1"/>
      <c r="K158" s="1">
        <v>-0.20946287149178611</v>
      </c>
      <c r="L158" s="1">
        <v>-0.69062507381534877</v>
      </c>
      <c r="M158" s="1">
        <v>-1.0414847199584001</v>
      </c>
      <c r="N158" s="1">
        <v>1.9256399371499859</v>
      </c>
      <c r="O158" s="1">
        <v>-2.0076450439883722</v>
      </c>
      <c r="P158" s="1">
        <v>0.81098607483515062</v>
      </c>
      <c r="Q158" s="1">
        <v>-2.1050522367290929</v>
      </c>
      <c r="R158" s="1"/>
      <c r="S158" s="1"/>
    </row>
    <row r="159" spans="1:19" x14ac:dyDescent="0.25">
      <c r="A159" t="s">
        <v>508</v>
      </c>
      <c r="B159" t="s">
        <v>515</v>
      </c>
      <c r="C159" t="s">
        <v>519</v>
      </c>
      <c r="D159" t="s">
        <v>512</v>
      </c>
      <c r="E159" t="s">
        <v>509</v>
      </c>
      <c r="F159" t="s">
        <v>516</v>
      </c>
      <c r="K159" t="str">
        <f t="shared" si="17"/>
        <v>EmploymentRate</v>
      </c>
      <c r="L159" t="str">
        <f t="shared" si="18"/>
        <v>Inflation</v>
      </c>
      <c r="M159" t="str">
        <f t="shared" si="19"/>
        <v>PrivateSpending</v>
      </c>
      <c r="N159" t="str">
        <f t="shared" si="20"/>
        <v>GovernmentSpending</v>
      </c>
      <c r="O159" t="str">
        <f t="shared" si="21"/>
        <v>Exports</v>
      </c>
      <c r="P159" t="str">
        <f t="shared" si="22"/>
        <v>LifeExpectancy</v>
      </c>
      <c r="Q159" t="str">
        <f t="shared" si="23"/>
        <v/>
      </c>
      <c r="R159" t="str">
        <f t="shared" si="24"/>
        <v/>
      </c>
    </row>
    <row r="160" spans="1:19" x14ac:dyDescent="0.25">
      <c r="A160" s="1">
        <v>-1.2415952678354829</v>
      </c>
      <c r="B160" s="1">
        <v>2.3128227093848399</v>
      </c>
      <c r="C160" s="1">
        <v>-4.6058966764619846</v>
      </c>
      <c r="D160" s="1">
        <v>3.891025323394969</v>
      </c>
      <c r="E160" s="1">
        <v>2.6893539118761849</v>
      </c>
      <c r="F160" s="1">
        <v>2.0837164872305531</v>
      </c>
      <c r="G160" s="1"/>
      <c r="H160" s="1"/>
      <c r="I160" s="1"/>
      <c r="K160" s="1">
        <v>-1.2415952678354829</v>
      </c>
      <c r="L160" s="1">
        <v>2.3128227093848399</v>
      </c>
      <c r="M160" s="1">
        <v>-4.6058966764619846</v>
      </c>
      <c r="N160" s="1">
        <v>3.891025323394969</v>
      </c>
      <c r="O160" s="1">
        <v>2.6893539118761849</v>
      </c>
      <c r="P160" s="1">
        <v>2.0837164872305531</v>
      </c>
      <c r="Q160" s="1"/>
      <c r="R160" s="1"/>
      <c r="S160" s="1"/>
    </row>
    <row r="161" spans="1:19" x14ac:dyDescent="0.25">
      <c r="A161" t="s">
        <v>521</v>
      </c>
      <c r="B161" t="s">
        <v>508</v>
      </c>
      <c r="C161" t="s">
        <v>517</v>
      </c>
      <c r="D161" t="s">
        <v>520</v>
      </c>
      <c r="E161" t="s">
        <v>515</v>
      </c>
      <c r="F161" t="s">
        <v>516</v>
      </c>
      <c r="K161" t="str">
        <f t="shared" si="17"/>
        <v>RecoveryRate</v>
      </c>
      <c r="L161" t="str">
        <f t="shared" si="18"/>
        <v>EmploymentRate</v>
      </c>
      <c r="M161" t="str">
        <f t="shared" si="19"/>
        <v>LongInterestRate</v>
      </c>
      <c r="N161" t="str">
        <f t="shared" si="20"/>
        <v>ProductionPrices</v>
      </c>
      <c r="O161" t="str">
        <f t="shared" si="21"/>
        <v>Inflation</v>
      </c>
      <c r="P161" t="str">
        <f t="shared" si="22"/>
        <v>LifeExpectancy</v>
      </c>
      <c r="Q161" t="str">
        <f t="shared" si="23"/>
        <v/>
      </c>
      <c r="R161" t="str">
        <f t="shared" si="24"/>
        <v/>
      </c>
    </row>
    <row r="162" spans="1:19" x14ac:dyDescent="0.25">
      <c r="A162" s="1">
        <v>-0.19821775508252429</v>
      </c>
      <c r="B162" s="1">
        <v>-0.34162165533001582</v>
      </c>
      <c r="C162" s="1">
        <v>-1.588376558964691</v>
      </c>
      <c r="D162" s="1">
        <v>3.4252977580511779</v>
      </c>
      <c r="E162" s="1">
        <v>-3.6114253000889369</v>
      </c>
      <c r="F162" s="1">
        <v>-2.1968798874685258</v>
      </c>
      <c r="G162" s="1"/>
      <c r="H162" s="1"/>
      <c r="I162" s="1"/>
      <c r="K162" s="1">
        <v>-0.19821775508252429</v>
      </c>
      <c r="L162" s="1">
        <v>-0.34162165533001582</v>
      </c>
      <c r="M162" s="1">
        <v>-1.588376558964691</v>
      </c>
      <c r="N162" s="1">
        <v>3.4252977580511779</v>
      </c>
      <c r="O162" s="1">
        <v>-3.6114253000889369</v>
      </c>
      <c r="P162" s="1">
        <v>-2.1968798874685258</v>
      </c>
      <c r="Q162" s="1"/>
      <c r="R162" s="1"/>
      <c r="S162" s="1"/>
    </row>
    <row r="163" spans="1:19" x14ac:dyDescent="0.25">
      <c r="A163" t="s">
        <v>521</v>
      </c>
      <c r="B163" t="s">
        <v>522</v>
      </c>
      <c r="C163" t="s">
        <v>515</v>
      </c>
      <c r="D163" t="s">
        <v>512</v>
      </c>
      <c r="E163" t="s">
        <v>511</v>
      </c>
      <c r="F163" t="s">
        <v>509</v>
      </c>
      <c r="G163" t="s">
        <v>514</v>
      </c>
      <c r="H163" t="s">
        <v>513</v>
      </c>
      <c r="K163" t="str">
        <f t="shared" si="17"/>
        <v>RecoveryRate</v>
      </c>
      <c r="L163" t="str">
        <f t="shared" si="18"/>
        <v>ShortInterestRate</v>
      </c>
      <c r="M163" t="str">
        <f t="shared" si="19"/>
        <v>Inflation</v>
      </c>
      <c r="N163" t="str">
        <f t="shared" si="20"/>
        <v>GovernmentSpending</v>
      </c>
      <c r="O163" t="str">
        <f t="shared" si="21"/>
        <v>GDP</v>
      </c>
      <c r="P163" t="str">
        <f t="shared" si="22"/>
        <v>Exports</v>
      </c>
      <c r="Q163" t="str">
        <f t="shared" si="23"/>
        <v>Imports</v>
      </c>
      <c r="R163" t="str">
        <f t="shared" si="24"/>
        <v>HealthExpenditure</v>
      </c>
    </row>
    <row r="164" spans="1:19" x14ac:dyDescent="0.25">
      <c r="A164" s="1">
        <v>-0.27964346541637358</v>
      </c>
      <c r="B164" s="1">
        <v>-1.674034517907778</v>
      </c>
      <c r="C164" s="1">
        <v>1.2670722198883531</v>
      </c>
      <c r="D164" s="1">
        <v>-1.067635886968276</v>
      </c>
      <c r="E164" s="1">
        <v>1.4875136816744501</v>
      </c>
      <c r="F164" s="1">
        <v>1.5642955175964639</v>
      </c>
      <c r="G164" s="1">
        <v>2.038945219585274</v>
      </c>
      <c r="H164" s="1">
        <v>-3.5345529869705552</v>
      </c>
      <c r="I164" s="1"/>
      <c r="K164" s="1">
        <v>-0.27964346541637358</v>
      </c>
      <c r="L164" s="1">
        <v>-1.674034517907778</v>
      </c>
      <c r="M164" s="1">
        <v>1.2670722198883531</v>
      </c>
      <c r="N164" s="1">
        <v>-1.067635886968276</v>
      </c>
      <c r="O164" s="1">
        <v>1.4875136816744501</v>
      </c>
      <c r="P164" s="1">
        <v>1.5642955175964639</v>
      </c>
      <c r="Q164" s="1">
        <v>2.038945219585274</v>
      </c>
      <c r="R164" s="1">
        <v>-3.5345529869705552</v>
      </c>
      <c r="S164" s="1"/>
    </row>
    <row r="165" spans="1:19" x14ac:dyDescent="0.25">
      <c r="A165" t="s">
        <v>521</v>
      </c>
      <c r="B165" t="s">
        <v>522</v>
      </c>
      <c r="C165" t="s">
        <v>512</v>
      </c>
      <c r="D165" t="s">
        <v>511</v>
      </c>
      <c r="E165" t="s">
        <v>514</v>
      </c>
      <c r="F165" t="s">
        <v>513</v>
      </c>
      <c r="G165" t="s">
        <v>516</v>
      </c>
      <c r="K165" t="str">
        <f t="shared" si="17"/>
        <v>RecoveryRate</v>
      </c>
      <c r="L165" t="str">
        <f t="shared" si="18"/>
        <v>ShortInterestRate</v>
      </c>
      <c r="M165" t="str">
        <f t="shared" si="19"/>
        <v>GovernmentSpending</v>
      </c>
      <c r="N165" t="str">
        <f t="shared" si="20"/>
        <v>GDP</v>
      </c>
      <c r="O165" t="str">
        <f t="shared" si="21"/>
        <v>Imports</v>
      </c>
      <c r="P165" t="str">
        <f t="shared" si="22"/>
        <v>HealthExpenditure</v>
      </c>
      <c r="Q165" t="str">
        <f t="shared" si="23"/>
        <v>LifeExpectancy</v>
      </c>
      <c r="R165" t="str">
        <f t="shared" si="24"/>
        <v/>
      </c>
    </row>
    <row r="166" spans="1:19" x14ac:dyDescent="0.25">
      <c r="A166" s="1">
        <v>-0.42461601324349241</v>
      </c>
      <c r="B166" s="1">
        <v>-1.4930636590393109</v>
      </c>
      <c r="C166" s="1">
        <v>-1.4367319369574321</v>
      </c>
      <c r="D166" s="1">
        <v>2.0389309890535592</v>
      </c>
      <c r="E166" s="1">
        <v>2.5777373734875741</v>
      </c>
      <c r="F166" s="1">
        <v>-2.9817457107622021</v>
      </c>
      <c r="G166" s="1">
        <v>-1.856648489250704</v>
      </c>
      <c r="H166" s="1"/>
      <c r="I166" s="1"/>
      <c r="K166" s="1">
        <v>-0.42461601324349241</v>
      </c>
      <c r="L166" s="1">
        <v>-1.4930636590393109</v>
      </c>
      <c r="M166" s="1">
        <v>-1.4367319369574321</v>
      </c>
      <c r="N166" s="1">
        <v>2.0389309890535592</v>
      </c>
      <c r="O166" s="1">
        <v>2.5777373734875741</v>
      </c>
      <c r="P166" s="1">
        <v>-2.9817457107622021</v>
      </c>
      <c r="Q166" s="1">
        <v>-1.856648489250704</v>
      </c>
      <c r="R166" s="1"/>
      <c r="S166" s="1"/>
    </row>
    <row r="167" spans="1:19" x14ac:dyDescent="0.25">
      <c r="A167" t="s">
        <v>521</v>
      </c>
      <c r="B167" t="s">
        <v>522</v>
      </c>
      <c r="C167" t="s">
        <v>520</v>
      </c>
      <c r="D167" t="s">
        <v>519</v>
      </c>
      <c r="E167" t="s">
        <v>512</v>
      </c>
      <c r="F167" t="s">
        <v>511</v>
      </c>
      <c r="G167" t="s">
        <v>513</v>
      </c>
      <c r="K167" t="str">
        <f t="shared" si="17"/>
        <v>RecoveryRate</v>
      </c>
      <c r="L167" t="str">
        <f t="shared" si="18"/>
        <v>ShortInterestRate</v>
      </c>
      <c r="M167" t="str">
        <f t="shared" si="19"/>
        <v>ProductionPrices</v>
      </c>
      <c r="N167" t="str">
        <f t="shared" si="20"/>
        <v>PrivateSpending</v>
      </c>
      <c r="O167" t="str">
        <f t="shared" si="21"/>
        <v>GovernmentSpending</v>
      </c>
      <c r="P167" t="str">
        <f t="shared" si="22"/>
        <v>GDP</v>
      </c>
      <c r="Q167" t="str">
        <f t="shared" si="23"/>
        <v>HealthExpenditure</v>
      </c>
      <c r="R167" t="str">
        <f t="shared" si="24"/>
        <v/>
      </c>
    </row>
    <row r="168" spans="1:19" x14ac:dyDescent="0.25">
      <c r="A168" s="1">
        <v>-0.36905792115927821</v>
      </c>
      <c r="B168" s="1">
        <v>-1.8243432671418871</v>
      </c>
      <c r="C168" s="1">
        <v>0.96974039381912314</v>
      </c>
      <c r="D168" s="1">
        <v>3.5270917424235888</v>
      </c>
      <c r="E168" s="1">
        <v>-2.5080888775867232</v>
      </c>
      <c r="F168" s="1">
        <v>0.8869809184437385</v>
      </c>
      <c r="G168" s="1">
        <v>-1.6459143377110059</v>
      </c>
      <c r="H168" s="1"/>
      <c r="I168" s="1"/>
      <c r="K168" s="1">
        <v>-0.36905792115927821</v>
      </c>
      <c r="L168" s="1">
        <v>-1.8243432671418871</v>
      </c>
      <c r="M168" s="1">
        <v>0.96974039381912314</v>
      </c>
      <c r="N168" s="1">
        <v>3.5270917424235888</v>
      </c>
      <c r="O168" s="1">
        <v>-2.5080888775867232</v>
      </c>
      <c r="P168" s="1">
        <v>0.8869809184437385</v>
      </c>
      <c r="Q168" s="1">
        <v>-1.6459143377110059</v>
      </c>
      <c r="R168" s="1"/>
      <c r="S168" s="1"/>
    </row>
    <row r="169" spans="1:19" x14ac:dyDescent="0.25">
      <c r="A169" t="s">
        <v>521</v>
      </c>
      <c r="B169" t="s">
        <v>508</v>
      </c>
      <c r="C169" t="s">
        <v>517</v>
      </c>
      <c r="D169" t="s">
        <v>515</v>
      </c>
      <c r="E169" t="s">
        <v>511</v>
      </c>
      <c r="F169" t="s">
        <v>509</v>
      </c>
      <c r="G169" t="s">
        <v>514</v>
      </c>
      <c r="H169" t="s">
        <v>510</v>
      </c>
      <c r="K169" t="str">
        <f t="shared" si="17"/>
        <v>RecoveryRate</v>
      </c>
      <c r="L169" t="str">
        <f t="shared" si="18"/>
        <v>EmploymentRate</v>
      </c>
      <c r="M169" t="str">
        <f t="shared" si="19"/>
        <v>LongInterestRate</v>
      </c>
      <c r="N169" t="str">
        <f t="shared" si="20"/>
        <v>Inflation</v>
      </c>
      <c r="O169" t="str">
        <f t="shared" si="21"/>
        <v>GDP</v>
      </c>
      <c r="P169" t="str">
        <f t="shared" si="22"/>
        <v>Exports</v>
      </c>
      <c r="Q169" t="str">
        <f t="shared" si="23"/>
        <v>Imports</v>
      </c>
      <c r="R169" t="str">
        <f t="shared" si="24"/>
        <v>FDI</v>
      </c>
    </row>
    <row r="170" spans="1:19" x14ac:dyDescent="0.25">
      <c r="A170" s="1">
        <v>-0.29018051774785181</v>
      </c>
      <c r="B170" s="1">
        <v>-0.98775579125705493</v>
      </c>
      <c r="C170" s="1">
        <v>-1.3117608546468491</v>
      </c>
      <c r="D170" s="1">
        <v>1.3429726275456839</v>
      </c>
      <c r="E170" s="1">
        <v>1.0878720776016131</v>
      </c>
      <c r="F170" s="1">
        <v>-1.2455286124193621</v>
      </c>
      <c r="G170" s="1">
        <v>0.45126854917551468</v>
      </c>
      <c r="H170" s="1">
        <v>0.69742061884220874</v>
      </c>
      <c r="I170" s="1"/>
      <c r="K170" s="1">
        <v>-0.29018051774785181</v>
      </c>
      <c r="L170" s="1">
        <v>-0.98775579125705493</v>
      </c>
      <c r="M170" s="1">
        <v>-1.3117608546468491</v>
      </c>
      <c r="N170" s="1">
        <v>1.3429726275456839</v>
      </c>
      <c r="O170" s="1">
        <v>1.0878720776016131</v>
      </c>
      <c r="P170" s="1">
        <v>-1.2455286124193621</v>
      </c>
      <c r="Q170" s="1">
        <v>0.45126854917551468</v>
      </c>
      <c r="R170" s="1">
        <v>0.69742061884220874</v>
      </c>
      <c r="S170" s="1"/>
    </row>
    <row r="171" spans="1:19" x14ac:dyDescent="0.25">
      <c r="A171" t="s">
        <v>522</v>
      </c>
      <c r="B171" t="s">
        <v>520</v>
      </c>
      <c r="C171" t="s">
        <v>515</v>
      </c>
      <c r="D171" t="s">
        <v>519</v>
      </c>
      <c r="E171" t="s">
        <v>512</v>
      </c>
      <c r="F171" t="s">
        <v>510</v>
      </c>
      <c r="G171" t="s">
        <v>513</v>
      </c>
      <c r="K171" t="str">
        <f t="shared" si="17"/>
        <v>ShortInterestRate</v>
      </c>
      <c r="L171" t="str">
        <f t="shared" si="18"/>
        <v>ProductionPrices</v>
      </c>
      <c r="M171" t="str">
        <f t="shared" si="19"/>
        <v>Inflation</v>
      </c>
      <c r="N171" t="str">
        <f t="shared" si="20"/>
        <v>PrivateSpending</v>
      </c>
      <c r="O171" t="str">
        <f t="shared" si="21"/>
        <v>GovernmentSpending</v>
      </c>
      <c r="P171" t="str">
        <f t="shared" si="22"/>
        <v>FDI</v>
      </c>
      <c r="Q171" t="str">
        <f t="shared" si="23"/>
        <v>HealthExpenditure</v>
      </c>
      <c r="R171" t="str">
        <f t="shared" si="24"/>
        <v/>
      </c>
    </row>
    <row r="172" spans="1:19" x14ac:dyDescent="0.25">
      <c r="A172" s="1">
        <v>-2.1579334328948119</v>
      </c>
      <c r="B172" s="1">
        <v>2.036903623607992</v>
      </c>
      <c r="C172" s="1">
        <v>-1.0394991208626549</v>
      </c>
      <c r="D172" s="1">
        <v>3.1227211697394068</v>
      </c>
      <c r="E172" s="1">
        <v>-2.587809893826396</v>
      </c>
      <c r="F172" s="1">
        <v>0.74463539930373235</v>
      </c>
      <c r="G172" s="1">
        <v>-1.3343012070466791</v>
      </c>
      <c r="H172" s="1"/>
      <c r="I172" s="1"/>
      <c r="K172" s="1">
        <v>-2.1579334328948119</v>
      </c>
      <c r="L172" s="1">
        <v>2.036903623607992</v>
      </c>
      <c r="M172" s="1">
        <v>-1.0394991208626549</v>
      </c>
      <c r="N172" s="1">
        <v>3.1227211697394068</v>
      </c>
      <c r="O172" s="1">
        <v>-2.587809893826396</v>
      </c>
      <c r="P172" s="1">
        <v>0.74463539930373235</v>
      </c>
      <c r="Q172" s="1">
        <v>-1.3343012070466791</v>
      </c>
      <c r="R172" s="1"/>
      <c r="S172" s="1"/>
    </row>
    <row r="173" spans="1:19" x14ac:dyDescent="0.25">
      <c r="A173" t="s">
        <v>518</v>
      </c>
      <c r="B173" t="s">
        <v>520</v>
      </c>
      <c r="C173" t="s">
        <v>515</v>
      </c>
      <c r="D173" t="s">
        <v>519</v>
      </c>
      <c r="E173" t="s">
        <v>511</v>
      </c>
      <c r="F173" t="s">
        <v>514</v>
      </c>
      <c r="G173" t="s">
        <v>510</v>
      </c>
      <c r="K173" t="str">
        <f t="shared" si="17"/>
        <v>PandemicGrowth</v>
      </c>
      <c r="L173" t="str">
        <f t="shared" si="18"/>
        <v>ProductionPrices</v>
      </c>
      <c r="M173" t="str">
        <f t="shared" si="19"/>
        <v>Inflation</v>
      </c>
      <c r="N173" t="str">
        <f t="shared" si="20"/>
        <v>PrivateSpending</v>
      </c>
      <c r="O173" t="str">
        <f t="shared" si="21"/>
        <v>GDP</v>
      </c>
      <c r="P173" t="str">
        <f t="shared" si="22"/>
        <v>Imports</v>
      </c>
      <c r="Q173" t="str">
        <f t="shared" si="23"/>
        <v>FDI</v>
      </c>
      <c r="R173" t="str">
        <f t="shared" si="24"/>
        <v/>
      </c>
    </row>
    <row r="174" spans="1:19" x14ac:dyDescent="0.25">
      <c r="A174" s="1">
        <v>-0.35411937455045239</v>
      </c>
      <c r="B174" s="1">
        <v>-2.566548336257032</v>
      </c>
      <c r="C174" s="1">
        <v>3.5200304194460852</v>
      </c>
      <c r="D174" s="1">
        <v>3.3493630876447398</v>
      </c>
      <c r="E174" s="1">
        <v>2.5060430121030008</v>
      </c>
      <c r="F174" s="1">
        <v>-2.0765820205605712</v>
      </c>
      <c r="G174" s="1">
        <v>-2.229852260695095</v>
      </c>
      <c r="H174" s="1"/>
      <c r="I174" s="1"/>
      <c r="K174" s="1">
        <v>-0.35411937455045239</v>
      </c>
      <c r="L174" s="1">
        <v>-2.566548336257032</v>
      </c>
      <c r="M174" s="1">
        <v>3.5200304194460852</v>
      </c>
      <c r="N174" s="1">
        <v>3.3493630876447398</v>
      </c>
      <c r="O174" s="1">
        <v>2.5060430121030008</v>
      </c>
      <c r="P174" s="1">
        <v>-2.0765820205605712</v>
      </c>
      <c r="Q174" s="1">
        <v>-2.229852260695095</v>
      </c>
      <c r="R174" s="1"/>
      <c r="S174" s="1"/>
    </row>
    <row r="175" spans="1:19" x14ac:dyDescent="0.25">
      <c r="A175" t="s">
        <v>522</v>
      </c>
      <c r="B175" t="s">
        <v>520</v>
      </c>
      <c r="C175" t="s">
        <v>519</v>
      </c>
      <c r="D175" t="s">
        <v>511</v>
      </c>
      <c r="E175" t="s">
        <v>509</v>
      </c>
      <c r="F175" t="s">
        <v>510</v>
      </c>
      <c r="G175" t="s">
        <v>513</v>
      </c>
      <c r="K175" t="str">
        <f t="shared" si="17"/>
        <v>ShortInterestRate</v>
      </c>
      <c r="L175" t="str">
        <f t="shared" si="18"/>
        <v>ProductionPrices</v>
      </c>
      <c r="M175" t="str">
        <f t="shared" si="19"/>
        <v>PrivateSpending</v>
      </c>
      <c r="N175" t="str">
        <f t="shared" si="20"/>
        <v>GDP</v>
      </c>
      <c r="O175" t="str">
        <f t="shared" si="21"/>
        <v>Exports</v>
      </c>
      <c r="P175" t="str">
        <f t="shared" si="22"/>
        <v>FDI</v>
      </c>
      <c r="Q175" t="str">
        <f t="shared" si="23"/>
        <v>HealthExpenditure</v>
      </c>
      <c r="R175" t="str">
        <f t="shared" si="24"/>
        <v/>
      </c>
    </row>
    <row r="176" spans="1:19" x14ac:dyDescent="0.25">
      <c r="A176" s="1">
        <v>-1.4636638165552951</v>
      </c>
      <c r="B176" s="1">
        <v>1.240367924162723</v>
      </c>
      <c r="C176" s="1">
        <v>0.56943746562461117</v>
      </c>
      <c r="D176" s="1">
        <v>1.0370575775122779</v>
      </c>
      <c r="E176" s="1">
        <v>2.3705731887112069</v>
      </c>
      <c r="F176" s="1">
        <v>-0.80560401933906567</v>
      </c>
      <c r="G176" s="1">
        <v>-2.483819302921678</v>
      </c>
      <c r="H176" s="1"/>
      <c r="I176" s="1"/>
      <c r="K176" s="1">
        <v>-1.4636638165552951</v>
      </c>
      <c r="L176" s="1">
        <v>1.240367924162723</v>
      </c>
      <c r="M176" s="1">
        <v>0.56943746562461117</v>
      </c>
      <c r="N176" s="1">
        <v>1.0370575775122779</v>
      </c>
      <c r="O176" s="1">
        <v>2.3705731887112069</v>
      </c>
      <c r="P176" s="1">
        <v>-0.80560401933906567</v>
      </c>
      <c r="Q176" s="1">
        <v>-2.483819302921678</v>
      </c>
      <c r="R176" s="1"/>
      <c r="S176" s="1"/>
    </row>
    <row r="177" spans="1:19" x14ac:dyDescent="0.25">
      <c r="A177" t="s">
        <v>508</v>
      </c>
      <c r="B177" t="s">
        <v>517</v>
      </c>
      <c r="C177" t="s">
        <v>520</v>
      </c>
      <c r="D177" t="s">
        <v>511</v>
      </c>
      <c r="E177" t="s">
        <v>509</v>
      </c>
      <c r="F177" t="s">
        <v>510</v>
      </c>
      <c r="K177" t="str">
        <f t="shared" si="17"/>
        <v>EmploymentRate</v>
      </c>
      <c r="L177" t="str">
        <f t="shared" si="18"/>
        <v>LongInterestRate</v>
      </c>
      <c r="M177" t="str">
        <f t="shared" si="19"/>
        <v>ProductionPrices</v>
      </c>
      <c r="N177" t="str">
        <f t="shared" si="20"/>
        <v>GDP</v>
      </c>
      <c r="O177" t="str">
        <f t="shared" si="21"/>
        <v>Exports</v>
      </c>
      <c r="P177" t="str">
        <f t="shared" si="22"/>
        <v>FDI</v>
      </c>
      <c r="Q177" t="str">
        <f t="shared" si="23"/>
        <v/>
      </c>
      <c r="R177" t="str">
        <f t="shared" si="24"/>
        <v/>
      </c>
    </row>
    <row r="178" spans="1:19" x14ac:dyDescent="0.25">
      <c r="A178" s="1">
        <v>-0.84155727388848134</v>
      </c>
      <c r="B178" s="1">
        <v>-1.323994948879949</v>
      </c>
      <c r="C178" s="1">
        <v>1.116578150372372</v>
      </c>
      <c r="D178" s="1">
        <v>0.41363275379395292</v>
      </c>
      <c r="E178" s="1">
        <v>-0.46997538912630182</v>
      </c>
      <c r="F178" s="1">
        <v>0.83723372929280637</v>
      </c>
      <c r="G178" s="1"/>
      <c r="H178" s="1"/>
      <c r="I178" s="1"/>
      <c r="K178" s="1">
        <v>-0.84155727388848134</v>
      </c>
      <c r="L178" s="1">
        <v>-1.323994948879949</v>
      </c>
      <c r="M178" s="1">
        <v>1.116578150372372</v>
      </c>
      <c r="N178" s="1">
        <v>0.41363275379395292</v>
      </c>
      <c r="O178" s="1">
        <v>-0.46997538912630182</v>
      </c>
      <c r="P178" s="1">
        <v>0.83723372929280637</v>
      </c>
      <c r="Q178" s="1"/>
      <c r="R178" s="1"/>
      <c r="S178" s="1"/>
    </row>
    <row r="179" spans="1:19" x14ac:dyDescent="0.25">
      <c r="A179" t="s">
        <v>520</v>
      </c>
      <c r="B179" t="s">
        <v>512</v>
      </c>
      <c r="C179" t="s">
        <v>511</v>
      </c>
      <c r="D179" t="s">
        <v>509</v>
      </c>
      <c r="E179" t="s">
        <v>514</v>
      </c>
      <c r="F179" t="s">
        <v>510</v>
      </c>
      <c r="K179" t="str">
        <f t="shared" si="17"/>
        <v>ProductionPrices</v>
      </c>
      <c r="L179" t="str">
        <f t="shared" si="18"/>
        <v>GovernmentSpending</v>
      </c>
      <c r="M179" t="str">
        <f t="shared" si="19"/>
        <v>GDP</v>
      </c>
      <c r="N179" t="str">
        <f t="shared" si="20"/>
        <v>Exports</v>
      </c>
      <c r="O179" t="str">
        <f t="shared" si="21"/>
        <v>Imports</v>
      </c>
      <c r="P179" t="str">
        <f t="shared" si="22"/>
        <v>FDI</v>
      </c>
      <c r="Q179" t="str">
        <f t="shared" si="23"/>
        <v/>
      </c>
      <c r="R179" t="str">
        <f t="shared" si="24"/>
        <v/>
      </c>
    </row>
    <row r="180" spans="1:19" x14ac:dyDescent="0.25">
      <c r="A180" s="1">
        <v>0.81170314477862626</v>
      </c>
      <c r="B180" s="1">
        <v>2.1502914008274101</v>
      </c>
      <c r="C180" s="1">
        <v>0.67197070236373047</v>
      </c>
      <c r="D180" s="1">
        <v>2.8507204443726262</v>
      </c>
      <c r="E180" s="1">
        <v>-2.265138693038558</v>
      </c>
      <c r="F180" s="1">
        <v>-2.0949185545414521</v>
      </c>
      <c r="G180" s="1"/>
      <c r="H180" s="1"/>
      <c r="I180" s="1"/>
      <c r="K180" s="1">
        <v>0.81170314477862626</v>
      </c>
      <c r="L180" s="1">
        <v>2.1502914008274101</v>
      </c>
      <c r="M180" s="1">
        <v>0.67197070236373047</v>
      </c>
      <c r="N180" s="1">
        <v>2.8507204443726262</v>
      </c>
      <c r="O180" s="1">
        <v>-2.265138693038558</v>
      </c>
      <c r="P180" s="1">
        <v>-2.0949185545414521</v>
      </c>
      <c r="Q180" s="1"/>
      <c r="R180" s="1"/>
      <c r="S180" s="1"/>
    </row>
    <row r="181" spans="1:19" x14ac:dyDescent="0.25">
      <c r="A181" t="s">
        <v>518</v>
      </c>
      <c r="B181" t="s">
        <v>517</v>
      </c>
      <c r="C181" t="s">
        <v>519</v>
      </c>
      <c r="D181" t="s">
        <v>511</v>
      </c>
      <c r="E181" t="s">
        <v>514</v>
      </c>
      <c r="F181" t="s">
        <v>510</v>
      </c>
      <c r="G181" t="s">
        <v>516</v>
      </c>
      <c r="K181" t="str">
        <f t="shared" si="17"/>
        <v>PandemicGrowth</v>
      </c>
      <c r="L181" t="str">
        <f t="shared" si="18"/>
        <v>LongInterestRate</v>
      </c>
      <c r="M181" t="str">
        <f t="shared" si="19"/>
        <v>PrivateSpending</v>
      </c>
      <c r="N181" t="str">
        <f t="shared" si="20"/>
        <v>GDP</v>
      </c>
      <c r="O181" t="str">
        <f t="shared" si="21"/>
        <v>Imports</v>
      </c>
      <c r="P181" t="str">
        <f t="shared" si="22"/>
        <v>FDI</v>
      </c>
      <c r="Q181" t="str">
        <f t="shared" si="23"/>
        <v>LifeExpectancy</v>
      </c>
      <c r="R181" t="str">
        <f t="shared" si="24"/>
        <v/>
      </c>
    </row>
    <row r="182" spans="1:19" x14ac:dyDescent="0.25">
      <c r="A182" s="1">
        <v>-0.21846709896690511</v>
      </c>
      <c r="B182" s="1">
        <v>-0.55352382402112255</v>
      </c>
      <c r="C182" s="1">
        <v>2.875132517818678</v>
      </c>
      <c r="D182" s="1">
        <v>2.0746472446654929</v>
      </c>
      <c r="E182" s="1">
        <v>-1.916390778113066</v>
      </c>
      <c r="F182" s="1">
        <v>-2.0724133176784858</v>
      </c>
      <c r="G182" s="1">
        <v>-1.6636720351787311</v>
      </c>
      <c r="H182" s="1"/>
      <c r="I182" s="1"/>
      <c r="K182" s="1">
        <v>-0.21846709896690511</v>
      </c>
      <c r="L182" s="1">
        <v>-0.55352382402112255</v>
      </c>
      <c r="M182" s="1">
        <v>2.875132517818678</v>
      </c>
      <c r="N182" s="1">
        <v>2.0746472446654929</v>
      </c>
      <c r="O182" s="1">
        <v>-1.916390778113066</v>
      </c>
      <c r="P182" s="1">
        <v>-2.0724133176784858</v>
      </c>
      <c r="Q182" s="1">
        <v>-1.6636720351787311</v>
      </c>
      <c r="R182" s="1"/>
      <c r="S182" s="1"/>
    </row>
    <row r="183" spans="1:19" x14ac:dyDescent="0.25">
      <c r="A183" t="s">
        <v>508</v>
      </c>
      <c r="B183" t="s">
        <v>520</v>
      </c>
      <c r="C183" t="s">
        <v>519</v>
      </c>
      <c r="D183" t="s">
        <v>512</v>
      </c>
      <c r="E183" t="s">
        <v>511</v>
      </c>
      <c r="F183" t="s">
        <v>509</v>
      </c>
      <c r="K183" t="str">
        <f t="shared" si="17"/>
        <v>EmploymentRate</v>
      </c>
      <c r="L183" t="str">
        <f t="shared" si="18"/>
        <v>ProductionPrices</v>
      </c>
      <c r="M183" t="str">
        <f t="shared" si="19"/>
        <v>PrivateSpending</v>
      </c>
      <c r="N183" t="str">
        <f t="shared" si="20"/>
        <v>GovernmentSpending</v>
      </c>
      <c r="O183" t="str">
        <f t="shared" si="21"/>
        <v>GDP</v>
      </c>
      <c r="P183" t="str">
        <f t="shared" si="22"/>
        <v>Exports</v>
      </c>
      <c r="Q183" t="str">
        <f t="shared" si="23"/>
        <v/>
      </c>
      <c r="R183" t="str">
        <f t="shared" si="24"/>
        <v/>
      </c>
    </row>
    <row r="184" spans="1:19" x14ac:dyDescent="0.25">
      <c r="A184" s="1">
        <v>-1.206060609499769</v>
      </c>
      <c r="B184" s="1">
        <v>0.92880420874570546</v>
      </c>
      <c r="C184" s="1">
        <v>-4.3820417974802357</v>
      </c>
      <c r="D184" s="1">
        <v>3.7760389527069149</v>
      </c>
      <c r="E184" s="1">
        <v>0.81427723044613598</v>
      </c>
      <c r="F184" s="1">
        <v>1.471637494261169</v>
      </c>
      <c r="G184" s="1"/>
      <c r="H184" s="1"/>
      <c r="I184" s="1"/>
      <c r="K184" s="1">
        <v>-1.206060609499769</v>
      </c>
      <c r="L184" s="1">
        <v>0.92880420874570546</v>
      </c>
      <c r="M184" s="1">
        <v>-4.3820417974802357</v>
      </c>
      <c r="N184" s="1">
        <v>3.7760389527069149</v>
      </c>
      <c r="O184" s="1">
        <v>0.81427723044613598</v>
      </c>
      <c r="P184" s="1">
        <v>1.471637494261169</v>
      </c>
      <c r="Q184" s="1"/>
      <c r="R184" s="1"/>
      <c r="S184" s="1"/>
    </row>
    <row r="185" spans="1:19" x14ac:dyDescent="0.25">
      <c r="A185" t="s">
        <v>522</v>
      </c>
      <c r="B185" t="s">
        <v>515</v>
      </c>
      <c r="C185" t="s">
        <v>511</v>
      </c>
      <c r="D185" t="s">
        <v>509</v>
      </c>
      <c r="E185" t="s">
        <v>514</v>
      </c>
      <c r="F185" t="s">
        <v>510</v>
      </c>
      <c r="G185" t="s">
        <v>513</v>
      </c>
      <c r="K185" t="str">
        <f t="shared" si="17"/>
        <v>ShortInterestRate</v>
      </c>
      <c r="L185" t="str">
        <f t="shared" si="18"/>
        <v>Inflation</v>
      </c>
      <c r="M185" t="str">
        <f t="shared" si="19"/>
        <v>GDP</v>
      </c>
      <c r="N185" t="str">
        <f t="shared" si="20"/>
        <v>Exports</v>
      </c>
      <c r="O185" t="str">
        <f t="shared" si="21"/>
        <v>Imports</v>
      </c>
      <c r="P185" t="str">
        <f t="shared" si="22"/>
        <v>FDI</v>
      </c>
      <c r="Q185" t="str">
        <f t="shared" si="23"/>
        <v>HealthExpenditure</v>
      </c>
      <c r="R185" t="str">
        <f t="shared" si="24"/>
        <v/>
      </c>
    </row>
    <row r="186" spans="1:19" x14ac:dyDescent="0.25">
      <c r="A186" s="1">
        <v>-1.302099364708758</v>
      </c>
      <c r="B186" s="1">
        <v>1.321370033003173</v>
      </c>
      <c r="C186" s="1">
        <v>1.673105812877369</v>
      </c>
      <c r="D186" s="1">
        <v>2.183603499883803</v>
      </c>
      <c r="E186" s="1">
        <v>0.86876845738674346</v>
      </c>
      <c r="F186" s="1">
        <v>-0.84609035318214598</v>
      </c>
      <c r="G186" s="1">
        <v>-3.0507237884645639</v>
      </c>
      <c r="H186" s="1"/>
      <c r="I186" s="1"/>
      <c r="K186" s="1">
        <v>-1.302099364708758</v>
      </c>
      <c r="L186" s="1">
        <v>1.321370033003173</v>
      </c>
      <c r="M186" s="1">
        <v>1.673105812877369</v>
      </c>
      <c r="N186" s="1">
        <v>2.183603499883803</v>
      </c>
      <c r="O186" s="1">
        <v>0.86876845738674346</v>
      </c>
      <c r="P186" s="1">
        <v>-0.84609035318214598</v>
      </c>
      <c r="Q186" s="1">
        <v>-3.0507237884645639</v>
      </c>
      <c r="R186" s="1"/>
      <c r="S186" s="1"/>
    </row>
    <row r="187" spans="1:19" x14ac:dyDescent="0.25">
      <c r="A187" t="s">
        <v>517</v>
      </c>
      <c r="B187" t="s">
        <v>520</v>
      </c>
      <c r="C187" t="s">
        <v>511</v>
      </c>
      <c r="D187" t="s">
        <v>509</v>
      </c>
      <c r="E187" t="s">
        <v>513</v>
      </c>
      <c r="K187" t="str">
        <f t="shared" si="17"/>
        <v>LongInterestRate</v>
      </c>
      <c r="L187" t="str">
        <f t="shared" si="18"/>
        <v>ProductionPrices</v>
      </c>
      <c r="M187" t="str">
        <f t="shared" si="19"/>
        <v>GDP</v>
      </c>
      <c r="N187" t="str">
        <f t="shared" si="20"/>
        <v>Exports</v>
      </c>
      <c r="O187" t="str">
        <f t="shared" si="21"/>
        <v>HealthExpenditure</v>
      </c>
      <c r="P187" t="str">
        <f t="shared" si="22"/>
        <v/>
      </c>
      <c r="Q187" t="str">
        <f t="shared" si="23"/>
        <v/>
      </c>
      <c r="R187" t="str">
        <f t="shared" si="24"/>
        <v/>
      </c>
    </row>
    <row r="188" spans="1:19" x14ac:dyDescent="0.25">
      <c r="A188" s="1">
        <v>-1.3718464661703731</v>
      </c>
      <c r="B188" s="1">
        <v>1.154909129616156</v>
      </c>
      <c r="C188" s="1">
        <v>0.65654487742231216</v>
      </c>
      <c r="D188" s="1">
        <v>2.0883794437564629</v>
      </c>
      <c r="E188" s="1">
        <v>-2.134654388387986</v>
      </c>
      <c r="F188" s="1"/>
      <c r="G188" s="1"/>
      <c r="H188" s="1"/>
      <c r="I188" s="1"/>
      <c r="K188" s="1">
        <v>-1.3718464661703731</v>
      </c>
      <c r="L188" s="1">
        <v>1.154909129616156</v>
      </c>
      <c r="M188" s="1">
        <v>0.65654487742231216</v>
      </c>
      <c r="N188" s="1">
        <v>2.0883794437564629</v>
      </c>
      <c r="O188" s="1">
        <v>-2.134654388387986</v>
      </c>
      <c r="P188" s="1"/>
      <c r="Q188" s="1"/>
      <c r="R188" s="1"/>
      <c r="S188" s="1"/>
    </row>
    <row r="189" spans="1:19" x14ac:dyDescent="0.25">
      <c r="A189" t="s">
        <v>517</v>
      </c>
      <c r="B189" t="s">
        <v>519</v>
      </c>
      <c r="C189" t="s">
        <v>511</v>
      </c>
      <c r="D189" t="s">
        <v>514</v>
      </c>
      <c r="E189" t="s">
        <v>510</v>
      </c>
      <c r="F189" t="s">
        <v>513</v>
      </c>
      <c r="K189" t="str">
        <f t="shared" si="17"/>
        <v>LongInterestRate</v>
      </c>
      <c r="L189" t="str">
        <f t="shared" si="18"/>
        <v>PrivateSpending</v>
      </c>
      <c r="M189" t="str">
        <f t="shared" si="19"/>
        <v>GDP</v>
      </c>
      <c r="N189" t="str">
        <f t="shared" si="20"/>
        <v>Imports</v>
      </c>
      <c r="O189" t="str">
        <f t="shared" si="21"/>
        <v>FDI</v>
      </c>
      <c r="P189" t="str">
        <f t="shared" si="22"/>
        <v>HealthExpenditure</v>
      </c>
      <c r="Q189" t="str">
        <f t="shared" si="23"/>
        <v/>
      </c>
      <c r="R189" t="str">
        <f t="shared" si="24"/>
        <v/>
      </c>
    </row>
    <row r="190" spans="1:19" x14ac:dyDescent="0.25">
      <c r="A190" s="1">
        <v>0.68219792658801559</v>
      </c>
      <c r="B190" s="1">
        <v>5.4205504388920778</v>
      </c>
      <c r="C190" s="1">
        <v>0.69520931682527043</v>
      </c>
      <c r="D190" s="1">
        <v>-5.2540902808404972</v>
      </c>
      <c r="E190" s="1">
        <v>-2.1814224288676329</v>
      </c>
      <c r="F190" s="1">
        <v>2.7151484083429129</v>
      </c>
      <c r="G190" s="1"/>
      <c r="H190" s="1"/>
      <c r="I190" s="1"/>
      <c r="K190" s="1">
        <v>0.68219792658801559</v>
      </c>
      <c r="L190" s="1">
        <v>5.4205504388920778</v>
      </c>
      <c r="M190" s="1">
        <v>0.69520931682527043</v>
      </c>
      <c r="N190" s="1">
        <v>-5.2540902808404972</v>
      </c>
      <c r="O190" s="1">
        <v>-2.1814224288676329</v>
      </c>
      <c r="P190" s="1">
        <v>2.7151484083429129</v>
      </c>
      <c r="Q190" s="1"/>
      <c r="R190" s="1"/>
      <c r="S190" s="1"/>
    </row>
    <row r="191" spans="1:19" x14ac:dyDescent="0.25">
      <c r="A191" t="s">
        <v>518</v>
      </c>
      <c r="B191" t="s">
        <v>508</v>
      </c>
      <c r="C191" t="s">
        <v>520</v>
      </c>
      <c r="D191" t="s">
        <v>515</v>
      </c>
      <c r="E191" t="s">
        <v>512</v>
      </c>
      <c r="F191" t="s">
        <v>511</v>
      </c>
      <c r="G191" t="s">
        <v>510</v>
      </c>
      <c r="H191" t="s">
        <v>513</v>
      </c>
      <c r="K191" t="str">
        <f t="shared" si="17"/>
        <v>PandemicGrowth</v>
      </c>
      <c r="L191" t="str">
        <f t="shared" si="18"/>
        <v>EmploymentRate</v>
      </c>
      <c r="M191" t="str">
        <f t="shared" si="19"/>
        <v>ProductionPrices</v>
      </c>
      <c r="N191" t="str">
        <f t="shared" si="20"/>
        <v>Inflation</v>
      </c>
      <c r="O191" t="str">
        <f t="shared" si="21"/>
        <v>GovernmentSpending</v>
      </c>
      <c r="P191" t="str">
        <f t="shared" si="22"/>
        <v>GDP</v>
      </c>
      <c r="Q191" t="str">
        <f t="shared" si="23"/>
        <v>FDI</v>
      </c>
      <c r="R191" t="str">
        <f t="shared" si="24"/>
        <v>HealthExpenditure</v>
      </c>
    </row>
    <row r="192" spans="1:19" x14ac:dyDescent="0.25">
      <c r="A192" s="1">
        <v>-0.34728058023226732</v>
      </c>
      <c r="B192" s="1">
        <v>-0.45102966091577251</v>
      </c>
      <c r="C192" s="1">
        <v>-3.0317311904490478</v>
      </c>
      <c r="D192" s="1">
        <v>4.2131709565250031</v>
      </c>
      <c r="E192" s="1">
        <v>1.1117872621937059</v>
      </c>
      <c r="F192" s="1">
        <v>2.7033798393636741</v>
      </c>
      <c r="G192" s="1">
        <v>-1.3905662846404701</v>
      </c>
      <c r="H192" s="1">
        <v>-0.70456406784123515</v>
      </c>
      <c r="I192" s="1"/>
      <c r="K192" s="1">
        <v>-0.34728058023226732</v>
      </c>
      <c r="L192" s="1">
        <v>-0.45102966091577251</v>
      </c>
      <c r="M192" s="1">
        <v>-3.0317311904490478</v>
      </c>
      <c r="N192" s="1">
        <v>4.2131709565250031</v>
      </c>
      <c r="O192" s="1">
        <v>1.1117872621937059</v>
      </c>
      <c r="P192" s="1">
        <v>2.7033798393636741</v>
      </c>
      <c r="Q192" s="1">
        <v>-1.3905662846404701</v>
      </c>
      <c r="R192" s="1">
        <v>-0.70456406784123515</v>
      </c>
      <c r="S192" s="1"/>
    </row>
    <row r="193" spans="1:19" x14ac:dyDescent="0.25">
      <c r="A193" t="s">
        <v>508</v>
      </c>
      <c r="B193" t="s">
        <v>520</v>
      </c>
      <c r="C193" t="s">
        <v>519</v>
      </c>
      <c r="D193" t="s">
        <v>512</v>
      </c>
      <c r="E193" t="s">
        <v>514</v>
      </c>
      <c r="F193" t="s">
        <v>510</v>
      </c>
      <c r="K193" t="str">
        <f t="shared" si="17"/>
        <v>EmploymentRate</v>
      </c>
      <c r="L193" t="str">
        <f t="shared" si="18"/>
        <v>ProductionPrices</v>
      </c>
      <c r="M193" t="str">
        <f t="shared" si="19"/>
        <v>PrivateSpending</v>
      </c>
      <c r="N193" t="str">
        <f t="shared" si="20"/>
        <v>GovernmentSpending</v>
      </c>
      <c r="O193" t="str">
        <f t="shared" si="21"/>
        <v>Imports</v>
      </c>
      <c r="P193" t="str">
        <f t="shared" si="22"/>
        <v>FDI</v>
      </c>
      <c r="Q193" t="str">
        <f t="shared" si="23"/>
        <v/>
      </c>
      <c r="R193" t="str">
        <f t="shared" si="24"/>
        <v/>
      </c>
    </row>
    <row r="194" spans="1:19" x14ac:dyDescent="0.25">
      <c r="A194" s="1">
        <v>-3.446168606598135</v>
      </c>
      <c r="B194" s="1">
        <v>1.37352250531691</v>
      </c>
      <c r="C194" s="1">
        <v>-16.38986519013347</v>
      </c>
      <c r="D194" s="1">
        <v>8.0323881681884686</v>
      </c>
      <c r="E194" s="1">
        <v>6.2043676731075124</v>
      </c>
      <c r="F194" s="1">
        <v>4.2867321612888798</v>
      </c>
      <c r="G194" s="1"/>
      <c r="H194" s="1"/>
      <c r="I194" s="1"/>
      <c r="K194" s="1">
        <v>-3.446168606598135</v>
      </c>
      <c r="L194" s="1">
        <v>1.37352250531691</v>
      </c>
      <c r="M194" s="1">
        <v>-16.38986519013347</v>
      </c>
      <c r="N194" s="1">
        <v>8.0323881681884686</v>
      </c>
      <c r="O194" s="1">
        <v>6.2043676731075124</v>
      </c>
      <c r="P194" s="1">
        <v>4.2867321612888798</v>
      </c>
      <c r="Q194" s="1"/>
      <c r="R194" s="1"/>
      <c r="S194" s="1"/>
    </row>
    <row r="195" spans="1:19" x14ac:dyDescent="0.25">
      <c r="A195" t="s">
        <v>521</v>
      </c>
      <c r="B195" t="s">
        <v>522</v>
      </c>
      <c r="C195" t="s">
        <v>519</v>
      </c>
      <c r="D195" t="s">
        <v>511</v>
      </c>
      <c r="E195" t="s">
        <v>509</v>
      </c>
      <c r="F195" t="s">
        <v>514</v>
      </c>
      <c r="G195" t="s">
        <v>513</v>
      </c>
      <c r="H195" t="s">
        <v>516</v>
      </c>
      <c r="K195" t="str">
        <f t="shared" ref="K195:K255" si="25">IF(A195&gt;0,$J$1&amp;A195&amp;$J$1,"")</f>
        <v>RecoveryRate</v>
      </c>
      <c r="L195" t="str">
        <f t="shared" ref="L195:L255" si="26">IF(B195&gt;0,$J$1&amp;B195&amp;$J$1,"")</f>
        <v>ShortInterestRate</v>
      </c>
      <c r="M195" t="str">
        <f t="shared" ref="M195:M255" si="27">IF(C195&gt;0,$J$1&amp;C195&amp;$J$1,"")</f>
        <v>PrivateSpending</v>
      </c>
      <c r="N195" t="str">
        <f t="shared" ref="N195:N255" si="28">IF(D195&gt;0,$J$1&amp;D195&amp;$J$1,"")</f>
        <v>GDP</v>
      </c>
      <c r="O195" t="str">
        <f t="shared" ref="O195:O255" si="29">IF(E195&gt;0,$J$1&amp;E195&amp;$J$1,"")</f>
        <v>Exports</v>
      </c>
      <c r="P195" t="str">
        <f t="shared" ref="P195:P255" si="30">IF(F195&gt;0,$J$1&amp;F195&amp;$J$1,"")</f>
        <v>Imports</v>
      </c>
      <c r="Q195" t="str">
        <f t="shared" ref="Q195:Q255" si="31">IF(G195&gt;0,$J$1&amp;G195&amp;$J$1,"")</f>
        <v>HealthExpenditure</v>
      </c>
      <c r="R195" t="str">
        <f t="shared" ref="R195:R255" si="32">IF(H195&gt;0,$J$1&amp;H195&amp;$J$1,"")</f>
        <v>LifeExpectancy</v>
      </c>
    </row>
    <row r="196" spans="1:19" x14ac:dyDescent="0.25">
      <c r="A196" s="1">
        <v>-0.35478541263240132</v>
      </c>
      <c r="B196" s="1">
        <v>-1.961437802447479</v>
      </c>
      <c r="C196" s="1">
        <v>-4.5412595972753049</v>
      </c>
      <c r="D196" s="1">
        <v>2.9682907573908879</v>
      </c>
      <c r="E196" s="1">
        <v>1.492485963437592</v>
      </c>
      <c r="F196" s="1">
        <v>5.9597465098419313</v>
      </c>
      <c r="G196" s="1">
        <v>-5.7829556296621742</v>
      </c>
      <c r="H196" s="1">
        <v>-2.9607066014470762</v>
      </c>
      <c r="I196" s="1"/>
      <c r="K196" s="1">
        <v>-0.35478541263240132</v>
      </c>
      <c r="L196" s="1">
        <v>-1.961437802447479</v>
      </c>
      <c r="M196" s="1">
        <v>-4.5412595972753049</v>
      </c>
      <c r="N196" s="1">
        <v>2.9682907573908879</v>
      </c>
      <c r="O196" s="1">
        <v>1.492485963437592</v>
      </c>
      <c r="P196" s="1">
        <v>5.9597465098419313</v>
      </c>
      <c r="Q196" s="1">
        <v>-5.7829556296621742</v>
      </c>
      <c r="R196" s="1">
        <v>-2.9607066014470762</v>
      </c>
      <c r="S196" s="1"/>
    </row>
    <row r="197" spans="1:19" x14ac:dyDescent="0.25">
      <c r="A197" t="s">
        <v>517</v>
      </c>
      <c r="B197" t="s">
        <v>520</v>
      </c>
      <c r="C197" t="s">
        <v>519</v>
      </c>
      <c r="D197" t="s">
        <v>511</v>
      </c>
      <c r="E197" t="s">
        <v>509</v>
      </c>
      <c r="F197" t="s">
        <v>514</v>
      </c>
      <c r="G197" t="s">
        <v>510</v>
      </c>
      <c r="K197" t="str">
        <f t="shared" si="25"/>
        <v>LongInterestRate</v>
      </c>
      <c r="L197" t="str">
        <f t="shared" si="26"/>
        <v>ProductionPrices</v>
      </c>
      <c r="M197" t="str">
        <f t="shared" si="27"/>
        <v>PrivateSpending</v>
      </c>
      <c r="N197" t="str">
        <f t="shared" si="28"/>
        <v>GDP</v>
      </c>
      <c r="O197" t="str">
        <f t="shared" si="29"/>
        <v>Exports</v>
      </c>
      <c r="P197" t="str">
        <f t="shared" si="30"/>
        <v>Imports</v>
      </c>
      <c r="Q197" t="str">
        <f t="shared" si="31"/>
        <v>FDI</v>
      </c>
      <c r="R197" t="str">
        <f t="shared" si="32"/>
        <v/>
      </c>
    </row>
    <row r="198" spans="1:19" x14ac:dyDescent="0.25">
      <c r="A198" s="1">
        <v>-0.96903017080281861</v>
      </c>
      <c r="B198" s="1">
        <v>1.0860179320829639</v>
      </c>
      <c r="C198" s="1">
        <v>3.603738255866392</v>
      </c>
      <c r="D198" s="1">
        <v>0.98571906738449655</v>
      </c>
      <c r="E198" s="1">
        <v>1.286220476837111</v>
      </c>
      <c r="F198" s="1">
        <v>-3.0739901205946292</v>
      </c>
      <c r="G198" s="1">
        <v>-1.7925614148491971</v>
      </c>
      <c r="H198" s="1"/>
      <c r="I198" s="1"/>
      <c r="K198" s="1">
        <v>-0.96903017080281861</v>
      </c>
      <c r="L198" s="1">
        <v>1.0860179320829639</v>
      </c>
      <c r="M198" s="1">
        <v>3.603738255866392</v>
      </c>
      <c r="N198" s="1">
        <v>0.98571906738449655</v>
      </c>
      <c r="O198" s="1">
        <v>1.286220476837111</v>
      </c>
      <c r="P198" s="1">
        <v>-3.0739901205946292</v>
      </c>
      <c r="Q198" s="1">
        <v>-1.7925614148491971</v>
      </c>
      <c r="R198" s="1"/>
      <c r="S198" s="1"/>
    </row>
    <row r="199" spans="1:19" x14ac:dyDescent="0.25">
      <c r="A199" t="s">
        <v>517</v>
      </c>
      <c r="B199" t="s">
        <v>515</v>
      </c>
      <c r="C199" t="s">
        <v>511</v>
      </c>
      <c r="D199" t="s">
        <v>509</v>
      </c>
      <c r="E199" t="s">
        <v>514</v>
      </c>
      <c r="F199" t="s">
        <v>510</v>
      </c>
      <c r="G199" t="s">
        <v>513</v>
      </c>
      <c r="K199" t="str">
        <f t="shared" si="25"/>
        <v>LongInterestRate</v>
      </c>
      <c r="L199" t="str">
        <f t="shared" si="26"/>
        <v>Inflation</v>
      </c>
      <c r="M199" t="str">
        <f t="shared" si="27"/>
        <v>GDP</v>
      </c>
      <c r="N199" t="str">
        <f t="shared" si="28"/>
        <v>Exports</v>
      </c>
      <c r="O199" t="str">
        <f t="shared" si="29"/>
        <v>Imports</v>
      </c>
      <c r="P199" t="str">
        <f t="shared" si="30"/>
        <v>FDI</v>
      </c>
      <c r="Q199" t="str">
        <f t="shared" si="31"/>
        <v>HealthExpenditure</v>
      </c>
      <c r="R199" t="str">
        <f t="shared" si="32"/>
        <v/>
      </c>
    </row>
    <row r="200" spans="1:19" x14ac:dyDescent="0.25">
      <c r="A200" s="1">
        <v>-1.484414693075065</v>
      </c>
      <c r="B200" s="1">
        <v>1.500985602958101</v>
      </c>
      <c r="C200" s="1">
        <v>1.8096803614967869</v>
      </c>
      <c r="D200" s="1">
        <v>2.3381491315343421</v>
      </c>
      <c r="E200" s="1">
        <v>0.97753148467450646</v>
      </c>
      <c r="F200" s="1">
        <v>-0.95806926571439166</v>
      </c>
      <c r="G200" s="1">
        <v>-3.322085199315179</v>
      </c>
      <c r="H200" s="1"/>
      <c r="I200" s="1"/>
      <c r="K200" s="1">
        <v>-1.484414693075065</v>
      </c>
      <c r="L200" s="1">
        <v>1.500985602958101</v>
      </c>
      <c r="M200" s="1">
        <v>1.8096803614967869</v>
      </c>
      <c r="N200" s="1">
        <v>2.3381491315343421</v>
      </c>
      <c r="O200" s="1">
        <v>0.97753148467450646</v>
      </c>
      <c r="P200" s="1">
        <v>-0.95806926571439166</v>
      </c>
      <c r="Q200" s="1">
        <v>-3.322085199315179</v>
      </c>
      <c r="R200" s="1"/>
      <c r="S200" s="1"/>
    </row>
    <row r="201" spans="1:19" x14ac:dyDescent="0.25">
      <c r="A201" t="s">
        <v>522</v>
      </c>
      <c r="B201" t="s">
        <v>515</v>
      </c>
      <c r="C201" t="s">
        <v>512</v>
      </c>
      <c r="D201" t="s">
        <v>511</v>
      </c>
      <c r="E201" t="s">
        <v>509</v>
      </c>
      <c r="F201" t="s">
        <v>514</v>
      </c>
      <c r="G201" t="s">
        <v>513</v>
      </c>
      <c r="K201" t="str">
        <f t="shared" si="25"/>
        <v>ShortInterestRate</v>
      </c>
      <c r="L201" t="str">
        <f t="shared" si="26"/>
        <v>Inflation</v>
      </c>
      <c r="M201" t="str">
        <f t="shared" si="27"/>
        <v>GovernmentSpending</v>
      </c>
      <c r="N201" t="str">
        <f t="shared" si="28"/>
        <v>GDP</v>
      </c>
      <c r="O201" t="str">
        <f t="shared" si="29"/>
        <v>Exports</v>
      </c>
      <c r="P201" t="str">
        <f t="shared" si="30"/>
        <v>Imports</v>
      </c>
      <c r="Q201" t="str">
        <f t="shared" si="31"/>
        <v>HealthExpenditure</v>
      </c>
      <c r="R201" t="str">
        <f t="shared" si="32"/>
        <v/>
      </c>
    </row>
    <row r="202" spans="1:19" x14ac:dyDescent="0.25">
      <c r="A202" s="1">
        <v>-1.6188413928389009</v>
      </c>
      <c r="B202" s="1">
        <v>1.2737032781306989</v>
      </c>
      <c r="C202" s="1">
        <v>-0.92221099841495136</v>
      </c>
      <c r="D202" s="1">
        <v>1.4404629561315909</v>
      </c>
      <c r="E202" s="1">
        <v>1.5806205503656861</v>
      </c>
      <c r="F202" s="1">
        <v>1.7820160169415951</v>
      </c>
      <c r="G202" s="1">
        <v>-3.3568277979685321</v>
      </c>
      <c r="H202" s="1"/>
      <c r="I202" s="1"/>
      <c r="K202" s="1">
        <v>-1.6188413928389009</v>
      </c>
      <c r="L202" s="1">
        <v>1.2737032781306989</v>
      </c>
      <c r="M202" s="1">
        <v>-0.92221099841495136</v>
      </c>
      <c r="N202" s="1">
        <v>1.4404629561315909</v>
      </c>
      <c r="O202" s="1">
        <v>1.5806205503656861</v>
      </c>
      <c r="P202" s="1">
        <v>1.7820160169415951</v>
      </c>
      <c r="Q202" s="1">
        <v>-3.3568277979685321</v>
      </c>
      <c r="R202" s="1"/>
      <c r="S202" s="1"/>
    </row>
    <row r="203" spans="1:19" x14ac:dyDescent="0.25">
      <c r="A203" t="s">
        <v>517</v>
      </c>
      <c r="B203" t="s">
        <v>520</v>
      </c>
      <c r="C203" t="s">
        <v>519</v>
      </c>
      <c r="D203" t="s">
        <v>511</v>
      </c>
      <c r="E203" t="s">
        <v>509</v>
      </c>
      <c r="F203" t="s">
        <v>510</v>
      </c>
      <c r="G203" t="s">
        <v>513</v>
      </c>
      <c r="K203" t="str">
        <f t="shared" si="25"/>
        <v>LongInterestRate</v>
      </c>
      <c r="L203" t="str">
        <f t="shared" si="26"/>
        <v>ProductionPrices</v>
      </c>
      <c r="M203" t="str">
        <f t="shared" si="27"/>
        <v>PrivateSpending</v>
      </c>
      <c r="N203" t="str">
        <f t="shared" si="28"/>
        <v>GDP</v>
      </c>
      <c r="O203" t="str">
        <f t="shared" si="29"/>
        <v>Exports</v>
      </c>
      <c r="P203" t="str">
        <f t="shared" si="30"/>
        <v>FDI</v>
      </c>
      <c r="Q203" t="str">
        <f t="shared" si="31"/>
        <v>HealthExpenditure</v>
      </c>
      <c r="R203" t="str">
        <f t="shared" si="32"/>
        <v/>
      </c>
    </row>
    <row r="204" spans="1:19" x14ac:dyDescent="0.25">
      <c r="A204" s="1">
        <v>-1.677935867221215</v>
      </c>
      <c r="B204" s="1">
        <v>1.41625636515027</v>
      </c>
      <c r="C204" s="1">
        <v>0.64102350823563892</v>
      </c>
      <c r="D204" s="1">
        <v>1.0980676772481519</v>
      </c>
      <c r="E204" s="1">
        <v>2.5822718427162932</v>
      </c>
      <c r="F204" s="1">
        <v>-0.92241106591437605</v>
      </c>
      <c r="G204" s="1">
        <v>-2.711690424912633</v>
      </c>
      <c r="H204" s="1"/>
      <c r="I204" s="1"/>
      <c r="K204" s="1">
        <v>-1.677935867221215</v>
      </c>
      <c r="L204" s="1">
        <v>1.41625636515027</v>
      </c>
      <c r="M204" s="1">
        <v>0.64102350823563892</v>
      </c>
      <c r="N204" s="1">
        <v>1.0980676772481519</v>
      </c>
      <c r="O204" s="1">
        <v>2.5822718427162932</v>
      </c>
      <c r="P204" s="1">
        <v>-0.92241106591437605</v>
      </c>
      <c r="Q204" s="1">
        <v>-2.711690424912633</v>
      </c>
      <c r="R204" s="1"/>
      <c r="S204" s="1"/>
    </row>
    <row r="205" spans="1:19" x14ac:dyDescent="0.25">
      <c r="A205" t="s">
        <v>520</v>
      </c>
      <c r="B205" t="s">
        <v>519</v>
      </c>
      <c r="C205" t="s">
        <v>514</v>
      </c>
      <c r="D205" t="s">
        <v>510</v>
      </c>
      <c r="E205" t="s">
        <v>513</v>
      </c>
      <c r="K205" t="str">
        <f t="shared" si="25"/>
        <v>ProductionPrices</v>
      </c>
      <c r="L205" t="str">
        <f t="shared" si="26"/>
        <v>PrivateSpending</v>
      </c>
      <c r="M205" t="str">
        <f t="shared" si="27"/>
        <v>Imports</v>
      </c>
      <c r="N205" t="str">
        <f t="shared" si="28"/>
        <v>FDI</v>
      </c>
      <c r="O205" t="str">
        <f t="shared" si="29"/>
        <v>HealthExpenditure</v>
      </c>
      <c r="P205" t="str">
        <f t="shared" si="30"/>
        <v/>
      </c>
      <c r="Q205" t="str">
        <f t="shared" si="31"/>
        <v/>
      </c>
      <c r="R205" t="str">
        <f t="shared" si="32"/>
        <v/>
      </c>
    </row>
    <row r="206" spans="1:19" x14ac:dyDescent="0.25">
      <c r="A206" s="1">
        <v>0.42723531896055938</v>
      </c>
      <c r="B206" s="1">
        <v>4.431713672176965</v>
      </c>
      <c r="C206" s="1">
        <v>-4.6156937103161484</v>
      </c>
      <c r="D206" s="1">
        <v>-1.431110210410508</v>
      </c>
      <c r="E206" s="1">
        <v>2.7675681642708989</v>
      </c>
      <c r="F206" s="1"/>
      <c r="G206" s="1"/>
      <c r="H206" s="1"/>
      <c r="I206" s="1"/>
      <c r="K206" s="1">
        <v>0.42723531896055938</v>
      </c>
      <c r="L206" s="1">
        <v>4.431713672176965</v>
      </c>
      <c r="M206" s="1">
        <v>-4.6156937103161484</v>
      </c>
      <c r="N206" s="1">
        <v>-1.431110210410508</v>
      </c>
      <c r="O206" s="1">
        <v>2.7675681642708989</v>
      </c>
      <c r="P206" s="1"/>
      <c r="Q206" s="1"/>
      <c r="R206" s="1"/>
      <c r="S206" s="1"/>
    </row>
    <row r="207" spans="1:19" x14ac:dyDescent="0.25">
      <c r="A207" t="s">
        <v>517</v>
      </c>
      <c r="B207" t="s">
        <v>515</v>
      </c>
      <c r="C207" t="s">
        <v>509</v>
      </c>
      <c r="D207" t="s">
        <v>513</v>
      </c>
      <c r="E207" t="s">
        <v>516</v>
      </c>
      <c r="K207" t="str">
        <f t="shared" si="25"/>
        <v>LongInterestRate</v>
      </c>
      <c r="L207" t="str">
        <f t="shared" si="26"/>
        <v>Inflation</v>
      </c>
      <c r="M207" t="str">
        <f t="shared" si="27"/>
        <v>Exports</v>
      </c>
      <c r="N207" t="str">
        <f t="shared" si="28"/>
        <v>HealthExpenditure</v>
      </c>
      <c r="O207" t="str">
        <f t="shared" si="29"/>
        <v>LifeExpectancy</v>
      </c>
      <c r="P207" t="str">
        <f t="shared" si="30"/>
        <v/>
      </c>
      <c r="Q207" t="str">
        <f t="shared" si="31"/>
        <v/>
      </c>
      <c r="R207" t="str">
        <f t="shared" si="32"/>
        <v/>
      </c>
    </row>
    <row r="208" spans="1:19" x14ac:dyDescent="0.25">
      <c r="A208" s="1">
        <v>-1.230157576539584</v>
      </c>
      <c r="B208" s="1">
        <v>3.2209295792421262</v>
      </c>
      <c r="C208" s="1">
        <v>5.093523883755581</v>
      </c>
      <c r="D208" s="1">
        <v>-3.8774023670226239</v>
      </c>
      <c r="E208" s="1">
        <v>3.7742479030274509</v>
      </c>
      <c r="F208" s="1"/>
      <c r="G208" s="1"/>
      <c r="H208" s="1"/>
      <c r="I208" s="1"/>
      <c r="K208" s="1">
        <v>-1.230157576539584</v>
      </c>
      <c r="L208" s="1">
        <v>3.2209295792421262</v>
      </c>
      <c r="M208" s="1">
        <v>5.093523883755581</v>
      </c>
      <c r="N208" s="1">
        <v>-3.8774023670226239</v>
      </c>
      <c r="O208" s="1">
        <v>3.7742479030274509</v>
      </c>
      <c r="P208" s="1"/>
      <c r="Q208" s="1"/>
      <c r="R208" s="1"/>
      <c r="S208" s="1"/>
    </row>
    <row r="209" spans="1:19" x14ac:dyDescent="0.25">
      <c r="A209" t="s">
        <v>517</v>
      </c>
      <c r="B209" t="s">
        <v>519</v>
      </c>
      <c r="C209" t="s">
        <v>511</v>
      </c>
      <c r="D209" t="s">
        <v>514</v>
      </c>
      <c r="E209" t="s">
        <v>510</v>
      </c>
      <c r="F209" t="s">
        <v>516</v>
      </c>
      <c r="K209" t="str">
        <f t="shared" si="25"/>
        <v>LongInterestRate</v>
      </c>
      <c r="L209" t="str">
        <f t="shared" si="26"/>
        <v>PrivateSpending</v>
      </c>
      <c r="M209" t="str">
        <f t="shared" si="27"/>
        <v>GDP</v>
      </c>
      <c r="N209" t="str">
        <f t="shared" si="28"/>
        <v>Imports</v>
      </c>
      <c r="O209" t="str">
        <f t="shared" si="29"/>
        <v>FDI</v>
      </c>
      <c r="P209" t="str">
        <f t="shared" si="30"/>
        <v>LifeExpectancy</v>
      </c>
      <c r="Q209" t="str">
        <f t="shared" si="31"/>
        <v/>
      </c>
      <c r="R209" t="str">
        <f t="shared" si="32"/>
        <v/>
      </c>
    </row>
    <row r="210" spans="1:19" x14ac:dyDescent="0.25">
      <c r="A210" s="1">
        <v>-0.52550089711801917</v>
      </c>
      <c r="B210" s="1">
        <v>2.9688615073999962</v>
      </c>
      <c r="C210" s="1">
        <v>2.1345456529218532</v>
      </c>
      <c r="D210" s="1">
        <v>-2.0037270651334129</v>
      </c>
      <c r="E210" s="1">
        <v>-2.1252218283772981</v>
      </c>
      <c r="F210" s="1">
        <v>-1.695231727327142</v>
      </c>
      <c r="G210" s="1"/>
      <c r="H210" s="1"/>
      <c r="I210" s="1"/>
      <c r="K210" s="1">
        <v>-0.52550089711801917</v>
      </c>
      <c r="L210" s="1">
        <v>2.9688615073999962</v>
      </c>
      <c r="M210" s="1">
        <v>2.1345456529218532</v>
      </c>
      <c r="N210" s="1">
        <v>-2.0037270651334129</v>
      </c>
      <c r="O210" s="1">
        <v>-2.1252218283772981</v>
      </c>
      <c r="P210" s="1">
        <v>-1.695231727327142</v>
      </c>
      <c r="Q210" s="1"/>
      <c r="R210" s="1"/>
      <c r="S210" s="1"/>
    </row>
    <row r="211" spans="1:19" x14ac:dyDescent="0.25">
      <c r="A211" t="s">
        <v>518</v>
      </c>
      <c r="B211" t="s">
        <v>508</v>
      </c>
      <c r="C211" t="s">
        <v>517</v>
      </c>
      <c r="D211" t="s">
        <v>512</v>
      </c>
      <c r="E211" t="s">
        <v>511</v>
      </c>
      <c r="F211" t="s">
        <v>514</v>
      </c>
      <c r="G211" t="s">
        <v>510</v>
      </c>
      <c r="H211" t="s">
        <v>516</v>
      </c>
      <c r="K211" t="str">
        <f t="shared" si="25"/>
        <v>PandemicGrowth</v>
      </c>
      <c r="L211" t="str">
        <f t="shared" si="26"/>
        <v>EmploymentRate</v>
      </c>
      <c r="M211" t="str">
        <f t="shared" si="27"/>
        <v>LongInterestRate</v>
      </c>
      <c r="N211" t="str">
        <f t="shared" si="28"/>
        <v>GovernmentSpending</v>
      </c>
      <c r="O211" t="str">
        <f t="shared" si="29"/>
        <v>GDP</v>
      </c>
      <c r="P211" t="str">
        <f t="shared" si="30"/>
        <v>Imports</v>
      </c>
      <c r="Q211" t="str">
        <f t="shared" si="31"/>
        <v>FDI</v>
      </c>
      <c r="R211" t="str">
        <f t="shared" si="32"/>
        <v>LifeExpectancy</v>
      </c>
    </row>
    <row r="212" spans="1:19" x14ac:dyDescent="0.25">
      <c r="A212" s="1">
        <v>-0.20608812183672059</v>
      </c>
      <c r="B212" s="1">
        <v>-0.36415934192658661</v>
      </c>
      <c r="C212" s="1">
        <v>-0.48165201761595139</v>
      </c>
      <c r="D212" s="1">
        <v>1.659149954922347</v>
      </c>
      <c r="E212" s="1">
        <v>2.345706332055066</v>
      </c>
      <c r="F212" s="1">
        <v>-0.89482236305720586</v>
      </c>
      <c r="G212" s="1">
        <v>-1.9319494418404699</v>
      </c>
      <c r="H212" s="1">
        <v>-2.2420375551886589</v>
      </c>
      <c r="I212" s="1"/>
      <c r="K212" s="1">
        <v>-0.20608812183672059</v>
      </c>
      <c r="L212" s="1">
        <v>-0.36415934192658661</v>
      </c>
      <c r="M212" s="1">
        <v>-0.48165201761595139</v>
      </c>
      <c r="N212" s="1">
        <v>1.659149954922347</v>
      </c>
      <c r="O212" s="1">
        <v>2.345706332055066</v>
      </c>
      <c r="P212" s="1">
        <v>-0.89482236305720586</v>
      </c>
      <c r="Q212" s="1">
        <v>-1.9319494418404699</v>
      </c>
      <c r="R212" s="1">
        <v>-2.2420375551886589</v>
      </c>
      <c r="S212" s="1"/>
    </row>
    <row r="213" spans="1:19" x14ac:dyDescent="0.25">
      <c r="A213" t="s">
        <v>518</v>
      </c>
      <c r="B213" t="s">
        <v>522</v>
      </c>
      <c r="C213" t="s">
        <v>519</v>
      </c>
      <c r="D213" t="s">
        <v>511</v>
      </c>
      <c r="E213" t="s">
        <v>509</v>
      </c>
      <c r="F213" t="s">
        <v>514</v>
      </c>
      <c r="G213" t="s">
        <v>513</v>
      </c>
      <c r="H213" t="s">
        <v>516</v>
      </c>
      <c r="K213" t="str">
        <f t="shared" si="25"/>
        <v>PandemicGrowth</v>
      </c>
      <c r="L213" t="str">
        <f t="shared" si="26"/>
        <v>ShortInterestRate</v>
      </c>
      <c r="M213" t="str">
        <f t="shared" si="27"/>
        <v>PrivateSpending</v>
      </c>
      <c r="N213" t="str">
        <f t="shared" si="28"/>
        <v>GDP</v>
      </c>
      <c r="O213" t="str">
        <f t="shared" si="29"/>
        <v>Exports</v>
      </c>
      <c r="P213" t="str">
        <f t="shared" si="30"/>
        <v>Imports</v>
      </c>
      <c r="Q213" t="str">
        <f t="shared" si="31"/>
        <v>HealthExpenditure</v>
      </c>
      <c r="R213" t="str">
        <f t="shared" si="32"/>
        <v>LifeExpectancy</v>
      </c>
    </row>
    <row r="214" spans="1:19" x14ac:dyDescent="0.25">
      <c r="A214" s="1">
        <v>-0.26709523250466949</v>
      </c>
      <c r="B214" s="1">
        <v>-1.6098584385178489</v>
      </c>
      <c r="C214" s="1">
        <v>-3.3883377316870611</v>
      </c>
      <c r="D214" s="1">
        <v>2.44889915789989</v>
      </c>
      <c r="E214" s="1">
        <v>1.2635676070222479</v>
      </c>
      <c r="F214" s="1">
        <v>4.5083678965988074</v>
      </c>
      <c r="G214" s="1">
        <v>-4.6237463375664074</v>
      </c>
      <c r="H214" s="1">
        <v>-2.4666828095300288</v>
      </c>
      <c r="I214" s="1"/>
      <c r="K214" s="1">
        <v>-0.26709523250466949</v>
      </c>
      <c r="L214" s="1">
        <v>-1.6098584385178489</v>
      </c>
      <c r="M214" s="1">
        <v>-3.3883377316870611</v>
      </c>
      <c r="N214" s="1">
        <v>2.44889915789989</v>
      </c>
      <c r="O214" s="1">
        <v>1.2635676070222479</v>
      </c>
      <c r="P214" s="1">
        <v>4.5083678965988074</v>
      </c>
      <c r="Q214" s="1">
        <v>-4.6237463375664074</v>
      </c>
      <c r="R214" s="1">
        <v>-2.4666828095300288</v>
      </c>
      <c r="S214" s="1"/>
    </row>
    <row r="215" spans="1:19" x14ac:dyDescent="0.25">
      <c r="A215" t="s">
        <v>517</v>
      </c>
      <c r="B215" t="s">
        <v>515</v>
      </c>
      <c r="C215" t="s">
        <v>519</v>
      </c>
      <c r="D215" t="s">
        <v>511</v>
      </c>
      <c r="E215" t="s">
        <v>509</v>
      </c>
      <c r="F215" t="s">
        <v>514</v>
      </c>
      <c r="G215" t="s">
        <v>510</v>
      </c>
      <c r="K215" t="str">
        <f t="shared" si="25"/>
        <v>LongInterestRate</v>
      </c>
      <c r="L215" t="str">
        <f t="shared" si="26"/>
        <v>Inflation</v>
      </c>
      <c r="M215" t="str">
        <f t="shared" si="27"/>
        <v>PrivateSpending</v>
      </c>
      <c r="N215" t="str">
        <f t="shared" si="28"/>
        <v>GDP</v>
      </c>
      <c r="O215" t="str">
        <f t="shared" si="29"/>
        <v>Exports</v>
      </c>
      <c r="P215" t="str">
        <f t="shared" si="30"/>
        <v>Imports</v>
      </c>
      <c r="Q215" t="str">
        <f t="shared" si="31"/>
        <v>FDI</v>
      </c>
      <c r="R215" t="str">
        <f t="shared" si="32"/>
        <v/>
      </c>
    </row>
    <row r="216" spans="1:19" x14ac:dyDescent="0.25">
      <c r="A216" s="1">
        <v>-0.61902379625556936</v>
      </c>
      <c r="B216" s="1">
        <v>1.011493611075871</v>
      </c>
      <c r="C216" s="1">
        <v>3.488097242589816</v>
      </c>
      <c r="D216" s="1">
        <v>1.4300925283058861</v>
      </c>
      <c r="E216" s="1">
        <v>0.92002006282437065</v>
      </c>
      <c r="F216" s="1">
        <v>-2.7637772729551551</v>
      </c>
      <c r="G216" s="1">
        <v>-1.899903329892541</v>
      </c>
      <c r="H216" s="1"/>
      <c r="I216" s="1"/>
      <c r="K216" s="1">
        <v>-0.61902379625556936</v>
      </c>
      <c r="L216" s="1">
        <v>1.011493611075871</v>
      </c>
      <c r="M216" s="1">
        <v>3.488097242589816</v>
      </c>
      <c r="N216" s="1">
        <v>1.4300925283058861</v>
      </c>
      <c r="O216" s="1">
        <v>0.92002006282437065</v>
      </c>
      <c r="P216" s="1">
        <v>-2.7637772729551551</v>
      </c>
      <c r="Q216" s="1">
        <v>-1.899903329892541</v>
      </c>
      <c r="R216" s="1"/>
      <c r="S216" s="1"/>
    </row>
    <row r="217" spans="1:19" x14ac:dyDescent="0.25">
      <c r="A217" t="s">
        <v>521</v>
      </c>
      <c r="B217" t="s">
        <v>522</v>
      </c>
      <c r="C217" t="s">
        <v>515</v>
      </c>
      <c r="D217" t="s">
        <v>519</v>
      </c>
      <c r="E217" t="s">
        <v>512</v>
      </c>
      <c r="F217" t="s">
        <v>514</v>
      </c>
      <c r="G217" t="s">
        <v>516</v>
      </c>
      <c r="K217" t="str">
        <f t="shared" si="25"/>
        <v>RecoveryRate</v>
      </c>
      <c r="L217" t="str">
        <f t="shared" si="26"/>
        <v>ShortInterestRate</v>
      </c>
      <c r="M217" t="str">
        <f t="shared" si="27"/>
        <v>Inflation</v>
      </c>
      <c r="N217" t="str">
        <f t="shared" si="28"/>
        <v>PrivateSpending</v>
      </c>
      <c r="O217" t="str">
        <f t="shared" si="29"/>
        <v>GovernmentSpending</v>
      </c>
      <c r="P217" t="str">
        <f t="shared" si="30"/>
        <v>Imports</v>
      </c>
      <c r="Q217" t="str">
        <f t="shared" si="31"/>
        <v>LifeExpectancy</v>
      </c>
      <c r="R217" t="str">
        <f t="shared" si="32"/>
        <v/>
      </c>
    </row>
    <row r="218" spans="1:19" x14ac:dyDescent="0.25">
      <c r="A218" s="1">
        <v>-0.31571872111444682</v>
      </c>
      <c r="B218" s="1">
        <v>-1.4676321336406271</v>
      </c>
      <c r="C218" s="1">
        <v>2.173506726738748</v>
      </c>
      <c r="D218" s="1">
        <v>6.7351723589370547</v>
      </c>
      <c r="E218" s="1">
        <v>-3.182258334402043</v>
      </c>
      <c r="F218" s="1">
        <v>-2.8347903831453269</v>
      </c>
      <c r="G218" s="1">
        <v>2.510024995788934</v>
      </c>
      <c r="H218" s="1"/>
      <c r="I218" s="1"/>
      <c r="K218" s="1">
        <v>-0.31571872111444682</v>
      </c>
      <c r="L218" s="1">
        <v>-1.4676321336406271</v>
      </c>
      <c r="M218" s="1">
        <v>2.173506726738748</v>
      </c>
      <c r="N218" s="1">
        <v>6.7351723589370547</v>
      </c>
      <c r="O218" s="1">
        <v>-3.182258334402043</v>
      </c>
      <c r="P218" s="1">
        <v>-2.8347903831453269</v>
      </c>
      <c r="Q218" s="1">
        <v>2.510024995788934</v>
      </c>
      <c r="R218" s="1"/>
      <c r="S218" s="1"/>
    </row>
    <row r="219" spans="1:19" x14ac:dyDescent="0.25">
      <c r="A219" t="s">
        <v>518</v>
      </c>
      <c r="B219" t="s">
        <v>515</v>
      </c>
      <c r="C219" t="s">
        <v>512</v>
      </c>
      <c r="D219" t="s">
        <v>511</v>
      </c>
      <c r="E219" t="s">
        <v>509</v>
      </c>
      <c r="F219" t="s">
        <v>510</v>
      </c>
      <c r="G219" t="s">
        <v>516</v>
      </c>
      <c r="K219" t="str">
        <f t="shared" si="25"/>
        <v>PandemicGrowth</v>
      </c>
      <c r="L219" t="str">
        <f t="shared" si="26"/>
        <v>Inflation</v>
      </c>
      <c r="M219" t="str">
        <f t="shared" si="27"/>
        <v>GovernmentSpending</v>
      </c>
      <c r="N219" t="str">
        <f t="shared" si="28"/>
        <v>GDP</v>
      </c>
      <c r="O219" t="str">
        <f t="shared" si="29"/>
        <v>Exports</v>
      </c>
      <c r="P219" t="str">
        <f t="shared" si="30"/>
        <v>FDI</v>
      </c>
      <c r="Q219" t="str">
        <f t="shared" si="31"/>
        <v>LifeExpectancy</v>
      </c>
      <c r="R219" t="str">
        <f t="shared" si="32"/>
        <v/>
      </c>
    </row>
    <row r="220" spans="1:19" x14ac:dyDescent="0.25">
      <c r="A220" s="1">
        <v>-0.36015393358388192</v>
      </c>
      <c r="B220" s="1">
        <v>-2.5629953364310758</v>
      </c>
      <c r="C220" s="1">
        <v>1.433974066793833</v>
      </c>
      <c r="D220" s="1">
        <v>4.0535533485628727</v>
      </c>
      <c r="E220" s="1">
        <v>-1.819647889867922</v>
      </c>
      <c r="F220" s="1">
        <v>-2.9583634717612179</v>
      </c>
      <c r="G220" s="1">
        <v>-6.1170460512076534</v>
      </c>
      <c r="H220" s="1"/>
      <c r="I220" s="1"/>
      <c r="K220" s="1">
        <v>-0.36015393358388192</v>
      </c>
      <c r="L220" s="1">
        <v>-2.5629953364310758</v>
      </c>
      <c r="M220" s="1">
        <v>1.433974066793833</v>
      </c>
      <c r="N220" s="1">
        <v>4.0535533485628727</v>
      </c>
      <c r="O220" s="1">
        <v>-1.819647889867922</v>
      </c>
      <c r="P220" s="1">
        <v>-2.9583634717612179</v>
      </c>
      <c r="Q220" s="1">
        <v>-6.1170460512076534</v>
      </c>
      <c r="R220" s="1"/>
      <c r="S220" s="1"/>
    </row>
    <row r="221" spans="1:19" x14ac:dyDescent="0.25">
      <c r="A221" t="s">
        <v>518</v>
      </c>
      <c r="B221" t="s">
        <v>520</v>
      </c>
      <c r="C221" t="s">
        <v>515</v>
      </c>
      <c r="D221" t="s">
        <v>511</v>
      </c>
      <c r="E221" t="s">
        <v>514</v>
      </c>
      <c r="F221" t="s">
        <v>510</v>
      </c>
      <c r="G221" t="s">
        <v>513</v>
      </c>
      <c r="K221" t="str">
        <f t="shared" si="25"/>
        <v>PandemicGrowth</v>
      </c>
      <c r="L221" t="str">
        <f t="shared" si="26"/>
        <v>ProductionPrices</v>
      </c>
      <c r="M221" t="str">
        <f t="shared" si="27"/>
        <v>Inflation</v>
      </c>
      <c r="N221" t="str">
        <f t="shared" si="28"/>
        <v>GDP</v>
      </c>
      <c r="O221" t="str">
        <f t="shared" si="29"/>
        <v>Imports</v>
      </c>
      <c r="P221" t="str">
        <f t="shared" si="30"/>
        <v>FDI</v>
      </c>
      <c r="Q221" t="str">
        <f t="shared" si="31"/>
        <v>HealthExpenditure</v>
      </c>
      <c r="R221" t="str">
        <f t="shared" si="32"/>
        <v/>
      </c>
    </row>
    <row r="222" spans="1:19" x14ac:dyDescent="0.25">
      <c r="A222" s="1">
        <v>-0.56575731660484163</v>
      </c>
      <c r="B222" s="1">
        <v>-5.9801367690983893</v>
      </c>
      <c r="C222" s="1">
        <v>7.3893931669528206</v>
      </c>
      <c r="D222" s="1">
        <v>4.2234409652971854</v>
      </c>
      <c r="E222" s="1">
        <v>2.2157160726498861</v>
      </c>
      <c r="F222" s="1">
        <v>-1.791327799475132</v>
      </c>
      <c r="G222" s="1">
        <v>-2.9011474490714049</v>
      </c>
      <c r="H222" s="1"/>
      <c r="I222" s="1"/>
      <c r="K222" s="1">
        <v>-0.56575731660484163</v>
      </c>
      <c r="L222" s="1">
        <v>-5.9801367690983893</v>
      </c>
      <c r="M222" s="1">
        <v>7.3893931669528206</v>
      </c>
      <c r="N222" s="1">
        <v>4.2234409652971854</v>
      </c>
      <c r="O222" s="1">
        <v>2.2157160726498861</v>
      </c>
      <c r="P222" s="1">
        <v>-1.791327799475132</v>
      </c>
      <c r="Q222" s="1">
        <v>-2.9011474490714049</v>
      </c>
      <c r="R222" s="1"/>
      <c r="S222" s="1"/>
    </row>
    <row r="223" spans="1:19" x14ac:dyDescent="0.25">
      <c r="A223" t="s">
        <v>521</v>
      </c>
      <c r="B223" t="s">
        <v>522</v>
      </c>
      <c r="C223" t="s">
        <v>515</v>
      </c>
      <c r="D223" t="s">
        <v>519</v>
      </c>
      <c r="E223" t="s">
        <v>512</v>
      </c>
      <c r="F223" t="s">
        <v>510</v>
      </c>
      <c r="G223" t="s">
        <v>513</v>
      </c>
      <c r="H223" t="s">
        <v>516</v>
      </c>
      <c r="K223" t="str">
        <f t="shared" si="25"/>
        <v>RecoveryRate</v>
      </c>
      <c r="L223" t="str">
        <f t="shared" si="26"/>
        <v>ShortInterestRate</v>
      </c>
      <c r="M223" t="str">
        <f t="shared" si="27"/>
        <v>Inflation</v>
      </c>
      <c r="N223" t="str">
        <f t="shared" si="28"/>
        <v>PrivateSpending</v>
      </c>
      <c r="O223" t="str">
        <f t="shared" si="29"/>
        <v>GovernmentSpending</v>
      </c>
      <c r="P223" t="str">
        <f t="shared" si="30"/>
        <v>FDI</v>
      </c>
      <c r="Q223" t="str">
        <f t="shared" si="31"/>
        <v>HealthExpenditure</v>
      </c>
      <c r="R223" t="str">
        <f t="shared" si="32"/>
        <v>LifeExpectancy</v>
      </c>
    </row>
    <row r="224" spans="1:19" x14ac:dyDescent="0.25">
      <c r="A224" s="1">
        <v>-0.4817739185223357</v>
      </c>
      <c r="B224" s="1">
        <v>-1.9706897766851641</v>
      </c>
      <c r="C224" s="1">
        <v>2.0644200499947809</v>
      </c>
      <c r="D224" s="1">
        <v>4.707234967181499</v>
      </c>
      <c r="E224" s="1">
        <v>-3.9092935752510578</v>
      </c>
      <c r="F224" s="1">
        <v>1.244060229565215</v>
      </c>
      <c r="G224" s="1">
        <v>-1.776864754107673</v>
      </c>
      <c r="H224" s="1">
        <v>2.2477393035365778</v>
      </c>
      <c r="I224" s="1"/>
      <c r="K224" s="1">
        <v>-0.4817739185223357</v>
      </c>
      <c r="L224" s="1">
        <v>-1.9706897766851641</v>
      </c>
      <c r="M224" s="1">
        <v>2.0644200499947809</v>
      </c>
      <c r="N224" s="1">
        <v>4.707234967181499</v>
      </c>
      <c r="O224" s="1">
        <v>-3.9092935752510578</v>
      </c>
      <c r="P224" s="1">
        <v>1.244060229565215</v>
      </c>
      <c r="Q224" s="1">
        <v>-1.776864754107673</v>
      </c>
      <c r="R224" s="1">
        <v>2.2477393035365778</v>
      </c>
      <c r="S224" s="1"/>
    </row>
    <row r="225" spans="1:19" x14ac:dyDescent="0.25">
      <c r="A225" t="s">
        <v>517</v>
      </c>
      <c r="B225" t="s">
        <v>520</v>
      </c>
      <c r="C225" t="s">
        <v>515</v>
      </c>
      <c r="D225" t="s">
        <v>509</v>
      </c>
      <c r="E225" t="s">
        <v>513</v>
      </c>
      <c r="K225" t="str">
        <f t="shared" si="25"/>
        <v>LongInterestRate</v>
      </c>
      <c r="L225" t="str">
        <f t="shared" si="26"/>
        <v>ProductionPrices</v>
      </c>
      <c r="M225" t="str">
        <f t="shared" si="27"/>
        <v>Inflation</v>
      </c>
      <c r="N225" t="str">
        <f t="shared" si="28"/>
        <v>Exports</v>
      </c>
      <c r="O225" t="str">
        <f t="shared" si="29"/>
        <v>HealthExpenditure</v>
      </c>
      <c r="P225" t="str">
        <f t="shared" si="30"/>
        <v/>
      </c>
      <c r="Q225" t="str">
        <f t="shared" si="31"/>
        <v/>
      </c>
      <c r="R225" t="str">
        <f t="shared" si="32"/>
        <v/>
      </c>
    </row>
    <row r="226" spans="1:19" x14ac:dyDescent="0.25">
      <c r="A226" s="1">
        <v>-1.918681058644661</v>
      </c>
      <c r="B226" s="1">
        <v>3.020799034709023</v>
      </c>
      <c r="C226" s="1">
        <v>-1.761794199652803</v>
      </c>
      <c r="D226" s="1">
        <v>2.804497198598209</v>
      </c>
      <c r="E226" s="1">
        <v>-2.446767602336235</v>
      </c>
      <c r="F226" s="1"/>
      <c r="G226" s="1"/>
      <c r="H226" s="1"/>
      <c r="I226" s="1"/>
      <c r="K226" s="1">
        <v>-1.918681058644661</v>
      </c>
      <c r="L226" s="1">
        <v>3.020799034709023</v>
      </c>
      <c r="M226" s="1">
        <v>-1.761794199652803</v>
      </c>
      <c r="N226" s="1">
        <v>2.804497198598209</v>
      </c>
      <c r="O226" s="1">
        <v>-2.446767602336235</v>
      </c>
      <c r="P226" s="1"/>
      <c r="Q226" s="1"/>
      <c r="R226" s="1"/>
      <c r="S226" s="1"/>
    </row>
    <row r="227" spans="1:19" x14ac:dyDescent="0.25">
      <c r="A227" t="s">
        <v>518</v>
      </c>
      <c r="B227" t="s">
        <v>508</v>
      </c>
      <c r="C227" t="s">
        <v>520</v>
      </c>
      <c r="D227" t="s">
        <v>515</v>
      </c>
      <c r="E227" t="s">
        <v>512</v>
      </c>
      <c r="F227" t="s">
        <v>511</v>
      </c>
      <c r="G227" t="s">
        <v>509</v>
      </c>
      <c r="H227" t="s">
        <v>510</v>
      </c>
      <c r="K227" t="str">
        <f t="shared" si="25"/>
        <v>PandemicGrowth</v>
      </c>
      <c r="L227" t="str">
        <f t="shared" si="26"/>
        <v>EmploymentRate</v>
      </c>
      <c r="M227" t="str">
        <f t="shared" si="27"/>
        <v>ProductionPrices</v>
      </c>
      <c r="N227" t="str">
        <f t="shared" si="28"/>
        <v>Inflation</v>
      </c>
      <c r="O227" t="str">
        <f t="shared" si="29"/>
        <v>GovernmentSpending</v>
      </c>
      <c r="P227" t="str">
        <f t="shared" si="30"/>
        <v>GDP</v>
      </c>
      <c r="Q227" t="str">
        <f t="shared" si="31"/>
        <v>Exports</v>
      </c>
      <c r="R227" t="str">
        <f t="shared" si="32"/>
        <v>FDI</v>
      </c>
    </row>
    <row r="228" spans="1:19" x14ac:dyDescent="0.25">
      <c r="A228" s="1">
        <v>-0.37706060046454049</v>
      </c>
      <c r="B228" s="1">
        <v>-0.70055464623294972</v>
      </c>
      <c r="C228" s="1">
        <v>-3.299572780226125</v>
      </c>
      <c r="D228" s="1">
        <v>4.5361586050482199</v>
      </c>
      <c r="E228" s="1">
        <v>1.09877707987258</v>
      </c>
      <c r="F228" s="1">
        <v>2.6949433853835272</v>
      </c>
      <c r="G228" s="1">
        <v>-0.94979942931811145</v>
      </c>
      <c r="H228" s="1">
        <v>-1.049491194013203</v>
      </c>
      <c r="I228" s="1"/>
      <c r="K228" s="1">
        <v>-0.37706060046454049</v>
      </c>
      <c r="L228" s="1">
        <v>-0.70055464623294972</v>
      </c>
      <c r="M228" s="1">
        <v>-3.299572780226125</v>
      </c>
      <c r="N228" s="1">
        <v>4.5361586050482199</v>
      </c>
      <c r="O228" s="1">
        <v>1.09877707987258</v>
      </c>
      <c r="P228" s="1">
        <v>2.6949433853835272</v>
      </c>
      <c r="Q228" s="1">
        <v>-0.94979942931811145</v>
      </c>
      <c r="R228" s="1">
        <v>-1.049491194013203</v>
      </c>
      <c r="S228" s="1"/>
    </row>
    <row r="229" spans="1:19" x14ac:dyDescent="0.25">
      <c r="A229" t="s">
        <v>521</v>
      </c>
      <c r="B229" t="s">
        <v>517</v>
      </c>
      <c r="C229" t="s">
        <v>515</v>
      </c>
      <c r="D229" t="s">
        <v>519</v>
      </c>
      <c r="E229" t="s">
        <v>512</v>
      </c>
      <c r="F229" t="s">
        <v>514</v>
      </c>
      <c r="G229" t="s">
        <v>516</v>
      </c>
      <c r="K229" t="str">
        <f t="shared" si="25"/>
        <v>RecoveryRate</v>
      </c>
      <c r="L229" t="str">
        <f t="shared" si="26"/>
        <v>LongInterestRate</v>
      </c>
      <c r="M229" t="str">
        <f t="shared" si="27"/>
        <v>Inflation</v>
      </c>
      <c r="N229" t="str">
        <f t="shared" si="28"/>
        <v>PrivateSpending</v>
      </c>
      <c r="O229" t="str">
        <f t="shared" si="29"/>
        <v>GovernmentSpending</v>
      </c>
      <c r="P229" t="str">
        <f t="shared" si="30"/>
        <v>Imports</v>
      </c>
      <c r="Q229" t="str">
        <f t="shared" si="31"/>
        <v>LifeExpectancy</v>
      </c>
      <c r="R229" t="str">
        <f t="shared" si="32"/>
        <v/>
      </c>
    </row>
    <row r="230" spans="1:19" x14ac:dyDescent="0.25">
      <c r="A230" s="1">
        <v>-0.31913236573739823</v>
      </c>
      <c r="B230" s="1">
        <v>-1.5583513617724549</v>
      </c>
      <c r="C230" s="1">
        <v>2.3335692514935902</v>
      </c>
      <c r="D230" s="1">
        <v>7.16445780143939</v>
      </c>
      <c r="E230" s="1">
        <v>-3.3740940652783449</v>
      </c>
      <c r="F230" s="1">
        <v>-3.0458407714993498</v>
      </c>
      <c r="G230" s="1">
        <v>2.689787086175218</v>
      </c>
      <c r="H230" s="1"/>
      <c r="I230" s="1"/>
      <c r="K230" s="1">
        <v>-0.31913236573739823</v>
      </c>
      <c r="L230" s="1">
        <v>-1.5583513617724549</v>
      </c>
      <c r="M230" s="1">
        <v>2.3335692514935902</v>
      </c>
      <c r="N230" s="1">
        <v>7.16445780143939</v>
      </c>
      <c r="O230" s="1">
        <v>-3.3740940652783449</v>
      </c>
      <c r="P230" s="1">
        <v>-3.0458407714993498</v>
      </c>
      <c r="Q230" s="1">
        <v>2.689787086175218</v>
      </c>
      <c r="R230" s="1"/>
      <c r="S230" s="1"/>
    </row>
    <row r="231" spans="1:19" x14ac:dyDescent="0.25">
      <c r="A231" t="s">
        <v>508</v>
      </c>
      <c r="B231" t="s">
        <v>517</v>
      </c>
      <c r="C231" t="s">
        <v>520</v>
      </c>
      <c r="D231" t="s">
        <v>515</v>
      </c>
      <c r="E231" t="s">
        <v>516</v>
      </c>
      <c r="K231" t="str">
        <f t="shared" si="25"/>
        <v>EmploymentRate</v>
      </c>
      <c r="L231" t="str">
        <f t="shared" si="26"/>
        <v>LongInterestRate</v>
      </c>
      <c r="M231" t="str">
        <f t="shared" si="27"/>
        <v>ProductionPrices</v>
      </c>
      <c r="N231" t="str">
        <f t="shared" si="28"/>
        <v>Inflation</v>
      </c>
      <c r="O231" t="str">
        <f t="shared" si="29"/>
        <v>LifeExpectancy</v>
      </c>
      <c r="P231" t="str">
        <f t="shared" si="30"/>
        <v/>
      </c>
      <c r="Q231" t="str">
        <f t="shared" si="31"/>
        <v/>
      </c>
      <c r="R231" t="str">
        <f t="shared" si="32"/>
        <v/>
      </c>
    </row>
    <row r="232" spans="1:19" x14ac:dyDescent="0.25">
      <c r="A232" s="1">
        <v>-0.35021671956357597</v>
      </c>
      <c r="B232" s="1">
        <v>-1.632047850432462</v>
      </c>
      <c r="C232" s="1">
        <v>3.486335274539607</v>
      </c>
      <c r="D232" s="1">
        <v>-3.6412835687649689</v>
      </c>
      <c r="E232" s="1">
        <v>-2.2278169207116192</v>
      </c>
      <c r="F232" s="1"/>
      <c r="G232" s="1"/>
      <c r="H232" s="1"/>
      <c r="I232" s="1"/>
      <c r="K232" s="1">
        <v>-0.35021671956357597</v>
      </c>
      <c r="L232" s="1">
        <v>-1.632047850432462</v>
      </c>
      <c r="M232" s="1">
        <v>3.486335274539607</v>
      </c>
      <c r="N232" s="1">
        <v>-3.6412835687649689</v>
      </c>
      <c r="O232" s="1">
        <v>-2.2278169207116192</v>
      </c>
      <c r="P232" s="1"/>
      <c r="Q232" s="1"/>
      <c r="R232" s="1"/>
      <c r="S232" s="1"/>
    </row>
    <row r="233" spans="1:19" x14ac:dyDescent="0.25">
      <c r="A233" t="s">
        <v>521</v>
      </c>
      <c r="B233" t="s">
        <v>517</v>
      </c>
      <c r="C233" t="s">
        <v>520</v>
      </c>
      <c r="D233" t="s">
        <v>519</v>
      </c>
      <c r="E233" t="s">
        <v>512</v>
      </c>
      <c r="F233" t="s">
        <v>511</v>
      </c>
      <c r="G233" t="s">
        <v>513</v>
      </c>
      <c r="K233" t="str">
        <f t="shared" si="25"/>
        <v>RecoveryRate</v>
      </c>
      <c r="L233" t="str">
        <f t="shared" si="26"/>
        <v>LongInterestRate</v>
      </c>
      <c r="M233" t="str">
        <f t="shared" si="27"/>
        <v>ProductionPrices</v>
      </c>
      <c r="N233" t="str">
        <f t="shared" si="28"/>
        <v>PrivateSpending</v>
      </c>
      <c r="O233" t="str">
        <f t="shared" si="29"/>
        <v>GovernmentSpending</v>
      </c>
      <c r="P233" t="str">
        <f t="shared" si="30"/>
        <v>GDP</v>
      </c>
      <c r="Q233" t="str">
        <f t="shared" si="31"/>
        <v>HealthExpenditure</v>
      </c>
      <c r="R233" t="str">
        <f t="shared" si="32"/>
        <v/>
      </c>
    </row>
    <row r="234" spans="1:19" x14ac:dyDescent="0.25">
      <c r="A234" s="1">
        <v>-0.37414861789226589</v>
      </c>
      <c r="B234" s="1">
        <v>-2.1056771566676491</v>
      </c>
      <c r="C234" s="1">
        <v>1.149707048593114</v>
      </c>
      <c r="D234" s="1">
        <v>3.841432535527495</v>
      </c>
      <c r="E234" s="1">
        <v>-2.735050885622174</v>
      </c>
      <c r="F234" s="1">
        <v>0.90894540413292346</v>
      </c>
      <c r="G234" s="1">
        <v>-1.8071652371020051</v>
      </c>
      <c r="H234" s="1"/>
      <c r="I234" s="1"/>
      <c r="K234" s="1">
        <v>-0.37414861789226589</v>
      </c>
      <c r="L234" s="1">
        <v>-2.1056771566676491</v>
      </c>
      <c r="M234" s="1">
        <v>1.149707048593114</v>
      </c>
      <c r="N234" s="1">
        <v>3.841432535527495</v>
      </c>
      <c r="O234" s="1">
        <v>-2.735050885622174</v>
      </c>
      <c r="P234" s="1">
        <v>0.90894540413292346</v>
      </c>
      <c r="Q234" s="1">
        <v>-1.8071652371020051</v>
      </c>
      <c r="R234" s="1"/>
      <c r="S234" s="1"/>
    </row>
    <row r="235" spans="1:19" x14ac:dyDescent="0.25">
      <c r="A235" t="s">
        <v>508</v>
      </c>
      <c r="B235" t="s">
        <v>517</v>
      </c>
      <c r="C235" t="s">
        <v>511</v>
      </c>
      <c r="D235" t="s">
        <v>509</v>
      </c>
      <c r="E235" t="s">
        <v>514</v>
      </c>
      <c r="F235" t="s">
        <v>516</v>
      </c>
      <c r="K235" t="str">
        <f t="shared" si="25"/>
        <v>EmploymentRate</v>
      </c>
      <c r="L235" t="str">
        <f t="shared" si="26"/>
        <v>LongInterestRate</v>
      </c>
      <c r="M235" t="str">
        <f t="shared" si="27"/>
        <v>GDP</v>
      </c>
      <c r="N235" t="str">
        <f t="shared" si="28"/>
        <v>Exports</v>
      </c>
      <c r="O235" t="str">
        <f t="shared" si="29"/>
        <v>Imports</v>
      </c>
      <c r="P235" t="str">
        <f t="shared" si="30"/>
        <v>LifeExpectancy</v>
      </c>
      <c r="Q235" t="str">
        <f t="shared" si="31"/>
        <v/>
      </c>
      <c r="R235" t="str">
        <f t="shared" si="32"/>
        <v/>
      </c>
    </row>
    <row r="236" spans="1:19" x14ac:dyDescent="0.25">
      <c r="A236" s="1">
        <v>-0.77068670635682235</v>
      </c>
      <c r="B236" s="1">
        <v>-1.0242315849636621</v>
      </c>
      <c r="C236" s="1">
        <v>2.0397008922208908</v>
      </c>
      <c r="D236" s="1">
        <v>-2.083843840130585</v>
      </c>
      <c r="E236" s="1">
        <v>0.81278543007098603</v>
      </c>
      <c r="F236" s="1">
        <v>-2.1330864018397988</v>
      </c>
      <c r="G236" s="1"/>
      <c r="H236" s="1"/>
      <c r="I236" s="1"/>
      <c r="K236" s="1">
        <v>-0.77068670635682235</v>
      </c>
      <c r="L236" s="1">
        <v>-1.0242315849636621</v>
      </c>
      <c r="M236" s="1">
        <v>2.0397008922208908</v>
      </c>
      <c r="N236" s="1">
        <v>-2.083843840130585</v>
      </c>
      <c r="O236" s="1">
        <v>0.81278543007098603</v>
      </c>
      <c r="P236" s="1">
        <v>-2.1330864018397988</v>
      </c>
      <c r="Q236" s="1"/>
      <c r="R236" s="1"/>
      <c r="S236" s="1"/>
    </row>
    <row r="237" spans="1:19" x14ac:dyDescent="0.25">
      <c r="A237" t="s">
        <v>521</v>
      </c>
      <c r="B237" t="s">
        <v>517</v>
      </c>
      <c r="C237" t="s">
        <v>515</v>
      </c>
      <c r="D237" t="s">
        <v>512</v>
      </c>
      <c r="E237" t="s">
        <v>511</v>
      </c>
      <c r="F237" t="s">
        <v>509</v>
      </c>
      <c r="G237" t="s">
        <v>514</v>
      </c>
      <c r="H237" t="s">
        <v>513</v>
      </c>
      <c r="K237" t="str">
        <f t="shared" si="25"/>
        <v>RecoveryRate</v>
      </c>
      <c r="L237" t="str">
        <f t="shared" si="26"/>
        <v>LongInterestRate</v>
      </c>
      <c r="M237" t="str">
        <f t="shared" si="27"/>
        <v>Inflation</v>
      </c>
      <c r="N237" t="str">
        <f t="shared" si="28"/>
        <v>GovernmentSpending</v>
      </c>
      <c r="O237" t="str">
        <f t="shared" si="29"/>
        <v>GDP</v>
      </c>
      <c r="P237" t="str">
        <f t="shared" si="30"/>
        <v>Exports</v>
      </c>
      <c r="Q237" t="str">
        <f t="shared" si="31"/>
        <v>Imports</v>
      </c>
      <c r="R237" t="str">
        <f t="shared" si="32"/>
        <v>HealthExpenditure</v>
      </c>
    </row>
    <row r="238" spans="1:19" x14ac:dyDescent="0.25">
      <c r="A238" s="1">
        <v>-0.2858043189804203</v>
      </c>
      <c r="B238" s="1">
        <v>-1.9803603690131639</v>
      </c>
      <c r="C238" s="1">
        <v>1.4949518308740919</v>
      </c>
      <c r="D238" s="1">
        <v>-1.2506517545089459</v>
      </c>
      <c r="E238" s="1">
        <v>1.6405100800396351</v>
      </c>
      <c r="F238" s="1">
        <v>1.670903916069661</v>
      </c>
      <c r="G238" s="1">
        <v>2.3818903552689461</v>
      </c>
      <c r="H238" s="1">
        <v>-3.991185691620772</v>
      </c>
      <c r="I238" s="1"/>
      <c r="K238" s="1">
        <v>-0.2858043189804203</v>
      </c>
      <c r="L238" s="1">
        <v>-1.9803603690131639</v>
      </c>
      <c r="M238" s="1">
        <v>1.4949518308740919</v>
      </c>
      <c r="N238" s="1">
        <v>-1.2506517545089459</v>
      </c>
      <c r="O238" s="1">
        <v>1.6405100800396351</v>
      </c>
      <c r="P238" s="1">
        <v>1.670903916069661</v>
      </c>
      <c r="Q238" s="1">
        <v>2.3818903552689461</v>
      </c>
      <c r="R238" s="1">
        <v>-3.991185691620772</v>
      </c>
      <c r="S238" s="1"/>
    </row>
    <row r="239" spans="1:19" x14ac:dyDescent="0.25">
      <c r="A239" t="s">
        <v>518</v>
      </c>
      <c r="B239" t="s">
        <v>515</v>
      </c>
      <c r="C239" t="s">
        <v>519</v>
      </c>
      <c r="D239" t="s">
        <v>511</v>
      </c>
      <c r="E239" t="s">
        <v>509</v>
      </c>
      <c r="F239" t="s">
        <v>510</v>
      </c>
      <c r="G239" t="s">
        <v>516</v>
      </c>
      <c r="K239" t="str">
        <f t="shared" si="25"/>
        <v>PandemicGrowth</v>
      </c>
      <c r="L239" t="str">
        <f t="shared" si="26"/>
        <v>Inflation</v>
      </c>
      <c r="M239" t="str">
        <f t="shared" si="27"/>
        <v>PrivateSpending</v>
      </c>
      <c r="N239" t="str">
        <f t="shared" si="28"/>
        <v>GDP</v>
      </c>
      <c r="O239" t="str">
        <f t="shared" si="29"/>
        <v>Exports</v>
      </c>
      <c r="P239" t="str">
        <f t="shared" si="30"/>
        <v>FDI</v>
      </c>
      <c r="Q239" t="str">
        <f t="shared" si="31"/>
        <v>LifeExpectancy</v>
      </c>
      <c r="R239" t="str">
        <f t="shared" si="32"/>
        <v/>
      </c>
    </row>
    <row r="240" spans="1:19" x14ac:dyDescent="0.25">
      <c r="A240" s="1">
        <v>-0.3485099936262781</v>
      </c>
      <c r="B240" s="1">
        <v>-2.1223877766152839</v>
      </c>
      <c r="C240" s="1">
        <v>1.1699729404775061</v>
      </c>
      <c r="D240" s="1">
        <v>3.0566260452937248</v>
      </c>
      <c r="E240" s="1">
        <v>-1.9241907093666839</v>
      </c>
      <c r="F240" s="1">
        <v>-1.746466027597096</v>
      </c>
      <c r="G240" s="1">
        <v>-4.5002722082727651</v>
      </c>
      <c r="H240" s="1"/>
      <c r="I240" s="1"/>
      <c r="K240" s="1">
        <v>-0.3485099936262781</v>
      </c>
      <c r="L240" s="1">
        <v>-2.1223877766152839</v>
      </c>
      <c r="M240" s="1">
        <v>1.1699729404775061</v>
      </c>
      <c r="N240" s="1">
        <v>3.0566260452937248</v>
      </c>
      <c r="O240" s="1">
        <v>-1.9241907093666839</v>
      </c>
      <c r="P240" s="1">
        <v>-1.746466027597096</v>
      </c>
      <c r="Q240" s="1">
        <v>-4.5002722082727651</v>
      </c>
      <c r="R240" s="1"/>
      <c r="S240" s="1"/>
    </row>
    <row r="241" spans="1:19" x14ac:dyDescent="0.25">
      <c r="A241" t="s">
        <v>521</v>
      </c>
      <c r="B241" t="s">
        <v>508</v>
      </c>
      <c r="C241" t="s">
        <v>517</v>
      </c>
      <c r="D241" t="s">
        <v>519</v>
      </c>
      <c r="E241" t="s">
        <v>511</v>
      </c>
      <c r="F241" t="s">
        <v>514</v>
      </c>
      <c r="G241" t="s">
        <v>513</v>
      </c>
      <c r="H241" t="s">
        <v>516</v>
      </c>
      <c r="K241" t="str">
        <f t="shared" si="25"/>
        <v>RecoveryRate</v>
      </c>
      <c r="L241" t="str">
        <f t="shared" si="26"/>
        <v>EmploymentRate</v>
      </c>
      <c r="M241" t="str">
        <f t="shared" si="27"/>
        <v>LongInterestRate</v>
      </c>
      <c r="N241" t="str">
        <f t="shared" si="28"/>
        <v>PrivateSpending</v>
      </c>
      <c r="O241" t="str">
        <f t="shared" si="29"/>
        <v>GDP</v>
      </c>
      <c r="P241" t="str">
        <f t="shared" si="30"/>
        <v>Imports</v>
      </c>
      <c r="Q241" t="str">
        <f t="shared" si="31"/>
        <v>HealthExpenditure</v>
      </c>
      <c r="R241" t="str">
        <f t="shared" si="32"/>
        <v>LifeExpectancy</v>
      </c>
    </row>
    <row r="242" spans="1:19" x14ac:dyDescent="0.25">
      <c r="A242" s="1">
        <v>-0.37820564991414241</v>
      </c>
      <c r="B242" s="1">
        <v>-0.3260600099995602</v>
      </c>
      <c r="C242" s="1">
        <v>-1.987727853356257</v>
      </c>
      <c r="D242" s="1">
        <v>-3.483713719559383</v>
      </c>
      <c r="E242" s="1">
        <v>3.0098855180818789</v>
      </c>
      <c r="F242" s="1">
        <v>4.9038310821157696</v>
      </c>
      <c r="G242" s="1">
        <v>-4.1776959938453304</v>
      </c>
      <c r="H242" s="1">
        <v>-3.2150975702835431</v>
      </c>
      <c r="I242" s="1"/>
      <c r="K242" s="1">
        <v>-0.37820564991414241</v>
      </c>
      <c r="L242" s="1">
        <v>-0.3260600099995602</v>
      </c>
      <c r="M242" s="1">
        <v>-1.987727853356257</v>
      </c>
      <c r="N242" s="1">
        <v>-3.483713719559383</v>
      </c>
      <c r="O242" s="1">
        <v>3.0098855180818789</v>
      </c>
      <c r="P242" s="1">
        <v>4.9038310821157696</v>
      </c>
      <c r="Q242" s="1">
        <v>-4.1776959938453304</v>
      </c>
      <c r="R242" s="1">
        <v>-3.2150975702835431</v>
      </c>
      <c r="S242" s="1"/>
    </row>
    <row r="243" spans="1:19" x14ac:dyDescent="0.25">
      <c r="A243" t="s">
        <v>521</v>
      </c>
      <c r="B243" t="s">
        <v>522</v>
      </c>
      <c r="C243" t="s">
        <v>520</v>
      </c>
      <c r="D243" t="s">
        <v>519</v>
      </c>
      <c r="E243" t="s">
        <v>512</v>
      </c>
      <c r="F243" t="s">
        <v>511</v>
      </c>
      <c r="G243" t="s">
        <v>509</v>
      </c>
      <c r="H243" t="s">
        <v>514</v>
      </c>
      <c r="K243" t="str">
        <f t="shared" si="25"/>
        <v>RecoveryRate</v>
      </c>
      <c r="L243" t="str">
        <f t="shared" si="26"/>
        <v>ShortInterestRate</v>
      </c>
      <c r="M243" t="str">
        <f t="shared" si="27"/>
        <v>ProductionPrices</v>
      </c>
      <c r="N243" t="str">
        <f t="shared" si="28"/>
        <v>PrivateSpending</v>
      </c>
      <c r="O243" t="str">
        <f t="shared" si="29"/>
        <v>GovernmentSpending</v>
      </c>
      <c r="P243" t="str">
        <f t="shared" si="30"/>
        <v>GDP</v>
      </c>
      <c r="Q243" t="str">
        <f t="shared" si="31"/>
        <v>Exports</v>
      </c>
      <c r="R243" t="str">
        <f t="shared" si="32"/>
        <v>Imports</v>
      </c>
    </row>
    <row r="244" spans="1:19" x14ac:dyDescent="0.25">
      <c r="A244" s="1">
        <v>-0.41363253360950991</v>
      </c>
      <c r="B244" s="1">
        <v>-1.64658575582704</v>
      </c>
      <c r="C244" s="1">
        <v>0.79510638111332044</v>
      </c>
      <c r="D244" s="1">
        <v>5.6434424038592939</v>
      </c>
      <c r="E244" s="1">
        <v>-3.1110370414801261</v>
      </c>
      <c r="F244" s="1">
        <v>0.64523559282320575</v>
      </c>
      <c r="G244" s="1">
        <v>-1.265580340003011</v>
      </c>
      <c r="H244" s="1">
        <v>-1.645986644176781</v>
      </c>
      <c r="I244" s="1"/>
      <c r="K244" s="1">
        <v>-0.41363253360950991</v>
      </c>
      <c r="L244" s="1">
        <v>-1.64658575582704</v>
      </c>
      <c r="M244" s="1">
        <v>0.79510638111332044</v>
      </c>
      <c r="N244" s="1">
        <v>5.6434424038592939</v>
      </c>
      <c r="O244" s="1">
        <v>-3.1110370414801261</v>
      </c>
      <c r="P244" s="1">
        <v>0.64523559282320575</v>
      </c>
      <c r="Q244" s="1">
        <v>-1.265580340003011</v>
      </c>
      <c r="R244" s="1">
        <v>-1.645986644176781</v>
      </c>
      <c r="S244" s="1"/>
    </row>
    <row r="245" spans="1:19" x14ac:dyDescent="0.25">
      <c r="A245" t="s">
        <v>521</v>
      </c>
      <c r="B245" t="s">
        <v>522</v>
      </c>
      <c r="C245" t="s">
        <v>520</v>
      </c>
      <c r="D245" t="s">
        <v>515</v>
      </c>
      <c r="E245" t="s">
        <v>519</v>
      </c>
      <c r="F245" t="s">
        <v>512</v>
      </c>
      <c r="G245" t="s">
        <v>510</v>
      </c>
      <c r="H245" t="s">
        <v>513</v>
      </c>
      <c r="K245" t="str">
        <f t="shared" si="25"/>
        <v>RecoveryRate</v>
      </c>
      <c r="L245" t="str">
        <f t="shared" si="26"/>
        <v>ShortInterestRate</v>
      </c>
      <c r="M245" t="str">
        <f t="shared" si="27"/>
        <v>ProductionPrices</v>
      </c>
      <c r="N245" t="str">
        <f t="shared" si="28"/>
        <v>Inflation</v>
      </c>
      <c r="O245" t="str">
        <f t="shared" si="29"/>
        <v>PrivateSpending</v>
      </c>
      <c r="P245" t="str">
        <f t="shared" si="30"/>
        <v>GovernmentSpending</v>
      </c>
      <c r="Q245" t="str">
        <f t="shared" si="31"/>
        <v>FDI</v>
      </c>
      <c r="R245" t="str">
        <f t="shared" si="32"/>
        <v>HealthExpenditure</v>
      </c>
    </row>
    <row r="246" spans="1:19" x14ac:dyDescent="0.25">
      <c r="A246" s="1">
        <v>-0.37930349583454931</v>
      </c>
      <c r="B246" s="1">
        <v>-1.983345961628999</v>
      </c>
      <c r="C246" s="1">
        <v>1.8497594074844601</v>
      </c>
      <c r="D246" s="1">
        <v>-0.98055729718203322</v>
      </c>
      <c r="E246" s="1">
        <v>3.019093893929929</v>
      </c>
      <c r="F246" s="1">
        <v>-2.5561754175663709</v>
      </c>
      <c r="G246" s="1">
        <v>0.72750270892301927</v>
      </c>
      <c r="H246" s="1">
        <v>-1.2209094869000181</v>
      </c>
      <c r="I246" s="1"/>
      <c r="K246" s="1">
        <v>-0.37930349583454931</v>
      </c>
      <c r="L246" s="1">
        <v>-1.983345961628999</v>
      </c>
      <c r="M246" s="1">
        <v>1.8497594074844601</v>
      </c>
      <c r="N246" s="1">
        <v>-0.98055729718203322</v>
      </c>
      <c r="O246" s="1">
        <v>3.019093893929929</v>
      </c>
      <c r="P246" s="1">
        <v>-2.5561754175663709</v>
      </c>
      <c r="Q246" s="1">
        <v>0.72750270892301927</v>
      </c>
      <c r="R246" s="1">
        <v>-1.2209094869000181</v>
      </c>
      <c r="S246" s="1"/>
    </row>
    <row r="247" spans="1:19" x14ac:dyDescent="0.25">
      <c r="A247" t="s">
        <v>518</v>
      </c>
      <c r="B247" t="s">
        <v>508</v>
      </c>
      <c r="C247" t="s">
        <v>522</v>
      </c>
      <c r="D247" t="s">
        <v>512</v>
      </c>
      <c r="E247" t="s">
        <v>511</v>
      </c>
      <c r="F247" t="s">
        <v>514</v>
      </c>
      <c r="G247" t="s">
        <v>510</v>
      </c>
      <c r="H247" t="s">
        <v>516</v>
      </c>
      <c r="K247" t="str">
        <f t="shared" si="25"/>
        <v>PandemicGrowth</v>
      </c>
      <c r="L247" t="str">
        <f t="shared" si="26"/>
        <v>EmploymentRate</v>
      </c>
      <c r="M247" t="str">
        <f t="shared" si="27"/>
        <v>ShortInterestRate</v>
      </c>
      <c r="N247" t="str">
        <f t="shared" si="28"/>
        <v>GovernmentSpending</v>
      </c>
      <c r="O247" t="str">
        <f t="shared" si="29"/>
        <v>GDP</v>
      </c>
      <c r="P247" t="str">
        <f t="shared" si="30"/>
        <v>Imports</v>
      </c>
      <c r="Q247" t="str">
        <f t="shared" si="31"/>
        <v>FDI</v>
      </c>
      <c r="R247" t="str">
        <f t="shared" si="32"/>
        <v>LifeExpectancy</v>
      </c>
    </row>
    <row r="248" spans="1:19" x14ac:dyDescent="0.25">
      <c r="A248" s="1">
        <v>-0.20491190142881599</v>
      </c>
      <c r="B248" s="1">
        <v>-0.36162701626899652</v>
      </c>
      <c r="C248" s="1">
        <v>-0.46063329460024788</v>
      </c>
      <c r="D248" s="1">
        <v>1.600160174125409</v>
      </c>
      <c r="E248" s="1">
        <v>2.2714071795980399</v>
      </c>
      <c r="F248" s="1">
        <v>-0.86743505966503698</v>
      </c>
      <c r="G248" s="1">
        <v>-1.8411024182976721</v>
      </c>
      <c r="H248" s="1">
        <v>-2.1539581733519539</v>
      </c>
      <c r="I248" s="1"/>
      <c r="K248" s="1">
        <v>-0.20491190142881599</v>
      </c>
      <c r="L248" s="1">
        <v>-0.36162701626899652</v>
      </c>
      <c r="M248" s="1">
        <v>-0.46063329460024788</v>
      </c>
      <c r="N248" s="1">
        <v>1.600160174125409</v>
      </c>
      <c r="O248" s="1">
        <v>2.2714071795980399</v>
      </c>
      <c r="P248" s="1">
        <v>-0.86743505966503698</v>
      </c>
      <c r="Q248" s="1">
        <v>-1.8411024182976721</v>
      </c>
      <c r="R248" s="1">
        <v>-2.1539581733519539</v>
      </c>
      <c r="S248" s="1"/>
    </row>
    <row r="249" spans="1:19" x14ac:dyDescent="0.25">
      <c r="A249" t="s">
        <v>522</v>
      </c>
      <c r="B249" t="s">
        <v>520</v>
      </c>
      <c r="C249" t="s">
        <v>519</v>
      </c>
      <c r="D249" t="s">
        <v>511</v>
      </c>
      <c r="E249" t="s">
        <v>509</v>
      </c>
      <c r="F249" t="s">
        <v>514</v>
      </c>
      <c r="G249" t="s">
        <v>510</v>
      </c>
      <c r="K249" t="str">
        <f t="shared" si="25"/>
        <v>ShortInterestRate</v>
      </c>
      <c r="L249" t="str">
        <f t="shared" si="26"/>
        <v>ProductionPrices</v>
      </c>
      <c r="M249" t="str">
        <f t="shared" si="27"/>
        <v>PrivateSpending</v>
      </c>
      <c r="N249" t="str">
        <f t="shared" si="28"/>
        <v>GDP</v>
      </c>
      <c r="O249" t="str">
        <f t="shared" si="29"/>
        <v>Exports</v>
      </c>
      <c r="P249" t="str">
        <f t="shared" si="30"/>
        <v>Imports</v>
      </c>
      <c r="Q249" t="str">
        <f t="shared" si="31"/>
        <v>FDI</v>
      </c>
      <c r="R249" t="str">
        <f t="shared" si="32"/>
        <v/>
      </c>
    </row>
    <row r="250" spans="1:19" x14ac:dyDescent="0.25">
      <c r="A250" s="1">
        <v>-0.87726487204493209</v>
      </c>
      <c r="B250" s="1">
        <v>0.9986061731015432</v>
      </c>
      <c r="C250" s="1">
        <v>3.4279246744935938</v>
      </c>
      <c r="D250" s="1">
        <v>0.959889747970051</v>
      </c>
      <c r="E250" s="1">
        <v>1.230933798418373</v>
      </c>
      <c r="F250" s="1">
        <v>-2.9325941145249641</v>
      </c>
      <c r="G250" s="1">
        <v>-1.6883080517394231</v>
      </c>
      <c r="H250" s="1"/>
      <c r="I250" s="1"/>
      <c r="K250" s="1">
        <v>-0.87726487204493209</v>
      </c>
      <c r="L250" s="1">
        <v>0.9986061731015432</v>
      </c>
      <c r="M250" s="1">
        <v>3.4279246744935938</v>
      </c>
      <c r="N250" s="1">
        <v>0.959889747970051</v>
      </c>
      <c r="O250" s="1">
        <v>1.230933798418373</v>
      </c>
      <c r="P250" s="1">
        <v>-2.9325941145249641</v>
      </c>
      <c r="Q250" s="1">
        <v>-1.6883080517394231</v>
      </c>
      <c r="R250" s="1"/>
      <c r="S250" s="1"/>
    </row>
    <row r="251" spans="1:19" x14ac:dyDescent="0.25">
      <c r="A251" t="s">
        <v>518</v>
      </c>
      <c r="B251" t="s">
        <v>522</v>
      </c>
      <c r="C251" t="s">
        <v>515</v>
      </c>
      <c r="D251" t="s">
        <v>512</v>
      </c>
      <c r="E251" t="s">
        <v>511</v>
      </c>
      <c r="F251" t="s">
        <v>510</v>
      </c>
      <c r="G251" t="s">
        <v>513</v>
      </c>
      <c r="H251" t="s">
        <v>516</v>
      </c>
      <c r="K251" t="str">
        <f t="shared" si="25"/>
        <v>PandemicGrowth</v>
      </c>
      <c r="L251" t="str">
        <f t="shared" si="26"/>
        <v>ShortInterestRate</v>
      </c>
      <c r="M251" t="str">
        <f t="shared" si="27"/>
        <v>Inflation</v>
      </c>
      <c r="N251" t="str">
        <f t="shared" si="28"/>
        <v>GovernmentSpending</v>
      </c>
      <c r="O251" t="str">
        <f t="shared" si="29"/>
        <v>GDP</v>
      </c>
      <c r="P251" t="str">
        <f t="shared" si="30"/>
        <v>FDI</v>
      </c>
      <c r="Q251" t="str">
        <f t="shared" si="31"/>
        <v>HealthExpenditure</v>
      </c>
      <c r="R251" t="str">
        <f t="shared" si="32"/>
        <v>LifeExpectancy</v>
      </c>
    </row>
    <row r="252" spans="1:19" x14ac:dyDescent="0.25">
      <c r="A252" s="1">
        <v>-0.24813344676963059</v>
      </c>
      <c r="B252" s="1">
        <v>-0.64301349618955461</v>
      </c>
      <c r="C252" s="1">
        <v>-0.72911203510825306</v>
      </c>
      <c r="D252" s="1">
        <v>1.206592419056034</v>
      </c>
      <c r="E252" s="1">
        <v>3.05741423013894</v>
      </c>
      <c r="F252" s="1">
        <v>-2.399770964031402</v>
      </c>
      <c r="G252" s="1">
        <v>-1.0232208618729219</v>
      </c>
      <c r="H252" s="1">
        <v>-3.5799803053485082</v>
      </c>
      <c r="I252" s="1"/>
      <c r="K252" s="1">
        <v>-0.24813344676963059</v>
      </c>
      <c r="L252" s="1">
        <v>-0.64301349618955461</v>
      </c>
      <c r="M252" s="1">
        <v>-0.72911203510825306</v>
      </c>
      <c r="N252" s="1">
        <v>1.206592419056034</v>
      </c>
      <c r="O252" s="1">
        <v>3.05741423013894</v>
      </c>
      <c r="P252" s="1">
        <v>-2.399770964031402</v>
      </c>
      <c r="Q252" s="1">
        <v>-1.0232208618729219</v>
      </c>
      <c r="R252" s="1">
        <v>-3.5799803053485082</v>
      </c>
      <c r="S252" s="1"/>
    </row>
    <row r="253" spans="1:19" x14ac:dyDescent="0.25">
      <c r="A253" t="s">
        <v>521</v>
      </c>
      <c r="B253" t="s">
        <v>508</v>
      </c>
      <c r="C253" t="s">
        <v>517</v>
      </c>
      <c r="D253" t="s">
        <v>520</v>
      </c>
      <c r="E253" t="s">
        <v>519</v>
      </c>
      <c r="F253" t="s">
        <v>511</v>
      </c>
      <c r="G253" t="s">
        <v>509</v>
      </c>
      <c r="H253" t="s">
        <v>516</v>
      </c>
      <c r="K253" t="str">
        <f t="shared" si="25"/>
        <v>RecoveryRate</v>
      </c>
      <c r="L253" t="str">
        <f t="shared" si="26"/>
        <v>EmploymentRate</v>
      </c>
      <c r="M253" t="str">
        <f t="shared" si="27"/>
        <v>LongInterestRate</v>
      </c>
      <c r="N253" t="str">
        <f t="shared" si="28"/>
        <v>ProductionPrices</v>
      </c>
      <c r="O253" t="str">
        <f t="shared" si="29"/>
        <v>PrivateSpending</v>
      </c>
      <c r="P253" t="str">
        <f t="shared" si="30"/>
        <v>GDP</v>
      </c>
      <c r="Q253" t="str">
        <f t="shared" si="31"/>
        <v>Exports</v>
      </c>
      <c r="R253" t="str">
        <f t="shared" si="32"/>
        <v>LifeExpectancy</v>
      </c>
    </row>
    <row r="254" spans="1:19" x14ac:dyDescent="0.25">
      <c r="A254" s="1">
        <v>-0.25703450026517022</v>
      </c>
      <c r="B254" s="1">
        <v>-0.74837499433096122</v>
      </c>
      <c r="C254" s="1">
        <v>-1.415302180733955</v>
      </c>
      <c r="D254" s="1">
        <v>0.74312421776213999</v>
      </c>
      <c r="E254" s="1">
        <v>0.58286574765536947</v>
      </c>
      <c r="F254" s="1">
        <v>1.3370104847940161</v>
      </c>
      <c r="G254" s="1">
        <v>-1.1355944097306001</v>
      </c>
      <c r="H254" s="1">
        <v>-1.0987968494390721</v>
      </c>
      <c r="I254" s="1"/>
      <c r="K254" s="1">
        <v>-0.25703450026517022</v>
      </c>
      <c r="L254" s="1">
        <v>-0.74837499433096122</v>
      </c>
      <c r="M254" s="1">
        <v>-1.415302180733955</v>
      </c>
      <c r="N254" s="1">
        <v>0.74312421776213999</v>
      </c>
      <c r="O254" s="1">
        <v>0.58286574765536947</v>
      </c>
      <c r="P254" s="1">
        <v>1.3370104847940161</v>
      </c>
      <c r="Q254" s="1">
        <v>-1.1355944097306001</v>
      </c>
      <c r="R254" s="1">
        <v>-1.0987968494390721</v>
      </c>
      <c r="S254" s="1"/>
    </row>
    <row r="255" spans="1:19" x14ac:dyDescent="0.25">
      <c r="A255" t="s">
        <v>521</v>
      </c>
      <c r="B255" t="s">
        <v>517</v>
      </c>
      <c r="C255" t="s">
        <v>515</v>
      </c>
      <c r="D255" t="s">
        <v>519</v>
      </c>
      <c r="E255" t="s">
        <v>512</v>
      </c>
      <c r="F255" t="s">
        <v>511</v>
      </c>
      <c r="G255" t="s">
        <v>509</v>
      </c>
      <c r="H255" t="s">
        <v>514</v>
      </c>
      <c r="K255" t="str">
        <f t="shared" si="25"/>
        <v>RecoveryRate</v>
      </c>
      <c r="L255" t="str">
        <f t="shared" si="26"/>
        <v>LongInterestRate</v>
      </c>
      <c r="M255" t="str">
        <f t="shared" si="27"/>
        <v>Inflation</v>
      </c>
      <c r="N255" t="str">
        <f t="shared" si="28"/>
        <v>PrivateSpending</v>
      </c>
      <c r="O255" t="str">
        <f t="shared" si="29"/>
        <v>GovernmentSpending</v>
      </c>
      <c r="P255" t="str">
        <f t="shared" si="30"/>
        <v>GDP</v>
      </c>
      <c r="Q255" t="str">
        <f t="shared" si="31"/>
        <v>Exports</v>
      </c>
      <c r="R255" t="str">
        <f t="shared" si="32"/>
        <v>Imports</v>
      </c>
    </row>
    <row r="256" spans="1:19" x14ac:dyDescent="0.25">
      <c r="A256" s="2">
        <v>-0.51257467259060541</v>
      </c>
      <c r="B256" s="2">
        <v>-1.8483404018130101</v>
      </c>
      <c r="C256" s="2">
        <v>0.96009794132486714</v>
      </c>
      <c r="D256" s="2">
        <v>6.7196220584397226</v>
      </c>
      <c r="E256" s="2">
        <v>-3.9306981582156268</v>
      </c>
      <c r="F256" s="2">
        <v>1.076645224086362</v>
      </c>
      <c r="G256" s="2">
        <v>-2.1165059863442779</v>
      </c>
      <c r="H256" s="2">
        <v>-1.4892148595936261</v>
      </c>
      <c r="I256" s="1"/>
      <c r="K256" s="2">
        <v>-0.51257467259060541</v>
      </c>
      <c r="L256" s="2">
        <v>-1.8483404018130101</v>
      </c>
      <c r="M256" s="2">
        <v>0.96009794132486714</v>
      </c>
      <c r="N256" s="2">
        <v>6.7196220584397226</v>
      </c>
      <c r="O256" s="2">
        <v>-3.9306981582156268</v>
      </c>
      <c r="P256" s="2">
        <v>1.076645224086362</v>
      </c>
      <c r="Q256" s="2">
        <v>-2.1165059863442779</v>
      </c>
      <c r="R256" s="2">
        <v>-1.4892148595936261</v>
      </c>
      <c r="S256" s="1"/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"/>
  <sheetViews>
    <sheetView topLeftCell="F1" workbookViewId="0">
      <selection activeCell="L4" sqref="L4:AA7"/>
    </sheetView>
  </sheetViews>
  <sheetFormatPr defaultRowHeight="15" x14ac:dyDescent="0.25"/>
  <cols>
    <col min="1" max="1" width="19.140625" bestFit="1" customWidth="1"/>
    <col min="2" max="2" width="23.28515625" bestFit="1" customWidth="1"/>
  </cols>
  <sheetData>
    <row r="1" spans="1:34" x14ac:dyDescent="0.25">
      <c r="AC1" s="14" t="s">
        <v>524</v>
      </c>
      <c r="AD1" s="14" t="s">
        <v>525</v>
      </c>
      <c r="AE1" s="14" t="s">
        <v>526</v>
      </c>
      <c r="AF1" s="14" t="s">
        <v>527</v>
      </c>
      <c r="AG1" s="14" t="s">
        <v>528</v>
      </c>
      <c r="AH1" s="14" t="s">
        <v>529</v>
      </c>
    </row>
    <row r="2" spans="1:34" x14ac:dyDescent="0.25">
      <c r="AC2" t="s">
        <v>511</v>
      </c>
      <c r="AD2">
        <v>83</v>
      </c>
      <c r="AE2">
        <v>0.41363275379395292</v>
      </c>
      <c r="AF2">
        <v>4.5888591971096986</v>
      </c>
      <c r="AG2">
        <v>1.8706096391798539</v>
      </c>
      <c r="AH2">
        <v>1</v>
      </c>
    </row>
    <row r="3" spans="1:34" x14ac:dyDescent="0.25">
      <c r="A3" s="13" t="s">
        <v>508</v>
      </c>
      <c r="B3" t="s">
        <v>523</v>
      </c>
      <c r="AC3" t="s">
        <v>514</v>
      </c>
      <c r="AD3">
        <v>74</v>
      </c>
      <c r="AE3">
        <v>-5.814523110402825</v>
      </c>
      <c r="AF3">
        <v>6.2043676731075124</v>
      </c>
      <c r="AG3">
        <v>-0.85263756775742272</v>
      </c>
      <c r="AH3">
        <v>2</v>
      </c>
    </row>
    <row r="4" spans="1:34" x14ac:dyDescent="0.25">
      <c r="A4" t="s">
        <v>508</v>
      </c>
      <c r="B4" s="8">
        <v>47</v>
      </c>
      <c r="L4" s="14" t="s">
        <v>524</v>
      </c>
      <c r="M4" t="s">
        <v>511</v>
      </c>
      <c r="N4" t="s">
        <v>514</v>
      </c>
      <c r="O4" t="s">
        <v>519</v>
      </c>
      <c r="P4" t="s">
        <v>512</v>
      </c>
      <c r="Q4" t="s">
        <v>516</v>
      </c>
      <c r="R4" t="s">
        <v>509</v>
      </c>
      <c r="S4" t="s">
        <v>510</v>
      </c>
      <c r="T4" t="s">
        <v>515</v>
      </c>
      <c r="U4" t="s">
        <v>520</v>
      </c>
      <c r="V4" t="s">
        <v>513</v>
      </c>
      <c r="W4" t="s">
        <v>508</v>
      </c>
      <c r="X4" t="s">
        <v>517</v>
      </c>
      <c r="Y4" t="s">
        <v>522</v>
      </c>
      <c r="Z4" t="s">
        <v>521</v>
      </c>
      <c r="AA4" t="s">
        <v>518</v>
      </c>
      <c r="AC4" t="s">
        <v>519</v>
      </c>
      <c r="AD4">
        <v>68</v>
      </c>
      <c r="AE4">
        <v>-16.38986519013347</v>
      </c>
      <c r="AF4">
        <v>7.16445780143939</v>
      </c>
      <c r="AG4">
        <v>1.8836030391243019</v>
      </c>
      <c r="AH4">
        <v>3</v>
      </c>
    </row>
    <row r="5" spans="1:34" x14ac:dyDescent="0.25">
      <c r="A5" t="s">
        <v>509</v>
      </c>
      <c r="B5" s="8">
        <v>63</v>
      </c>
      <c r="L5" s="14" t="s">
        <v>526</v>
      </c>
      <c r="M5">
        <f>'by variable'!G4</f>
        <v>0.41363275379395292</v>
      </c>
      <c r="N5">
        <f>'by variable'!G7</f>
        <v>-5.814523110402825</v>
      </c>
      <c r="O5">
        <f>'by variable'!G12</f>
        <v>-16.38986519013347</v>
      </c>
      <c r="P5">
        <f>'by variable'!G5</f>
        <v>-4.3380368186383844</v>
      </c>
      <c r="Q5">
        <f>'by variable'!G9</f>
        <v>-6.1170460512076534</v>
      </c>
      <c r="R5">
        <f>'by variable'!G2</f>
        <v>-3.481409613499451</v>
      </c>
      <c r="S5">
        <f>'by variable'!G3</f>
        <v>-3.4777382992392281</v>
      </c>
      <c r="T5">
        <f>'by variable'!G8</f>
        <v>-3.6412835687649689</v>
      </c>
      <c r="U5">
        <f>'by variable'!G13</f>
        <v>-5.9801367690983893</v>
      </c>
      <c r="V5">
        <f>'by variable'!G6</f>
        <v>-5.7829556296621742</v>
      </c>
      <c r="W5">
        <f>'by variable'!G1</f>
        <v>-3.446168606598135</v>
      </c>
      <c r="X5">
        <f>'by variable'!G10</f>
        <v>-2.289757017921167</v>
      </c>
      <c r="Y5">
        <f>'by variable'!G15</f>
        <v>-2.1579334328948119</v>
      </c>
      <c r="Z5">
        <f>'by variable'!G14</f>
        <v>-0.64893982081852497</v>
      </c>
      <c r="AA5">
        <f>'by variable'!G11</f>
        <v>-0.56575731660484163</v>
      </c>
      <c r="AC5" t="s">
        <v>512</v>
      </c>
      <c r="AD5">
        <v>67</v>
      </c>
      <c r="AE5">
        <v>-4.3380368186383844</v>
      </c>
      <c r="AF5">
        <v>8.0323881681884686</v>
      </c>
      <c r="AG5">
        <v>4.1999309079796363E-2</v>
      </c>
      <c r="AH5">
        <v>4</v>
      </c>
    </row>
    <row r="6" spans="1:34" x14ac:dyDescent="0.25">
      <c r="A6" t="s">
        <v>510</v>
      </c>
      <c r="B6" s="8">
        <v>63</v>
      </c>
      <c r="L6" s="14" t="s">
        <v>527</v>
      </c>
      <c r="M6">
        <f>'by variable'!H4</f>
        <v>4.5888591971096986</v>
      </c>
      <c r="N6">
        <f>'by variable'!H7</f>
        <v>6.2043676731075124</v>
      </c>
      <c r="O6">
        <f>'by variable'!H12</f>
        <v>7.16445780143939</v>
      </c>
      <c r="P6">
        <f>'by variable'!H5</f>
        <v>8.0323881681884686</v>
      </c>
      <c r="Q6">
        <f>'by variable'!H9</f>
        <v>3.7742479030274509</v>
      </c>
      <c r="R6">
        <f>'by variable'!H2</f>
        <v>5.093523883755581</v>
      </c>
      <c r="S6">
        <f>'by variable'!H3</f>
        <v>4.2867321612888798</v>
      </c>
      <c r="T6">
        <f>'by variable'!H8</f>
        <v>7.3893931669528206</v>
      </c>
      <c r="U6">
        <f>'by variable'!H13</f>
        <v>3.486335274539607</v>
      </c>
      <c r="V6">
        <f>'by variable'!H6</f>
        <v>2.7675681642708989</v>
      </c>
      <c r="W6">
        <f>'by variable'!H1</f>
        <v>-0.2407050269126508</v>
      </c>
      <c r="X6">
        <f>'by variable'!H10</f>
        <v>0.68219792658801559</v>
      </c>
      <c r="Y6">
        <f>'by variable'!H15</f>
        <v>-0.46063329460024788</v>
      </c>
      <c r="Z6">
        <f>'by variable'!H14</f>
        <v>-0.19678766353304819</v>
      </c>
      <c r="AA6">
        <f>'by variable'!H11</f>
        <v>-0.20491190142881599</v>
      </c>
      <c r="AC6" t="s">
        <v>516</v>
      </c>
      <c r="AD6">
        <v>66</v>
      </c>
      <c r="AE6">
        <v>-6.1170460512076534</v>
      </c>
      <c r="AF6">
        <v>3.7742479030274509</v>
      </c>
      <c r="AG6">
        <v>-0.97858702568329992</v>
      </c>
      <c r="AH6">
        <v>5</v>
      </c>
    </row>
    <row r="7" spans="1:34" x14ac:dyDescent="0.25">
      <c r="A7" t="s">
        <v>511</v>
      </c>
      <c r="B7" s="8">
        <v>83</v>
      </c>
      <c r="L7" s="14" t="s">
        <v>528</v>
      </c>
      <c r="M7">
        <f>'by variable'!I4</f>
        <v>1.8706096391798539</v>
      </c>
      <c r="N7">
        <f>'by variable'!I7</f>
        <v>-0.85263756775742272</v>
      </c>
      <c r="O7">
        <f>'by variable'!I12</f>
        <v>1.8836030391243019</v>
      </c>
      <c r="P7">
        <f>'by variable'!I5</f>
        <v>4.1999309079796363E-2</v>
      </c>
      <c r="Q7">
        <f>'by variable'!I9</f>
        <v>-0.97858702568329992</v>
      </c>
      <c r="R7">
        <f>'by variable'!I2</f>
        <v>0.52617777382461706</v>
      </c>
      <c r="S7">
        <f>'by variable'!I3</f>
        <v>-1.1625660781329878</v>
      </c>
      <c r="T7">
        <f>'by variable'!I8</f>
        <v>0.80763182029793068</v>
      </c>
      <c r="U7">
        <f>'by variable'!I13</f>
        <v>0.78434040342273037</v>
      </c>
      <c r="V7">
        <f>'by variable'!I6</f>
        <v>-1.29730056594543</v>
      </c>
      <c r="W7">
        <f>'by variable'!I1</f>
        <v>-0.86927704883479306</v>
      </c>
      <c r="X7">
        <f>'by variable'!I10</f>
        <v>-1.4200254377159631</v>
      </c>
      <c r="Y7">
        <f>'by variable'!I15</f>
        <v>-1.3659343656267435</v>
      </c>
      <c r="Z7">
        <f>'by variable'!I14</f>
        <v>-0.3656313483504931</v>
      </c>
      <c r="AA7">
        <f>'by variable'!I11</f>
        <v>-0.30241145595883423</v>
      </c>
      <c r="AC7" t="s">
        <v>509</v>
      </c>
      <c r="AD7">
        <v>63</v>
      </c>
      <c r="AE7">
        <v>-3.481409613499451</v>
      </c>
      <c r="AF7">
        <v>5.093523883755581</v>
      </c>
      <c r="AG7">
        <v>0.52617777382461706</v>
      </c>
      <c r="AH7">
        <v>6</v>
      </c>
    </row>
    <row r="8" spans="1:34" x14ac:dyDescent="0.25">
      <c r="A8" t="s">
        <v>512</v>
      </c>
      <c r="B8" s="8">
        <v>67</v>
      </c>
      <c r="L8" s="14" t="s">
        <v>525</v>
      </c>
      <c r="M8" s="8">
        <v>83</v>
      </c>
      <c r="N8" s="8">
        <v>74</v>
      </c>
      <c r="O8" s="8">
        <v>68</v>
      </c>
      <c r="P8" s="8">
        <v>67</v>
      </c>
      <c r="Q8" s="8">
        <v>66</v>
      </c>
      <c r="R8" s="8">
        <v>63</v>
      </c>
      <c r="S8" s="8">
        <v>63</v>
      </c>
      <c r="T8" s="8">
        <v>63</v>
      </c>
      <c r="U8" s="8">
        <v>59</v>
      </c>
      <c r="V8" s="8">
        <v>55</v>
      </c>
      <c r="W8" s="8">
        <v>48</v>
      </c>
      <c r="X8" s="8">
        <v>47</v>
      </c>
      <c r="Y8" s="8">
        <v>39</v>
      </c>
      <c r="Z8" s="8">
        <v>33</v>
      </c>
      <c r="AA8" s="8">
        <v>26</v>
      </c>
      <c r="AC8" t="s">
        <v>510</v>
      </c>
      <c r="AD8">
        <v>63</v>
      </c>
      <c r="AE8">
        <v>-3.4777382992392281</v>
      </c>
      <c r="AF8">
        <v>4.2867321612888798</v>
      </c>
      <c r="AG8">
        <v>-1.1625660781329878</v>
      </c>
      <c r="AH8">
        <v>7</v>
      </c>
    </row>
    <row r="9" spans="1:34" x14ac:dyDescent="0.25">
      <c r="A9" t="s">
        <v>513</v>
      </c>
      <c r="B9" s="8">
        <v>55</v>
      </c>
      <c r="AC9" t="s">
        <v>515</v>
      </c>
      <c r="AD9">
        <v>63</v>
      </c>
      <c r="AE9">
        <v>-3.6412835687649689</v>
      </c>
      <c r="AF9">
        <v>7.3893931669528206</v>
      </c>
      <c r="AG9">
        <v>0.80763182029793068</v>
      </c>
      <c r="AH9">
        <v>8</v>
      </c>
    </row>
    <row r="10" spans="1:34" x14ac:dyDescent="0.25">
      <c r="A10" t="s">
        <v>514</v>
      </c>
      <c r="B10" s="8">
        <v>74</v>
      </c>
      <c r="M10" t="s">
        <v>511</v>
      </c>
      <c r="N10" t="s">
        <v>514</v>
      </c>
      <c r="O10" t="s">
        <v>519</v>
      </c>
      <c r="P10" t="s">
        <v>512</v>
      </c>
      <c r="Q10" t="s">
        <v>516</v>
      </c>
      <c r="R10" t="s">
        <v>509</v>
      </c>
      <c r="S10" t="s">
        <v>510</v>
      </c>
      <c r="T10" t="s">
        <v>515</v>
      </c>
      <c r="U10" t="s">
        <v>520</v>
      </c>
      <c r="V10" t="s">
        <v>513</v>
      </c>
      <c r="W10" t="s">
        <v>508</v>
      </c>
      <c r="X10" t="s">
        <v>517</v>
      </c>
      <c r="Y10" t="s">
        <v>522</v>
      </c>
      <c r="Z10" t="s">
        <v>521</v>
      </c>
      <c r="AA10" t="s">
        <v>518</v>
      </c>
      <c r="AC10" t="s">
        <v>520</v>
      </c>
      <c r="AD10">
        <v>59</v>
      </c>
      <c r="AE10">
        <v>-5.9801367690983893</v>
      </c>
      <c r="AF10">
        <v>3.486335274539607</v>
      </c>
      <c r="AG10">
        <v>0.78434040342273037</v>
      </c>
      <c r="AH10">
        <v>9</v>
      </c>
    </row>
    <row r="11" spans="1:34" x14ac:dyDescent="0.25">
      <c r="A11" t="s">
        <v>515</v>
      </c>
      <c r="B11" s="8">
        <v>63</v>
      </c>
      <c r="M11">
        <v>83</v>
      </c>
      <c r="N11">
        <v>74</v>
      </c>
      <c r="O11">
        <v>68</v>
      </c>
      <c r="P11">
        <v>67</v>
      </c>
      <c r="Q11">
        <v>66</v>
      </c>
      <c r="R11">
        <v>63</v>
      </c>
      <c r="S11">
        <v>63</v>
      </c>
      <c r="T11">
        <v>63</v>
      </c>
      <c r="U11">
        <v>59</v>
      </c>
      <c r="V11">
        <v>55</v>
      </c>
      <c r="W11">
        <v>48</v>
      </c>
      <c r="X11">
        <v>47</v>
      </c>
      <c r="Y11">
        <v>39</v>
      </c>
      <c r="Z11">
        <v>33</v>
      </c>
      <c r="AA11">
        <v>26</v>
      </c>
      <c r="AC11" t="s">
        <v>513</v>
      </c>
      <c r="AD11">
        <v>55</v>
      </c>
      <c r="AE11">
        <v>-5.7829556296621742</v>
      </c>
      <c r="AF11">
        <v>2.7675681642708989</v>
      </c>
      <c r="AG11">
        <v>-1.29730056594543</v>
      </c>
      <c r="AH11">
        <v>10</v>
      </c>
    </row>
    <row r="12" spans="1:34" x14ac:dyDescent="0.25">
      <c r="A12" t="s">
        <v>516</v>
      </c>
      <c r="B12" s="8">
        <v>66</v>
      </c>
      <c r="M12">
        <v>0.41363275379395292</v>
      </c>
      <c r="N12">
        <v>-5.814523110402825</v>
      </c>
      <c r="O12">
        <v>-16.38986519013347</v>
      </c>
      <c r="P12">
        <v>-4.3380368186383844</v>
      </c>
      <c r="Q12">
        <v>-6.1170460512076534</v>
      </c>
      <c r="R12">
        <v>-3.481409613499451</v>
      </c>
      <c r="S12">
        <v>-3.4777382992392281</v>
      </c>
      <c r="T12">
        <v>-3.6412835687649689</v>
      </c>
      <c r="U12">
        <v>-5.9801367690983893</v>
      </c>
      <c r="V12">
        <v>-5.7829556296621742</v>
      </c>
      <c r="W12">
        <v>-3.446168606598135</v>
      </c>
      <c r="X12">
        <v>-2.289757017921167</v>
      </c>
      <c r="Y12">
        <v>-2.1579334328948119</v>
      </c>
      <c r="Z12">
        <v>-0.64893982081852497</v>
      </c>
      <c r="AA12">
        <v>-0.56575731660484163</v>
      </c>
      <c r="AC12" t="s">
        <v>508</v>
      </c>
      <c r="AD12">
        <v>48</v>
      </c>
      <c r="AE12">
        <v>-3.446168606598135</v>
      </c>
      <c r="AF12">
        <v>-0.2407050269126508</v>
      </c>
      <c r="AG12">
        <v>-0.86927704883479306</v>
      </c>
      <c r="AH12">
        <v>11</v>
      </c>
    </row>
    <row r="13" spans="1:34" x14ac:dyDescent="0.25">
      <c r="A13" t="s">
        <v>517</v>
      </c>
      <c r="B13" s="8">
        <v>47</v>
      </c>
      <c r="M13">
        <v>4.5888591971096986</v>
      </c>
      <c r="N13">
        <v>6.2043676731075124</v>
      </c>
      <c r="O13">
        <v>7.16445780143939</v>
      </c>
      <c r="P13">
        <v>8.0323881681884686</v>
      </c>
      <c r="Q13">
        <v>3.7742479030274509</v>
      </c>
      <c r="R13">
        <v>5.093523883755581</v>
      </c>
      <c r="S13">
        <v>4.2867321612888798</v>
      </c>
      <c r="T13">
        <v>7.3893931669528206</v>
      </c>
      <c r="U13">
        <v>3.486335274539607</v>
      </c>
      <c r="V13">
        <v>2.7675681642708989</v>
      </c>
      <c r="W13">
        <v>-0.2407050269126508</v>
      </c>
      <c r="X13">
        <v>0.68219792658801559</v>
      </c>
      <c r="Y13">
        <v>-0.46063329460024788</v>
      </c>
      <c r="Z13">
        <v>-0.19678766353304819</v>
      </c>
      <c r="AA13">
        <v>-0.20491190142881599</v>
      </c>
      <c r="AC13" t="s">
        <v>517</v>
      </c>
      <c r="AD13">
        <v>47</v>
      </c>
      <c r="AE13">
        <v>-2.289757017921167</v>
      </c>
      <c r="AF13">
        <v>0.68219792658801559</v>
      </c>
      <c r="AG13">
        <v>-1.4200254377159631</v>
      </c>
      <c r="AH13">
        <v>12</v>
      </c>
    </row>
    <row r="14" spans="1:34" x14ac:dyDescent="0.25">
      <c r="A14" t="s">
        <v>518</v>
      </c>
      <c r="B14" s="8">
        <v>26</v>
      </c>
      <c r="M14">
        <v>1.8706096391798539</v>
      </c>
      <c r="N14">
        <v>-0.85263756775742272</v>
      </c>
      <c r="O14">
        <v>1.8836030391243019</v>
      </c>
      <c r="P14">
        <v>4.1999309079796363E-2</v>
      </c>
      <c r="Q14">
        <v>-0.97858702568329992</v>
      </c>
      <c r="R14">
        <v>0.52617777382461706</v>
      </c>
      <c r="S14">
        <v>-1.1625660781329878</v>
      </c>
      <c r="T14">
        <v>0.80763182029793068</v>
      </c>
      <c r="U14">
        <v>0.78434040342273037</v>
      </c>
      <c r="V14">
        <v>-1.29730056594543</v>
      </c>
      <c r="W14">
        <v>-0.86927704883479306</v>
      </c>
      <c r="X14">
        <v>-1.4200254377159631</v>
      </c>
      <c r="Y14">
        <v>-1.3659343656267435</v>
      </c>
      <c r="Z14">
        <v>-0.3656313483504931</v>
      </c>
      <c r="AA14">
        <v>-0.30241145595883423</v>
      </c>
      <c r="AC14" t="s">
        <v>522</v>
      </c>
      <c r="AD14">
        <v>39</v>
      </c>
      <c r="AE14">
        <v>-2.1579334328948119</v>
      </c>
      <c r="AF14">
        <v>-0.46063329460024788</v>
      </c>
      <c r="AG14">
        <v>-1.3659343656267435</v>
      </c>
      <c r="AH14">
        <v>13</v>
      </c>
    </row>
    <row r="15" spans="1:34" x14ac:dyDescent="0.25">
      <c r="A15" t="s">
        <v>519</v>
      </c>
      <c r="B15" s="8">
        <v>68</v>
      </c>
      <c r="AC15" t="s">
        <v>521</v>
      </c>
      <c r="AD15">
        <v>33</v>
      </c>
      <c r="AE15">
        <v>-0.64893982081852497</v>
      </c>
      <c r="AF15">
        <v>-0.19678766353304819</v>
      </c>
      <c r="AG15">
        <v>-0.3656313483504931</v>
      </c>
      <c r="AH15">
        <v>14</v>
      </c>
    </row>
    <row r="16" spans="1:34" x14ac:dyDescent="0.25">
      <c r="A16" t="s">
        <v>520</v>
      </c>
      <c r="B16" s="8">
        <v>59</v>
      </c>
      <c r="AC16" t="s">
        <v>518</v>
      </c>
      <c r="AD16">
        <v>26</v>
      </c>
      <c r="AE16">
        <v>-0.56575731660484163</v>
      </c>
      <c r="AF16">
        <v>-0.20491190142881599</v>
      </c>
      <c r="AG16">
        <v>-0.30241145595883423</v>
      </c>
      <c r="AH16">
        <v>15</v>
      </c>
    </row>
    <row r="17" spans="1:2" x14ac:dyDescent="0.25">
      <c r="A17" t="s">
        <v>521</v>
      </c>
      <c r="B17" s="8">
        <v>33</v>
      </c>
    </row>
    <row r="18" spans="1:2" x14ac:dyDescent="0.25">
      <c r="A18" t="s">
        <v>522</v>
      </c>
      <c r="B18" s="8">
        <v>39</v>
      </c>
    </row>
  </sheetData>
  <sortState ref="AC1:AD18">
    <sortCondition descending="1" ref="AD1:AD18"/>
  </sortState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54"/>
  <sheetViews>
    <sheetView topLeftCell="A489" zoomScale="85" zoomScaleNormal="85" workbookViewId="0">
      <selection sqref="A1:A368"/>
    </sheetView>
  </sheetViews>
  <sheetFormatPr defaultRowHeight="15" x14ac:dyDescent="0.25"/>
  <cols>
    <col min="2" max="2" width="8.7109375" style="12"/>
    <col min="15" max="15" width="9.140625" style="12"/>
  </cols>
  <sheetData>
    <row r="1" spans="1:21" x14ac:dyDescent="0.25">
      <c r="A1" t="s">
        <v>508</v>
      </c>
      <c r="B1" s="11">
        <v>-0.45696206949352802</v>
      </c>
      <c r="C1" s="3">
        <v>0.22870846034528461</v>
      </c>
      <c r="F1" t="s">
        <v>508</v>
      </c>
      <c r="G1">
        <f>MIN(B1:B48)</f>
        <v>-3.446168606598135</v>
      </c>
      <c r="H1">
        <f>MAX(B1:B48)</f>
        <v>-0.2407050269126508</v>
      </c>
      <c r="I1">
        <f>AVERAGE(B1:B48)</f>
        <v>-0.86927704883479306</v>
      </c>
      <c r="L1" s="12"/>
      <c r="M1" s="11"/>
      <c r="N1" s="11"/>
      <c r="O1" s="12" t="s">
        <v>511</v>
      </c>
      <c r="R1" t="s">
        <v>511</v>
      </c>
      <c r="S1" s="11">
        <v>2.237518399194474</v>
      </c>
      <c r="T1" s="3">
        <v>0.22870846034528461</v>
      </c>
      <c r="U1" t="s">
        <v>530</v>
      </c>
    </row>
    <row r="2" spans="1:21" x14ac:dyDescent="0.25">
      <c r="A2" t="s">
        <v>508</v>
      </c>
      <c r="B2" s="11">
        <v>-0.74749899254574081</v>
      </c>
      <c r="C2" s="3">
        <v>0.45541967084629342</v>
      </c>
      <c r="F2" t="s">
        <v>509</v>
      </c>
      <c r="G2">
        <f>MIN(B49:B111)</f>
        <v>-3.481409613499451</v>
      </c>
      <c r="H2">
        <f>MAX(B49:B111)</f>
        <v>5.093523883755581</v>
      </c>
      <c r="I2">
        <f>AVERAGE(B49:B111)</f>
        <v>0.52617777382461706</v>
      </c>
      <c r="L2" s="12"/>
      <c r="M2" s="11"/>
      <c r="N2" s="11"/>
      <c r="O2" s="12" t="s">
        <v>514</v>
      </c>
      <c r="R2" t="s">
        <v>511</v>
      </c>
      <c r="S2" s="11">
        <v>2.2927592666720482</v>
      </c>
      <c r="T2" s="3">
        <v>0.17826894991460529</v>
      </c>
      <c r="U2" t="s">
        <v>530</v>
      </c>
    </row>
    <row r="3" spans="1:21" x14ac:dyDescent="0.25">
      <c r="A3" t="s">
        <v>508</v>
      </c>
      <c r="B3" s="11">
        <v>-1.5581219972256539</v>
      </c>
      <c r="C3" s="3">
        <v>0.49507328748030371</v>
      </c>
      <c r="F3" t="s">
        <v>510</v>
      </c>
      <c r="G3">
        <f>MIN(B112:B174)</f>
        <v>-3.4777382992392281</v>
      </c>
      <c r="H3">
        <f>MAX(B112:B174)</f>
        <v>4.2867321612888798</v>
      </c>
      <c r="I3">
        <f>AVERAGE(B112:B174)</f>
        <v>-1.1625660781329878</v>
      </c>
      <c r="L3" s="12"/>
      <c r="M3" s="11"/>
      <c r="N3" s="11"/>
      <c r="O3" s="12" t="s">
        <v>519</v>
      </c>
      <c r="R3" t="s">
        <v>511</v>
      </c>
      <c r="S3" s="11">
        <v>0.89072927117190537</v>
      </c>
      <c r="T3" s="3">
        <v>0.1184825353029758</v>
      </c>
      <c r="U3" t="s">
        <v>530</v>
      </c>
    </row>
    <row r="4" spans="1:21" x14ac:dyDescent="0.25">
      <c r="A4" t="s">
        <v>508</v>
      </c>
      <c r="B4" s="11">
        <v>-0.59896323234112292</v>
      </c>
      <c r="C4" s="3">
        <v>0.45483383074542522</v>
      </c>
      <c r="F4" t="s">
        <v>511</v>
      </c>
      <c r="G4">
        <f>MIN(B175:B257)</f>
        <v>0.41363275379395292</v>
      </c>
      <c r="H4">
        <f>MAX(B175:B257)</f>
        <v>4.5888591971096986</v>
      </c>
      <c r="I4">
        <f>AVERAGE(B175:B257)</f>
        <v>1.8706096391798539</v>
      </c>
      <c r="L4" s="12"/>
      <c r="M4" s="11"/>
      <c r="N4" s="11"/>
      <c r="O4" s="12" t="s">
        <v>512</v>
      </c>
      <c r="R4" t="s">
        <v>511</v>
      </c>
      <c r="S4" s="11">
        <v>1.1572844529361019</v>
      </c>
      <c r="T4" s="3">
        <v>0.41318683633122649</v>
      </c>
      <c r="U4" t="s">
        <v>530</v>
      </c>
    </row>
    <row r="5" spans="1:21" x14ac:dyDescent="0.25">
      <c r="A5" t="s">
        <v>508</v>
      </c>
      <c r="B5" s="11">
        <v>-1.1487812989509181</v>
      </c>
      <c r="C5" s="3">
        <v>0.59529622921894798</v>
      </c>
      <c r="F5" t="s">
        <v>512</v>
      </c>
      <c r="G5">
        <f>MIN(B258:B324)</f>
        <v>-4.3380368186383844</v>
      </c>
      <c r="H5">
        <f>MAX(B258:B324)</f>
        <v>8.0323881681884686</v>
      </c>
      <c r="I5">
        <f>AVERAGE(B258:B324)</f>
        <v>4.1999309079796363E-2</v>
      </c>
      <c r="L5" s="12"/>
      <c r="M5" s="11"/>
      <c r="N5" s="11"/>
      <c r="O5" s="12" t="s">
        <v>516</v>
      </c>
      <c r="R5" t="s">
        <v>511</v>
      </c>
      <c r="S5" s="11">
        <v>1.975859481571274</v>
      </c>
      <c r="T5" s="3">
        <v>0.45541967084629342</v>
      </c>
      <c r="U5" t="s">
        <v>530</v>
      </c>
    </row>
    <row r="6" spans="1:21" x14ac:dyDescent="0.25">
      <c r="A6" t="s">
        <v>508</v>
      </c>
      <c r="B6" s="11">
        <v>-2.2374106342486999</v>
      </c>
      <c r="C6" s="3">
        <v>0.81618489217664858</v>
      </c>
      <c r="F6" t="s">
        <v>513</v>
      </c>
      <c r="G6">
        <f>MIN(B325:B379)</f>
        <v>-5.7829556296621742</v>
      </c>
      <c r="H6">
        <f>MAX(B325:B379)</f>
        <v>2.7675681642708989</v>
      </c>
      <c r="I6">
        <f>AVERAGE(B325:B379)</f>
        <v>-1.29730056594543</v>
      </c>
      <c r="L6" s="12"/>
      <c r="M6" s="11"/>
      <c r="N6" s="11"/>
      <c r="O6" s="12" t="s">
        <v>509</v>
      </c>
      <c r="R6" t="s">
        <v>511</v>
      </c>
      <c r="S6" s="11">
        <v>2.042783465842601</v>
      </c>
      <c r="T6" s="3">
        <v>0.49507328748030371</v>
      </c>
      <c r="U6" t="s">
        <v>530</v>
      </c>
    </row>
    <row r="7" spans="1:21" x14ac:dyDescent="0.25">
      <c r="A7" t="s">
        <v>508</v>
      </c>
      <c r="B7" s="11">
        <v>-0.83667616101502773</v>
      </c>
      <c r="C7" s="3">
        <v>0.1899297237265645</v>
      </c>
      <c r="F7" t="s">
        <v>514</v>
      </c>
      <c r="G7">
        <f>MIN(B380:B453)</f>
        <v>-5.814523110402825</v>
      </c>
      <c r="H7">
        <f>MAX(B380:B453)</f>
        <v>6.2043676731075124</v>
      </c>
      <c r="I7">
        <f>AVERAGE(B380:B453)</f>
        <v>-0.85263756775742272</v>
      </c>
      <c r="L7" s="12"/>
      <c r="M7" s="11"/>
      <c r="N7" s="11"/>
      <c r="O7" s="12" t="s">
        <v>510</v>
      </c>
      <c r="R7" t="s">
        <v>511</v>
      </c>
      <c r="S7" s="11">
        <v>1.1813747745860641</v>
      </c>
      <c r="T7" s="3">
        <v>0.1899297237265645</v>
      </c>
      <c r="U7" t="s">
        <v>530</v>
      </c>
    </row>
    <row r="8" spans="1:21" x14ac:dyDescent="0.25">
      <c r="A8" t="s">
        <v>508</v>
      </c>
      <c r="B8" s="11">
        <v>-0.31102325633392558</v>
      </c>
      <c r="C8" s="3">
        <v>0.56996931103138504</v>
      </c>
      <c r="F8" t="s">
        <v>515</v>
      </c>
      <c r="G8">
        <f>MIN(B454:B516)</f>
        <v>-3.6412835687649689</v>
      </c>
      <c r="H8">
        <f>MAX(B454:B516)</f>
        <v>7.3893931669528206</v>
      </c>
      <c r="I8">
        <f>AVERAGE(B454:B516)</f>
        <v>0.80763182029793068</v>
      </c>
      <c r="L8" s="12"/>
      <c r="M8" s="11"/>
      <c r="N8" s="11"/>
      <c r="O8" s="12" t="s">
        <v>515</v>
      </c>
      <c r="R8" t="s">
        <v>511</v>
      </c>
      <c r="S8" s="11">
        <v>2.097775054108951</v>
      </c>
      <c r="T8" s="3">
        <v>0.13939834915146149</v>
      </c>
      <c r="U8" t="s">
        <v>530</v>
      </c>
    </row>
    <row r="9" spans="1:21" x14ac:dyDescent="0.25">
      <c r="A9" t="s">
        <v>508</v>
      </c>
      <c r="B9" s="11">
        <v>-0.76490813049210404</v>
      </c>
      <c r="C9" s="3">
        <v>0.7960755495187013</v>
      </c>
      <c r="F9" t="s">
        <v>516</v>
      </c>
      <c r="G9">
        <f>MIN(B517:B582)</f>
        <v>-6.1170460512076534</v>
      </c>
      <c r="H9">
        <f>MAX(B517:B582)</f>
        <v>3.7742479030274509</v>
      </c>
      <c r="I9">
        <f>AVERAGE(B517:B582)</f>
        <v>-0.97858702568329992</v>
      </c>
      <c r="L9" s="12"/>
      <c r="M9" s="11"/>
      <c r="N9" s="11"/>
      <c r="O9" s="12" t="s">
        <v>520</v>
      </c>
      <c r="R9" t="s">
        <v>511</v>
      </c>
      <c r="S9" s="11">
        <v>2.5820829363854698</v>
      </c>
      <c r="T9" s="3">
        <v>0.56996931103138504</v>
      </c>
      <c r="U9" t="s">
        <v>530</v>
      </c>
    </row>
    <row r="10" spans="1:21" x14ac:dyDescent="0.25">
      <c r="A10" t="s">
        <v>508</v>
      </c>
      <c r="B10" s="11">
        <v>-0.3256959593048952</v>
      </c>
      <c r="C10" s="3">
        <v>0.21869162198824671</v>
      </c>
      <c r="F10" t="s">
        <v>517</v>
      </c>
      <c r="G10">
        <f>MIN(B583:B629)</f>
        <v>-2.289757017921167</v>
      </c>
      <c r="H10">
        <f>MAX(B583:B629)</f>
        <v>0.68219792658801559</v>
      </c>
      <c r="I10">
        <f>AVERAGE(B583:B629)</f>
        <v>-1.4200254377159631</v>
      </c>
      <c r="L10" s="12"/>
      <c r="M10" s="11"/>
      <c r="N10" s="11"/>
      <c r="O10" s="12" t="s">
        <v>513</v>
      </c>
      <c r="R10" t="s">
        <v>511</v>
      </c>
      <c r="S10" s="11">
        <v>4.5888591971096986</v>
      </c>
      <c r="T10" s="3">
        <v>0.93425399770073236</v>
      </c>
      <c r="U10" t="s">
        <v>530</v>
      </c>
    </row>
    <row r="11" spans="1:21" x14ac:dyDescent="0.25">
      <c r="A11" t="s">
        <v>508</v>
      </c>
      <c r="B11" s="11">
        <v>-0.66187798820525734</v>
      </c>
      <c r="C11" s="3">
        <v>0.16241031752135329</v>
      </c>
      <c r="F11" t="s">
        <v>518</v>
      </c>
      <c r="G11">
        <f>MIN(B630:B655)</f>
        <v>-0.56575731660484163</v>
      </c>
      <c r="H11">
        <f>MAX(B630:B655)</f>
        <v>-0.20491190142881599</v>
      </c>
      <c r="I11">
        <f>AVERAGE(B630:B655)</f>
        <v>-0.30241145595883423</v>
      </c>
      <c r="L11" s="12"/>
      <c r="M11" s="11"/>
      <c r="N11" s="11"/>
      <c r="O11" s="12" t="s">
        <v>508</v>
      </c>
      <c r="R11" t="s">
        <v>511</v>
      </c>
      <c r="S11" s="11">
        <v>2.0257029654388128</v>
      </c>
      <c r="T11" s="3">
        <v>0.25494149402139399</v>
      </c>
      <c r="U11" t="s">
        <v>530</v>
      </c>
    </row>
    <row r="12" spans="1:21" x14ac:dyDescent="0.25">
      <c r="A12" t="s">
        <v>508</v>
      </c>
      <c r="B12" s="11">
        <v>-0.2407050269126508</v>
      </c>
      <c r="C12" s="3">
        <v>0.20311040955114479</v>
      </c>
      <c r="F12" t="s">
        <v>519</v>
      </c>
      <c r="G12">
        <f>MIN(B656:B723)</f>
        <v>-16.38986519013347</v>
      </c>
      <c r="H12">
        <f>MAX(B656:B723)</f>
        <v>7.16445780143939</v>
      </c>
      <c r="I12">
        <f>AVERAGE(B656:B723)</f>
        <v>1.8836030391243019</v>
      </c>
      <c r="L12" s="12"/>
      <c r="M12" s="11"/>
      <c r="N12" s="11"/>
      <c r="O12" s="12" t="s">
        <v>517</v>
      </c>
      <c r="R12" t="s">
        <v>511</v>
      </c>
      <c r="S12" s="11">
        <v>3.3150203899875241</v>
      </c>
      <c r="T12" s="3">
        <v>0.46643423991917787</v>
      </c>
      <c r="U12" t="s">
        <v>530</v>
      </c>
    </row>
    <row r="13" spans="1:21" x14ac:dyDescent="0.25">
      <c r="A13" t="s">
        <v>508</v>
      </c>
      <c r="B13" s="11">
        <v>-0.76521965285913018</v>
      </c>
      <c r="C13" s="3">
        <v>0.21844847365283029</v>
      </c>
      <c r="F13" t="s">
        <v>520</v>
      </c>
      <c r="G13">
        <f>MIN(B724:B782)</f>
        <v>-5.9801367690983893</v>
      </c>
      <c r="H13">
        <f>MAX(B724:B782)</f>
        <v>3.486335274539607</v>
      </c>
      <c r="I13">
        <f>AVERAGE(B724:B782)</f>
        <v>0.78434040342273037</v>
      </c>
      <c r="L13" s="12"/>
      <c r="M13" s="11"/>
      <c r="N13" s="11"/>
      <c r="O13" s="12" t="s">
        <v>522</v>
      </c>
      <c r="R13" t="s">
        <v>511</v>
      </c>
      <c r="S13" s="11">
        <v>1.448141674792319</v>
      </c>
      <c r="T13" s="3">
        <v>0.79241537964468156</v>
      </c>
      <c r="U13" t="s">
        <v>530</v>
      </c>
    </row>
    <row r="14" spans="1:21" x14ac:dyDescent="0.25">
      <c r="A14" t="s">
        <v>508</v>
      </c>
      <c r="B14" s="11">
        <v>-0.41123220716338388</v>
      </c>
      <c r="C14" s="3">
        <v>0.1304210889068497</v>
      </c>
      <c r="F14" t="s">
        <v>521</v>
      </c>
      <c r="G14">
        <f>MIN(B783:B815)</f>
        <v>-0.64893982081852497</v>
      </c>
      <c r="H14">
        <f>MAX(B783:B815)</f>
        <v>-0.19678766353304819</v>
      </c>
      <c r="I14">
        <f>AVERAGE(B783:B815)</f>
        <v>-0.3656313483504931</v>
      </c>
      <c r="L14" s="12"/>
      <c r="M14" s="11"/>
      <c r="N14" s="11"/>
      <c r="O14" s="12" t="s">
        <v>521</v>
      </c>
      <c r="R14" t="s">
        <v>511</v>
      </c>
      <c r="S14" s="11">
        <v>0.74169140218991736</v>
      </c>
      <c r="T14" s="3">
        <v>0.20311040955114479</v>
      </c>
      <c r="U14" t="s">
        <v>530</v>
      </c>
    </row>
    <row r="15" spans="1:21" x14ac:dyDescent="0.25">
      <c r="A15" t="s">
        <v>508</v>
      </c>
      <c r="B15" s="11">
        <v>-0.73037351008144613</v>
      </c>
      <c r="C15" s="3">
        <v>0.1158538748540241</v>
      </c>
      <c r="F15" t="s">
        <v>522</v>
      </c>
      <c r="G15">
        <f>MIN(B816:B854)</f>
        <v>-2.1579334328948119</v>
      </c>
      <c r="H15">
        <f>MAX(B816:B854)</f>
        <v>-0.46063329460024788</v>
      </c>
      <c r="I15">
        <f>AVERAGE(B816:B854)</f>
        <v>-1.3659343656267435</v>
      </c>
      <c r="L15" s="12"/>
      <c r="M15" s="11"/>
      <c r="N15" s="11"/>
      <c r="O15" s="12" t="s">
        <v>518</v>
      </c>
      <c r="R15" t="s">
        <v>511</v>
      </c>
      <c r="S15" s="11">
        <v>1.291086225137333</v>
      </c>
      <c r="T15" s="3">
        <v>0.21844847365283029</v>
      </c>
      <c r="U15" t="s">
        <v>530</v>
      </c>
    </row>
    <row r="16" spans="1:21" x14ac:dyDescent="0.25">
      <c r="A16" t="s">
        <v>508</v>
      </c>
      <c r="B16" s="11">
        <v>-1.647159436597311</v>
      </c>
      <c r="C16" s="3">
        <v>0.1192093376137723</v>
      </c>
      <c r="L16" s="12"/>
      <c r="M16" s="11"/>
      <c r="N16" s="11"/>
      <c r="R16" t="s">
        <v>511</v>
      </c>
      <c r="S16" s="11">
        <v>2.366858493952182</v>
      </c>
      <c r="T16" s="3">
        <v>0.1304210889068497</v>
      </c>
      <c r="U16" t="s">
        <v>530</v>
      </c>
    </row>
    <row r="17" spans="1:21" x14ac:dyDescent="0.25">
      <c r="A17" t="s">
        <v>508</v>
      </c>
      <c r="B17" s="11">
        <v>-0.31990222524818063</v>
      </c>
      <c r="C17" s="3">
        <v>0.20296775667489009</v>
      </c>
      <c r="L17" s="12"/>
      <c r="M17" s="11"/>
      <c r="N17" s="11"/>
      <c r="R17" t="s">
        <v>511</v>
      </c>
      <c r="S17" s="11">
        <v>0.93769256122473732</v>
      </c>
      <c r="T17" s="3">
        <v>0.25219406014368551</v>
      </c>
      <c r="U17" t="s">
        <v>530</v>
      </c>
    </row>
    <row r="18" spans="1:21" x14ac:dyDescent="0.25">
      <c r="A18" t="s">
        <v>508</v>
      </c>
      <c r="B18" s="11">
        <v>-1.408426295215631</v>
      </c>
      <c r="C18" s="3">
        <v>0.28070261930077622</v>
      </c>
      <c r="L18" s="12"/>
      <c r="M18" s="11"/>
      <c r="N18" s="11"/>
      <c r="R18" t="s">
        <v>511</v>
      </c>
      <c r="S18" s="11">
        <v>2.081304470981014</v>
      </c>
      <c r="T18" s="3">
        <v>0.24155574839601629</v>
      </c>
      <c r="U18" t="s">
        <v>530</v>
      </c>
    </row>
    <row r="19" spans="1:21" x14ac:dyDescent="0.25">
      <c r="A19" t="s">
        <v>508</v>
      </c>
      <c r="B19" s="11">
        <v>-0.64954597186176577</v>
      </c>
      <c r="C19" s="3">
        <v>0.40433955316321268</v>
      </c>
      <c r="L19" s="12"/>
      <c r="M19" s="11"/>
      <c r="N19" s="11"/>
      <c r="R19" t="s">
        <v>511</v>
      </c>
      <c r="S19" s="11">
        <v>1.389539114899438</v>
      </c>
      <c r="T19" s="3">
        <v>0.31548093049619752</v>
      </c>
      <c r="U19" t="s">
        <v>530</v>
      </c>
    </row>
    <row r="20" spans="1:21" x14ac:dyDescent="0.25">
      <c r="A20" t="s">
        <v>508</v>
      </c>
      <c r="B20" s="11">
        <v>-1.3909032519785021</v>
      </c>
      <c r="C20" s="3">
        <v>0.92948158652986834</v>
      </c>
      <c r="L20" s="12"/>
      <c r="M20" s="11"/>
      <c r="N20" s="11"/>
      <c r="R20" t="s">
        <v>511</v>
      </c>
      <c r="S20" s="11">
        <v>0.91545469065448359</v>
      </c>
      <c r="T20" s="3">
        <v>0.15383559011563189</v>
      </c>
      <c r="U20" t="s">
        <v>530</v>
      </c>
    </row>
    <row r="21" spans="1:21" x14ac:dyDescent="0.25">
      <c r="A21" t="s">
        <v>508</v>
      </c>
      <c r="B21" s="11">
        <v>-0.87020845926520329</v>
      </c>
      <c r="C21" s="3">
        <v>0.35397557954965891</v>
      </c>
      <c r="L21" s="12"/>
      <c r="M21" s="11"/>
      <c r="N21" s="11"/>
      <c r="R21" t="s">
        <v>511</v>
      </c>
      <c r="S21" s="11">
        <v>1.9323212516740551</v>
      </c>
      <c r="T21" s="3">
        <v>0.1158538748540241</v>
      </c>
      <c r="U21" t="s">
        <v>530</v>
      </c>
    </row>
    <row r="22" spans="1:21" x14ac:dyDescent="0.25">
      <c r="A22" t="s">
        <v>508</v>
      </c>
      <c r="B22" s="11">
        <v>-0.73250849547157448</v>
      </c>
      <c r="C22" s="3">
        <v>0.1705724192823794</v>
      </c>
      <c r="L22" s="12"/>
      <c r="M22" s="11"/>
      <c r="N22" s="11"/>
      <c r="R22" t="s">
        <v>511</v>
      </c>
      <c r="S22" s="11">
        <v>1.1019670962416901</v>
      </c>
      <c r="T22" s="3">
        <v>0.35397557954965891</v>
      </c>
      <c r="U22" t="s">
        <v>530</v>
      </c>
    </row>
    <row r="23" spans="1:21" x14ac:dyDescent="0.25">
      <c r="A23" t="s">
        <v>508</v>
      </c>
      <c r="B23" s="11">
        <v>-2.1866337269569249</v>
      </c>
      <c r="C23" s="3">
        <v>0.92366180927910158</v>
      </c>
      <c r="L23" s="12"/>
      <c r="M23" s="11"/>
      <c r="N23" s="11"/>
      <c r="R23" t="s">
        <v>511</v>
      </c>
      <c r="S23" s="11">
        <v>4.0756628565449171</v>
      </c>
      <c r="T23" s="3">
        <v>0.70283952218119539</v>
      </c>
      <c r="U23" t="s">
        <v>530</v>
      </c>
    </row>
    <row r="24" spans="1:21" x14ac:dyDescent="0.25">
      <c r="A24" t="s">
        <v>508</v>
      </c>
      <c r="B24" s="11">
        <v>-0.73322068438001775</v>
      </c>
      <c r="C24" s="3">
        <v>0.44835388907017598</v>
      </c>
      <c r="L24" s="12"/>
      <c r="M24" s="11"/>
      <c r="N24" s="11"/>
      <c r="R24" t="s">
        <v>511</v>
      </c>
      <c r="S24" s="11">
        <v>2.0252217480813721</v>
      </c>
      <c r="T24" s="3">
        <v>0.1705724192823794</v>
      </c>
      <c r="U24" t="s">
        <v>530</v>
      </c>
    </row>
    <row r="25" spans="1:21" x14ac:dyDescent="0.25">
      <c r="A25" t="s">
        <v>508</v>
      </c>
      <c r="B25" s="11">
        <v>-0.58176155556886089</v>
      </c>
      <c r="C25" s="3">
        <v>0.60240763309890277</v>
      </c>
      <c r="L25" s="12"/>
      <c r="M25" s="11"/>
      <c r="N25" s="11"/>
      <c r="R25" t="s">
        <v>511</v>
      </c>
      <c r="S25" s="11">
        <v>3.2530936155538179</v>
      </c>
      <c r="T25" s="3">
        <v>0.67250802584224512</v>
      </c>
      <c r="U25" t="s">
        <v>530</v>
      </c>
    </row>
    <row r="26" spans="1:21" x14ac:dyDescent="0.25">
      <c r="A26" t="s">
        <v>508</v>
      </c>
      <c r="B26" s="11">
        <v>-1.0099431466971349</v>
      </c>
      <c r="C26" s="3">
        <v>0.20949723418173821</v>
      </c>
      <c r="L26" s="12"/>
      <c r="M26" s="11"/>
      <c r="N26" s="11"/>
      <c r="R26" t="s">
        <v>511</v>
      </c>
      <c r="S26" s="11">
        <v>2.8180983349826292</v>
      </c>
      <c r="T26" s="3">
        <v>0.1322829447055649</v>
      </c>
      <c r="U26" t="s">
        <v>530</v>
      </c>
    </row>
    <row r="27" spans="1:21" x14ac:dyDescent="0.25">
      <c r="A27" t="s">
        <v>508</v>
      </c>
      <c r="B27" s="11">
        <v>-0.91213094160824937</v>
      </c>
      <c r="C27" s="3">
        <v>0.7506286660757433</v>
      </c>
      <c r="L27" s="12"/>
      <c r="M27" s="11"/>
      <c r="N27" s="11"/>
      <c r="R27" t="s">
        <v>511</v>
      </c>
      <c r="S27" s="11">
        <v>2.235600452483399</v>
      </c>
      <c r="T27" s="3">
        <v>0.60240763309890277</v>
      </c>
      <c r="U27" t="s">
        <v>530</v>
      </c>
    </row>
    <row r="28" spans="1:21" x14ac:dyDescent="0.25">
      <c r="A28" t="s">
        <v>508</v>
      </c>
      <c r="B28" s="11">
        <v>-0.93140767622855969</v>
      </c>
      <c r="C28" s="3">
        <v>0.20400464726331169</v>
      </c>
      <c r="L28" s="12"/>
      <c r="M28" s="11"/>
      <c r="N28" s="11"/>
      <c r="R28" t="s">
        <v>511</v>
      </c>
      <c r="S28" s="11">
        <v>0.66212050717150506</v>
      </c>
      <c r="T28" s="3">
        <v>0.72601770791125975</v>
      </c>
      <c r="U28" t="s">
        <v>530</v>
      </c>
    </row>
    <row r="29" spans="1:21" x14ac:dyDescent="0.25">
      <c r="A29" t="s">
        <v>508</v>
      </c>
      <c r="B29" s="11">
        <v>-0.63903903323138711</v>
      </c>
      <c r="C29" s="3">
        <v>0.1010331424755098</v>
      </c>
      <c r="L29" s="12"/>
      <c r="M29" s="11"/>
      <c r="N29" s="11"/>
      <c r="R29" t="s">
        <v>511</v>
      </c>
      <c r="S29" s="11">
        <v>0.9895306252128141</v>
      </c>
      <c r="T29" s="3">
        <v>0.85070183091983609</v>
      </c>
      <c r="U29" t="s">
        <v>530</v>
      </c>
    </row>
    <row r="30" spans="1:21" x14ac:dyDescent="0.25">
      <c r="A30" t="s">
        <v>508</v>
      </c>
      <c r="B30" s="11">
        <v>-0.66037619758483312</v>
      </c>
      <c r="C30" s="3">
        <v>0.19526767279405</v>
      </c>
      <c r="L30" s="12"/>
      <c r="M30" s="11"/>
      <c r="N30" s="11"/>
      <c r="R30" t="s">
        <v>511</v>
      </c>
      <c r="S30" s="11">
        <v>1.1016009286910149</v>
      </c>
      <c r="T30" s="3">
        <v>0.20949723418173821</v>
      </c>
      <c r="U30" t="s">
        <v>530</v>
      </c>
    </row>
    <row r="31" spans="1:21" x14ac:dyDescent="0.25">
      <c r="A31" t="s">
        <v>508</v>
      </c>
      <c r="B31" s="11">
        <v>-1.190958419430141</v>
      </c>
      <c r="C31" s="3">
        <v>0.83440471082587475</v>
      </c>
      <c r="L31" s="12"/>
      <c r="M31" s="11"/>
      <c r="N31" s="11"/>
      <c r="R31" t="s">
        <v>511</v>
      </c>
      <c r="S31" s="11">
        <v>2.0840488878192232</v>
      </c>
      <c r="T31" s="3">
        <v>0.54298250440673823</v>
      </c>
      <c r="U31" t="s">
        <v>530</v>
      </c>
    </row>
    <row r="32" spans="1:21" x14ac:dyDescent="0.25">
      <c r="A32" t="s">
        <v>508</v>
      </c>
      <c r="B32" s="11">
        <v>-0.79757900592470321</v>
      </c>
      <c r="C32" s="3">
        <v>0.43627892152177872</v>
      </c>
      <c r="L32" s="12"/>
      <c r="M32" s="11"/>
      <c r="N32" s="11"/>
      <c r="R32" t="s">
        <v>511</v>
      </c>
      <c r="S32" s="11">
        <v>1.0169135159423921</v>
      </c>
      <c r="T32" s="3">
        <v>0.7506286660757433</v>
      </c>
      <c r="U32" t="s">
        <v>530</v>
      </c>
    </row>
    <row r="33" spans="1:21" x14ac:dyDescent="0.25">
      <c r="A33" t="s">
        <v>508</v>
      </c>
      <c r="B33" s="11">
        <v>-0.44005032982808728</v>
      </c>
      <c r="C33" s="3">
        <v>0.1978391265072644</v>
      </c>
      <c r="L33" s="12"/>
      <c r="M33" s="11"/>
      <c r="N33" s="11"/>
      <c r="R33" t="s">
        <v>511</v>
      </c>
      <c r="S33" s="11">
        <v>3.345061419082783</v>
      </c>
      <c r="T33" s="3">
        <v>0.98296832098831999</v>
      </c>
      <c r="U33" t="s">
        <v>530</v>
      </c>
    </row>
    <row r="34" spans="1:21" x14ac:dyDescent="0.25">
      <c r="A34" t="s">
        <v>508</v>
      </c>
      <c r="B34" s="11">
        <v>-0.69062507381534877</v>
      </c>
      <c r="C34" s="3">
        <v>0.18887930360487901</v>
      </c>
      <c r="L34" s="12"/>
      <c r="M34" s="11"/>
      <c r="N34" s="11"/>
      <c r="R34" t="s">
        <v>511</v>
      </c>
      <c r="S34" s="11">
        <v>1.735349131222375</v>
      </c>
      <c r="T34" s="3">
        <v>0.8951374050705958</v>
      </c>
      <c r="U34" t="s">
        <v>530</v>
      </c>
    </row>
    <row r="35" spans="1:21" x14ac:dyDescent="0.25">
      <c r="A35" t="s">
        <v>508</v>
      </c>
      <c r="B35" s="11">
        <v>-1.2415952678354829</v>
      </c>
      <c r="C35" s="3">
        <v>0.68576777898227115</v>
      </c>
      <c r="L35" s="12"/>
      <c r="M35" s="11"/>
      <c r="N35" s="11"/>
      <c r="R35" t="s">
        <v>511</v>
      </c>
      <c r="S35" s="11">
        <v>1.02624444073106</v>
      </c>
      <c r="T35" s="3">
        <v>0.20400464726331169</v>
      </c>
      <c r="U35" t="s">
        <v>530</v>
      </c>
    </row>
    <row r="36" spans="1:21" x14ac:dyDescent="0.25">
      <c r="A36" t="s">
        <v>508</v>
      </c>
      <c r="B36" s="11">
        <v>-0.34162165533001582</v>
      </c>
      <c r="C36" s="3">
        <v>0.1638220643998623</v>
      </c>
      <c r="L36" s="12"/>
      <c r="M36" s="11"/>
      <c r="N36" s="11"/>
      <c r="R36" t="s">
        <v>511</v>
      </c>
      <c r="S36" s="11">
        <v>1.570884489442631</v>
      </c>
      <c r="T36" s="3">
        <v>0.2364424124269455</v>
      </c>
      <c r="U36" t="s">
        <v>530</v>
      </c>
    </row>
    <row r="37" spans="1:21" x14ac:dyDescent="0.25">
      <c r="A37" t="s">
        <v>508</v>
      </c>
      <c r="B37" s="11">
        <v>-0.98775579125705493</v>
      </c>
      <c r="C37" s="3">
        <v>0.80244896685013978</v>
      </c>
      <c r="L37" s="12"/>
      <c r="M37" s="11"/>
      <c r="N37" s="11"/>
      <c r="R37" t="s">
        <v>511</v>
      </c>
      <c r="S37" s="11">
        <v>0.88370529162556299</v>
      </c>
      <c r="T37" s="3">
        <v>0.77288106209373775</v>
      </c>
      <c r="U37" t="s">
        <v>530</v>
      </c>
    </row>
    <row r="38" spans="1:21" x14ac:dyDescent="0.25">
      <c r="A38" t="s">
        <v>508</v>
      </c>
      <c r="B38" s="11">
        <v>-0.84155727388848134</v>
      </c>
      <c r="C38" s="3">
        <v>0.2583057538052474</v>
      </c>
      <c r="L38" s="12"/>
      <c r="M38" s="11"/>
      <c r="N38" s="11"/>
      <c r="R38" t="s">
        <v>511</v>
      </c>
      <c r="S38" s="11">
        <v>2.6789841251700741</v>
      </c>
      <c r="T38" s="3">
        <v>0.42773429932738999</v>
      </c>
      <c r="U38" t="s">
        <v>530</v>
      </c>
    </row>
    <row r="39" spans="1:21" x14ac:dyDescent="0.25">
      <c r="A39" t="s">
        <v>508</v>
      </c>
      <c r="B39" s="11">
        <v>-1.206060609499769</v>
      </c>
      <c r="C39" s="3">
        <v>0.70372975816672356</v>
      </c>
      <c r="L39" s="12"/>
      <c r="M39" s="11"/>
      <c r="N39" s="11"/>
      <c r="R39" t="s">
        <v>511</v>
      </c>
      <c r="S39" s="11">
        <v>1.1873294074351499</v>
      </c>
      <c r="T39" s="3">
        <v>0.61717013705295098</v>
      </c>
      <c r="U39" t="s">
        <v>530</v>
      </c>
    </row>
    <row r="40" spans="1:21" x14ac:dyDescent="0.25">
      <c r="A40" t="s">
        <v>508</v>
      </c>
      <c r="B40" s="11">
        <v>-0.45102966091577251</v>
      </c>
      <c r="C40" s="3">
        <v>0.72306967803544064</v>
      </c>
      <c r="L40" s="12"/>
      <c r="M40" s="11"/>
      <c r="N40" s="11"/>
      <c r="R40" t="s">
        <v>511</v>
      </c>
      <c r="S40" s="11">
        <v>3.216489173873192</v>
      </c>
      <c r="T40" s="3">
        <v>0.26821316439900922</v>
      </c>
      <c r="U40" t="s">
        <v>530</v>
      </c>
    </row>
    <row r="41" spans="1:21" x14ac:dyDescent="0.25">
      <c r="A41" t="s">
        <v>508</v>
      </c>
      <c r="B41" s="11">
        <v>-3.446168606598135</v>
      </c>
      <c r="C41" s="3">
        <v>0.84362216814941771</v>
      </c>
      <c r="L41" s="12"/>
      <c r="M41" s="11"/>
      <c r="N41" s="11"/>
      <c r="R41" t="s">
        <v>511</v>
      </c>
      <c r="S41" s="11">
        <v>0.62922523907160932</v>
      </c>
      <c r="T41" s="3">
        <v>0.1749443239595754</v>
      </c>
      <c r="U41" t="s">
        <v>530</v>
      </c>
    </row>
    <row r="42" spans="1:21" x14ac:dyDescent="0.25">
      <c r="A42" t="s">
        <v>508</v>
      </c>
      <c r="B42" s="11">
        <v>-0.36415934192658661</v>
      </c>
      <c r="C42" s="3">
        <v>0.63601653754895393</v>
      </c>
      <c r="L42" s="12"/>
      <c r="M42" s="11"/>
      <c r="N42" s="11"/>
      <c r="R42" t="s">
        <v>511</v>
      </c>
      <c r="S42" s="11">
        <v>2.1094732313818811</v>
      </c>
      <c r="T42" s="3">
        <v>0.43627892152177872</v>
      </c>
      <c r="U42" t="s">
        <v>530</v>
      </c>
    </row>
    <row r="43" spans="1:21" x14ac:dyDescent="0.25">
      <c r="A43" t="s">
        <v>508</v>
      </c>
      <c r="B43" s="11">
        <v>-0.70055464623294972</v>
      </c>
      <c r="C43" s="3">
        <v>0.96526539046505389</v>
      </c>
      <c r="L43" s="12"/>
      <c r="M43" s="11"/>
      <c r="N43" s="11"/>
      <c r="R43" t="s">
        <v>511</v>
      </c>
      <c r="S43" s="11">
        <v>2.0645328583823441</v>
      </c>
      <c r="T43" s="3">
        <v>0.1978391265072644</v>
      </c>
      <c r="U43" t="s">
        <v>530</v>
      </c>
    </row>
    <row r="44" spans="1:21" x14ac:dyDescent="0.25">
      <c r="A44" t="s">
        <v>508</v>
      </c>
      <c r="B44" s="11">
        <v>-0.35021671956357597</v>
      </c>
      <c r="C44" s="3">
        <v>0.181922126752776</v>
      </c>
      <c r="L44" s="12"/>
      <c r="M44" s="11"/>
      <c r="N44" s="11"/>
      <c r="R44" t="s">
        <v>511</v>
      </c>
      <c r="S44" s="11">
        <v>3.6279776996200881</v>
      </c>
      <c r="T44" s="3">
        <v>0.1000450754234999</v>
      </c>
      <c r="U44" t="s">
        <v>530</v>
      </c>
    </row>
    <row r="45" spans="1:21" x14ac:dyDescent="0.25">
      <c r="A45" t="s">
        <v>508</v>
      </c>
      <c r="B45" s="11">
        <v>-0.77068670635682235</v>
      </c>
      <c r="C45" s="3">
        <v>0.1073546372966605</v>
      </c>
      <c r="L45" s="12"/>
      <c r="M45" s="11"/>
      <c r="N45" s="11"/>
      <c r="R45" t="s">
        <v>511</v>
      </c>
      <c r="S45" s="11">
        <v>2.0201668750995321</v>
      </c>
      <c r="T45" s="3">
        <v>0.74244149323312658</v>
      </c>
      <c r="U45" t="s">
        <v>530</v>
      </c>
    </row>
    <row r="46" spans="1:21" x14ac:dyDescent="0.25">
      <c r="A46" t="s">
        <v>508</v>
      </c>
      <c r="B46" s="11">
        <v>-0.3260600099995602</v>
      </c>
      <c r="C46" s="3">
        <v>0.68064192853901861</v>
      </c>
      <c r="L46" s="12"/>
      <c r="M46" s="11"/>
      <c r="N46" s="11"/>
      <c r="R46" t="s">
        <v>511</v>
      </c>
      <c r="S46" s="11">
        <v>1.9256399371499859</v>
      </c>
      <c r="T46" s="3">
        <v>0.18887930360487901</v>
      </c>
      <c r="U46" t="s">
        <v>530</v>
      </c>
    </row>
    <row r="47" spans="1:21" x14ac:dyDescent="0.25">
      <c r="A47" t="s">
        <v>508</v>
      </c>
      <c r="B47" s="11">
        <v>-0.36162701626899652</v>
      </c>
      <c r="C47" s="3">
        <v>0.67582937002005616</v>
      </c>
      <c r="L47" s="12"/>
      <c r="M47" s="11"/>
      <c r="N47" s="11"/>
      <c r="R47" t="s">
        <v>511</v>
      </c>
      <c r="S47" s="11">
        <v>1.4875136816744501</v>
      </c>
      <c r="T47" s="3">
        <v>0.86655857869174824</v>
      </c>
      <c r="U47" t="s">
        <v>530</v>
      </c>
    </row>
    <row r="48" spans="1:21" x14ac:dyDescent="0.25">
      <c r="A48" t="s">
        <v>508</v>
      </c>
      <c r="B48" s="11">
        <v>-0.74837499433096122</v>
      </c>
      <c r="C48" s="3">
        <v>0.6507664077012254</v>
      </c>
      <c r="L48" s="12"/>
      <c r="M48" s="11"/>
      <c r="N48" s="11"/>
      <c r="R48" t="s">
        <v>511</v>
      </c>
      <c r="S48" s="11">
        <v>2.0389309890535592</v>
      </c>
      <c r="T48" s="3">
        <v>0.65469998820211983</v>
      </c>
      <c r="U48" t="s">
        <v>530</v>
      </c>
    </row>
    <row r="49" spans="1:21" x14ac:dyDescent="0.25">
      <c r="A49" t="s">
        <v>509</v>
      </c>
      <c r="B49" s="11">
        <v>4.8581010217361253</v>
      </c>
      <c r="C49" s="3">
        <v>0.99696668917794118</v>
      </c>
      <c r="L49" s="12"/>
      <c r="M49" s="11"/>
      <c r="N49" s="11"/>
      <c r="R49" t="s">
        <v>511</v>
      </c>
      <c r="S49" s="11">
        <v>0.8869809184437385</v>
      </c>
      <c r="T49" s="3">
        <v>0.34793509357718172</v>
      </c>
      <c r="U49" t="s">
        <v>530</v>
      </c>
    </row>
    <row r="50" spans="1:21" x14ac:dyDescent="0.25">
      <c r="A50" t="s">
        <v>509</v>
      </c>
      <c r="B50" s="11">
        <v>-1.6158465972369991</v>
      </c>
      <c r="C50" s="3">
        <v>0.22870846034528461</v>
      </c>
      <c r="L50" s="12"/>
      <c r="M50" s="11"/>
      <c r="N50" s="11"/>
      <c r="R50" t="s">
        <v>511</v>
      </c>
      <c r="S50" s="11">
        <v>1.0878720776016131</v>
      </c>
      <c r="T50" s="3">
        <v>0.80244896685013978</v>
      </c>
      <c r="U50" t="s">
        <v>530</v>
      </c>
    </row>
    <row r="51" spans="1:21" x14ac:dyDescent="0.25">
      <c r="A51" t="s">
        <v>509</v>
      </c>
      <c r="B51" s="11">
        <v>-1.9928627763415661</v>
      </c>
      <c r="C51" s="3">
        <v>0.45541967084629342</v>
      </c>
      <c r="L51" s="12"/>
      <c r="M51" s="11"/>
      <c r="N51" s="11"/>
      <c r="R51" t="s">
        <v>511</v>
      </c>
      <c r="S51" s="11">
        <v>2.5060430121030008</v>
      </c>
      <c r="T51" s="3">
        <v>0.93008937672037084</v>
      </c>
      <c r="U51" t="s">
        <v>530</v>
      </c>
    </row>
    <row r="52" spans="1:21" x14ac:dyDescent="0.25">
      <c r="A52" t="s">
        <v>509</v>
      </c>
      <c r="B52" s="11">
        <v>2.5685960040933078</v>
      </c>
      <c r="C52" s="3">
        <v>0.59529622921894798</v>
      </c>
      <c r="L52" s="12"/>
      <c r="M52" s="11"/>
      <c r="N52" s="11"/>
      <c r="R52" t="s">
        <v>511</v>
      </c>
      <c r="S52" s="11">
        <v>1.0370575775122779</v>
      </c>
      <c r="T52" s="3">
        <v>0.87576732752300213</v>
      </c>
      <c r="U52" t="s">
        <v>530</v>
      </c>
    </row>
    <row r="53" spans="1:21" x14ac:dyDescent="0.25">
      <c r="A53" t="s">
        <v>509</v>
      </c>
      <c r="B53" s="11">
        <v>-0.87890582239760517</v>
      </c>
      <c r="C53" s="3">
        <v>0.1899297237265645</v>
      </c>
      <c r="L53" s="12"/>
      <c r="M53" s="11"/>
      <c r="N53" s="11"/>
      <c r="R53" t="s">
        <v>511</v>
      </c>
      <c r="S53" s="11">
        <v>0.41363275379395292</v>
      </c>
      <c r="T53" s="3">
        <v>0.2583057538052474</v>
      </c>
      <c r="U53" t="s">
        <v>530</v>
      </c>
    </row>
    <row r="54" spans="1:21" x14ac:dyDescent="0.25">
      <c r="A54" t="s">
        <v>509</v>
      </c>
      <c r="B54" s="11">
        <v>-1.8186255967980409</v>
      </c>
      <c r="C54" s="3">
        <v>0.93425399770073236</v>
      </c>
      <c r="L54" s="12"/>
      <c r="M54" s="11"/>
      <c r="N54" s="11"/>
      <c r="R54" t="s">
        <v>511</v>
      </c>
      <c r="S54" s="11">
        <v>0.67197070236373047</v>
      </c>
      <c r="T54" s="3">
        <v>0.48663727550552088</v>
      </c>
      <c r="U54" t="s">
        <v>530</v>
      </c>
    </row>
    <row r="55" spans="1:21" x14ac:dyDescent="0.25">
      <c r="A55" t="s">
        <v>509</v>
      </c>
      <c r="B55" s="11">
        <v>2.66991905427383</v>
      </c>
      <c r="C55" s="3">
        <v>0.71053418806234436</v>
      </c>
      <c r="L55" s="12"/>
      <c r="M55" s="11"/>
      <c r="N55" s="11"/>
      <c r="R55" t="s">
        <v>511</v>
      </c>
      <c r="S55" s="11">
        <v>2.0746472446654929</v>
      </c>
      <c r="T55" s="3">
        <v>0.68096930218422058</v>
      </c>
      <c r="U55" t="s">
        <v>530</v>
      </c>
    </row>
    <row r="56" spans="1:21" x14ac:dyDescent="0.25">
      <c r="A56" t="s">
        <v>509</v>
      </c>
      <c r="B56" s="11">
        <v>2.157073798179113</v>
      </c>
      <c r="C56" s="3">
        <v>0.7960755495187013</v>
      </c>
      <c r="L56" s="12"/>
      <c r="M56" s="11"/>
      <c r="N56" s="11"/>
      <c r="R56" t="s">
        <v>511</v>
      </c>
      <c r="S56" s="11">
        <v>0.81427723044613598</v>
      </c>
      <c r="T56" s="3">
        <v>0.70372975816672356</v>
      </c>
      <c r="U56" t="s">
        <v>530</v>
      </c>
    </row>
    <row r="57" spans="1:21" x14ac:dyDescent="0.25">
      <c r="A57" t="s">
        <v>509</v>
      </c>
      <c r="B57" s="11">
        <v>1.343202393250374</v>
      </c>
      <c r="C57" s="3">
        <v>0.25494149402139399</v>
      </c>
      <c r="L57" s="12"/>
      <c r="M57" s="11"/>
      <c r="N57" s="11"/>
      <c r="R57" t="s">
        <v>511</v>
      </c>
      <c r="S57" s="11">
        <v>1.673105812877369</v>
      </c>
      <c r="T57" s="3">
        <v>0.51882396988385682</v>
      </c>
      <c r="U57" t="s">
        <v>530</v>
      </c>
    </row>
    <row r="58" spans="1:21" x14ac:dyDescent="0.25">
      <c r="A58" t="s">
        <v>509</v>
      </c>
      <c r="B58" s="11">
        <v>-2.758512635527028</v>
      </c>
      <c r="C58" s="3">
        <v>0.79241537964468156</v>
      </c>
      <c r="L58" s="12"/>
      <c r="M58" s="11"/>
      <c r="N58" s="11"/>
      <c r="R58" t="s">
        <v>511</v>
      </c>
      <c r="S58" s="11">
        <v>0.65654487742231216</v>
      </c>
      <c r="T58" s="3">
        <v>0.1236564146965753</v>
      </c>
      <c r="U58" t="s">
        <v>530</v>
      </c>
    </row>
    <row r="59" spans="1:21" x14ac:dyDescent="0.25">
      <c r="A59" t="s">
        <v>509</v>
      </c>
      <c r="B59" s="11">
        <v>1.834699001277829</v>
      </c>
      <c r="C59" s="3">
        <v>0.20311040955114479</v>
      </c>
      <c r="L59" s="12"/>
      <c r="M59" s="11"/>
      <c r="N59" s="11"/>
      <c r="R59" t="s">
        <v>511</v>
      </c>
      <c r="S59" s="11">
        <v>0.69520931682527043</v>
      </c>
      <c r="T59" s="3">
        <v>0.26488058793287189</v>
      </c>
      <c r="U59" t="s">
        <v>530</v>
      </c>
    </row>
    <row r="60" spans="1:21" x14ac:dyDescent="0.25">
      <c r="A60" t="s">
        <v>509</v>
      </c>
      <c r="B60" s="11">
        <v>-1.121545954731296</v>
      </c>
      <c r="C60" s="3">
        <v>0.21844847365283029</v>
      </c>
      <c r="L60" s="12"/>
      <c r="M60" s="11"/>
      <c r="N60" s="11"/>
      <c r="R60" t="s">
        <v>511</v>
      </c>
      <c r="S60" s="11">
        <v>2.7033798393636741</v>
      </c>
      <c r="T60" s="3">
        <v>0.72306967803544064</v>
      </c>
      <c r="U60" t="s">
        <v>530</v>
      </c>
    </row>
    <row r="61" spans="1:21" x14ac:dyDescent="0.25">
      <c r="A61" t="s">
        <v>509</v>
      </c>
      <c r="B61" s="11">
        <v>2.355440279753362</v>
      </c>
      <c r="C61" s="3">
        <v>0.25219406014368551</v>
      </c>
      <c r="L61" s="12"/>
      <c r="M61" s="11"/>
      <c r="N61" s="11"/>
      <c r="R61" t="s">
        <v>511</v>
      </c>
      <c r="S61" s="11">
        <v>2.9682907573908879</v>
      </c>
      <c r="T61" s="3">
        <v>0.78980888511177938</v>
      </c>
      <c r="U61" t="s">
        <v>530</v>
      </c>
    </row>
    <row r="62" spans="1:21" x14ac:dyDescent="0.25">
      <c r="A62" t="s">
        <v>509</v>
      </c>
      <c r="B62" s="11">
        <v>0.90644048870351968</v>
      </c>
      <c r="C62" s="3">
        <v>0.31548093049619752</v>
      </c>
      <c r="L62" s="12"/>
      <c r="M62" s="11"/>
      <c r="N62" s="11"/>
      <c r="R62" t="s">
        <v>511</v>
      </c>
      <c r="S62" s="11">
        <v>0.98571906738449655</v>
      </c>
      <c r="T62" s="3">
        <v>0.756197264055957</v>
      </c>
      <c r="U62" t="s">
        <v>530</v>
      </c>
    </row>
    <row r="63" spans="1:21" x14ac:dyDescent="0.25">
      <c r="A63" t="s">
        <v>509</v>
      </c>
      <c r="B63" s="11">
        <v>-1.9420952355224601</v>
      </c>
      <c r="C63" s="3">
        <v>0.1158538748540241</v>
      </c>
      <c r="L63" s="12"/>
      <c r="M63" s="11"/>
      <c r="N63" s="11"/>
      <c r="R63" t="s">
        <v>511</v>
      </c>
      <c r="S63" s="11">
        <v>1.8096803614967869</v>
      </c>
      <c r="T63" s="3">
        <v>0.59667636451878903</v>
      </c>
      <c r="U63" t="s">
        <v>530</v>
      </c>
    </row>
    <row r="64" spans="1:21" x14ac:dyDescent="0.25">
      <c r="A64" t="s">
        <v>509</v>
      </c>
      <c r="B64" s="11">
        <v>2.7609524533078562</v>
      </c>
      <c r="C64" s="3">
        <v>0.76150808817919846</v>
      </c>
      <c r="L64" s="12"/>
      <c r="M64" s="11"/>
      <c r="N64" s="11"/>
      <c r="R64" t="s">
        <v>511</v>
      </c>
      <c r="S64" s="11">
        <v>1.4404629561315909</v>
      </c>
      <c r="T64" s="3">
        <v>0.22522084232072309</v>
      </c>
      <c r="U64" t="s">
        <v>530</v>
      </c>
    </row>
    <row r="65" spans="1:21" x14ac:dyDescent="0.25">
      <c r="A65" t="s">
        <v>509</v>
      </c>
      <c r="B65" s="11">
        <v>4.1351000613131834</v>
      </c>
      <c r="C65" s="3">
        <v>0.35471954646808929</v>
      </c>
      <c r="L65" s="12"/>
      <c r="M65" s="11"/>
      <c r="N65" s="11"/>
      <c r="R65" t="s">
        <v>511</v>
      </c>
      <c r="S65" s="11">
        <v>1.0980676772481519</v>
      </c>
      <c r="T65" s="3">
        <v>0.93273414114997388</v>
      </c>
      <c r="U65" t="s">
        <v>530</v>
      </c>
    </row>
    <row r="66" spans="1:21" x14ac:dyDescent="0.25">
      <c r="A66" t="s">
        <v>509</v>
      </c>
      <c r="B66" s="11">
        <v>2.9571640171637821</v>
      </c>
      <c r="C66" s="3">
        <v>0.28070261930077622</v>
      </c>
      <c r="L66" s="12"/>
      <c r="M66" s="11"/>
      <c r="N66" s="11"/>
      <c r="R66" t="s">
        <v>511</v>
      </c>
      <c r="S66" s="11">
        <v>2.1345456529218532</v>
      </c>
      <c r="T66" s="3">
        <v>0.23641414744620209</v>
      </c>
      <c r="U66" t="s">
        <v>530</v>
      </c>
    </row>
    <row r="67" spans="1:21" x14ac:dyDescent="0.25">
      <c r="A67" t="s">
        <v>509</v>
      </c>
      <c r="B67" s="11">
        <v>-2.5153009546808738</v>
      </c>
      <c r="C67" s="3">
        <v>0.70283952218119539</v>
      </c>
      <c r="L67" s="12"/>
      <c r="M67" s="11"/>
      <c r="N67" s="11"/>
      <c r="R67" t="s">
        <v>511</v>
      </c>
      <c r="S67" s="11">
        <v>2.345706332055066</v>
      </c>
      <c r="T67" s="3">
        <v>0.63601653754895393</v>
      </c>
      <c r="U67" t="s">
        <v>530</v>
      </c>
    </row>
    <row r="68" spans="1:21" x14ac:dyDescent="0.25">
      <c r="A68" t="s">
        <v>509</v>
      </c>
      <c r="B68" s="11">
        <v>-2.1384849878990049</v>
      </c>
      <c r="C68" s="3">
        <v>0.1705724192823794</v>
      </c>
      <c r="L68" s="12"/>
      <c r="M68" s="11"/>
      <c r="N68" s="11"/>
      <c r="R68" t="s">
        <v>511</v>
      </c>
      <c r="S68" s="11">
        <v>2.44889915789989</v>
      </c>
      <c r="T68" s="3">
        <v>0.1200003797312796</v>
      </c>
      <c r="U68" t="s">
        <v>530</v>
      </c>
    </row>
    <row r="69" spans="1:21" x14ac:dyDescent="0.25">
      <c r="A69" t="s">
        <v>509</v>
      </c>
      <c r="B69" s="11">
        <v>2.4750668577976258</v>
      </c>
      <c r="C69" s="3">
        <v>0.41291969695462732</v>
      </c>
      <c r="L69" s="12"/>
      <c r="M69" s="11"/>
      <c r="N69" s="11"/>
      <c r="R69" t="s">
        <v>511</v>
      </c>
      <c r="S69" s="11">
        <v>1.4300925283058861</v>
      </c>
      <c r="T69" s="3">
        <v>0.32853801032222513</v>
      </c>
      <c r="U69" t="s">
        <v>530</v>
      </c>
    </row>
    <row r="70" spans="1:21" x14ac:dyDescent="0.25">
      <c r="A70" t="s">
        <v>509</v>
      </c>
      <c r="B70" s="11">
        <v>-1.46345838880066</v>
      </c>
      <c r="C70" s="3">
        <v>0.72601770791125975</v>
      </c>
      <c r="L70" s="12"/>
      <c r="M70" s="11"/>
      <c r="N70" s="11"/>
      <c r="R70" t="s">
        <v>511</v>
      </c>
      <c r="S70" s="11">
        <v>4.0535533485628727</v>
      </c>
      <c r="T70" s="3">
        <v>0.76946225597381357</v>
      </c>
      <c r="U70" t="s">
        <v>530</v>
      </c>
    </row>
    <row r="71" spans="1:21" x14ac:dyDescent="0.25">
      <c r="A71" t="s">
        <v>509</v>
      </c>
      <c r="B71" s="11">
        <v>-1.8005800565280949</v>
      </c>
      <c r="C71" s="3">
        <v>0.85070183091983609</v>
      </c>
      <c r="L71" s="12"/>
      <c r="M71" s="11"/>
      <c r="N71" s="11"/>
      <c r="R71" t="s">
        <v>511</v>
      </c>
      <c r="S71" s="11">
        <v>4.2234409652971854</v>
      </c>
      <c r="T71" s="3">
        <v>0.99142877280429653</v>
      </c>
      <c r="U71" t="s">
        <v>530</v>
      </c>
    </row>
    <row r="72" spans="1:21" x14ac:dyDescent="0.25">
      <c r="A72" t="s">
        <v>509</v>
      </c>
      <c r="B72" s="11">
        <v>-1.2949722105155539</v>
      </c>
      <c r="C72" s="3">
        <v>0.20949723418173821</v>
      </c>
      <c r="L72" s="12"/>
      <c r="M72" s="11"/>
      <c r="N72" s="11"/>
      <c r="R72" t="s">
        <v>511</v>
      </c>
      <c r="S72" s="11">
        <v>2.6949433853835272</v>
      </c>
      <c r="T72" s="3">
        <v>0.96526539046505389</v>
      </c>
      <c r="U72" t="s">
        <v>530</v>
      </c>
    </row>
    <row r="73" spans="1:21" x14ac:dyDescent="0.25">
      <c r="A73" t="s">
        <v>509</v>
      </c>
      <c r="B73" s="11">
        <v>-1.11926200519912</v>
      </c>
      <c r="C73" s="3">
        <v>0.7506286660757433</v>
      </c>
      <c r="L73" s="12"/>
      <c r="M73" s="11"/>
      <c r="N73" s="11"/>
      <c r="R73" t="s">
        <v>511</v>
      </c>
      <c r="S73" s="11">
        <v>0.90894540413292346</v>
      </c>
      <c r="T73" s="3">
        <v>0.42578094499293179</v>
      </c>
      <c r="U73" t="s">
        <v>530</v>
      </c>
    </row>
    <row r="74" spans="1:21" x14ac:dyDescent="0.25">
      <c r="A74" t="s">
        <v>509</v>
      </c>
      <c r="B74" s="11">
        <v>-3.481409613499451</v>
      </c>
      <c r="C74" s="3">
        <v>0.8951374050705958</v>
      </c>
      <c r="L74" s="12"/>
      <c r="M74" s="11"/>
      <c r="N74" s="11"/>
      <c r="R74" t="s">
        <v>511</v>
      </c>
      <c r="S74" s="11">
        <v>2.0397008922208908</v>
      </c>
      <c r="T74" s="3">
        <v>0.1073546372966605</v>
      </c>
      <c r="U74" t="s">
        <v>530</v>
      </c>
    </row>
    <row r="75" spans="1:21" x14ac:dyDescent="0.25">
      <c r="A75" t="s">
        <v>509</v>
      </c>
      <c r="B75" s="11">
        <v>-1.162895736490362</v>
      </c>
      <c r="C75" s="3">
        <v>0.20400464726331169</v>
      </c>
      <c r="R75" t="s">
        <v>511</v>
      </c>
      <c r="S75" s="11">
        <v>1.6405100800396351</v>
      </c>
      <c r="T75" s="3">
        <v>0.96690021995709474</v>
      </c>
      <c r="U75" t="s">
        <v>530</v>
      </c>
    </row>
    <row r="76" spans="1:21" x14ac:dyDescent="0.25">
      <c r="A76" t="s">
        <v>509</v>
      </c>
      <c r="B76" s="11">
        <v>1.6844802925957201</v>
      </c>
      <c r="C76" s="3">
        <v>0.2364424124269455</v>
      </c>
      <c r="R76" t="s">
        <v>511</v>
      </c>
      <c r="S76" s="11">
        <v>3.0566260452937248</v>
      </c>
      <c r="T76" s="3">
        <v>0.17383620142765499</v>
      </c>
      <c r="U76" t="s">
        <v>530</v>
      </c>
    </row>
    <row r="77" spans="1:21" x14ac:dyDescent="0.25">
      <c r="A77" t="s">
        <v>509</v>
      </c>
      <c r="B77" s="11">
        <v>3.530203322431575</v>
      </c>
      <c r="C77" s="3">
        <v>0.50267152671410242</v>
      </c>
      <c r="R77" t="s">
        <v>511</v>
      </c>
      <c r="S77" s="11">
        <v>3.0098855180818789</v>
      </c>
      <c r="T77" s="3">
        <v>0.68064192853901861</v>
      </c>
      <c r="U77" t="s">
        <v>530</v>
      </c>
    </row>
    <row r="78" spans="1:21" x14ac:dyDescent="0.25">
      <c r="A78" t="s">
        <v>509</v>
      </c>
      <c r="B78" s="11">
        <v>1.6081205376294549</v>
      </c>
      <c r="C78" s="3">
        <v>0.42773429932738999</v>
      </c>
      <c r="R78" t="s">
        <v>511</v>
      </c>
      <c r="S78" s="11">
        <v>0.64523559282320575</v>
      </c>
      <c r="T78" s="3">
        <v>0.84735875113702974</v>
      </c>
      <c r="U78" t="s">
        <v>530</v>
      </c>
    </row>
    <row r="79" spans="1:21" x14ac:dyDescent="0.25">
      <c r="A79" t="s">
        <v>509</v>
      </c>
      <c r="B79" s="11">
        <v>2.0025495524589449</v>
      </c>
      <c r="C79" s="3">
        <v>0.1749443239595754</v>
      </c>
      <c r="R79" t="s">
        <v>511</v>
      </c>
      <c r="S79" s="11">
        <v>2.2714071795980399</v>
      </c>
      <c r="T79" s="3">
        <v>0.67582937002005616</v>
      </c>
      <c r="U79" t="s">
        <v>530</v>
      </c>
    </row>
    <row r="80" spans="1:21" x14ac:dyDescent="0.25">
      <c r="A80" t="s">
        <v>509</v>
      </c>
      <c r="B80" s="11">
        <v>-2.1745025166645622</v>
      </c>
      <c r="C80" s="3">
        <v>0.43627892152177872</v>
      </c>
      <c r="R80" t="s">
        <v>511</v>
      </c>
      <c r="S80" s="11">
        <v>0.959889747970051</v>
      </c>
      <c r="T80" s="3">
        <v>0.71871414594590854</v>
      </c>
      <c r="U80" t="s">
        <v>530</v>
      </c>
    </row>
    <row r="81" spans="1:21" x14ac:dyDescent="0.25">
      <c r="A81" t="s">
        <v>509</v>
      </c>
      <c r="B81" s="11">
        <v>3.1719590508239981</v>
      </c>
      <c r="C81" s="3">
        <v>0.19513326784232321</v>
      </c>
      <c r="R81" t="s">
        <v>511</v>
      </c>
      <c r="S81" s="11">
        <v>3.05741423013894</v>
      </c>
      <c r="T81" s="3">
        <v>0.84972860740667733</v>
      </c>
      <c r="U81" t="s">
        <v>530</v>
      </c>
    </row>
    <row r="82" spans="1:21" x14ac:dyDescent="0.25">
      <c r="A82" t="s">
        <v>509</v>
      </c>
      <c r="B82" s="11">
        <v>-1.4746509379895689</v>
      </c>
      <c r="C82" s="3">
        <v>0.1978391265072644</v>
      </c>
      <c r="R82" t="s">
        <v>511</v>
      </c>
      <c r="S82" s="11">
        <v>1.3370104847940161</v>
      </c>
      <c r="T82" s="3">
        <v>0.6507664077012254</v>
      </c>
      <c r="U82" t="s">
        <v>530</v>
      </c>
    </row>
    <row r="83" spans="1:21" x14ac:dyDescent="0.25">
      <c r="A83" t="s">
        <v>509</v>
      </c>
      <c r="B83" s="11">
        <v>-1.5794026907586161</v>
      </c>
      <c r="C83" s="3">
        <v>0.1000450754234999</v>
      </c>
      <c r="R83" t="s">
        <v>511</v>
      </c>
      <c r="S83" s="11">
        <v>1.076645224086362</v>
      </c>
      <c r="T83" s="3">
        <v>0.92867123352724268</v>
      </c>
      <c r="U83" t="s">
        <v>530</v>
      </c>
    </row>
    <row r="84" spans="1:21" x14ac:dyDescent="0.25">
      <c r="A84" t="s">
        <v>509</v>
      </c>
      <c r="B84" s="11">
        <v>-2.0076450439883722</v>
      </c>
      <c r="C84" s="3">
        <v>0.18887930360487901</v>
      </c>
      <c r="R84" t="s">
        <v>514</v>
      </c>
      <c r="S84" s="11">
        <v>-2.058200867080894</v>
      </c>
      <c r="T84" s="3">
        <v>0.3056650509059145</v>
      </c>
      <c r="U84" t="s">
        <v>531</v>
      </c>
    </row>
    <row r="85" spans="1:21" x14ac:dyDescent="0.25">
      <c r="A85" t="s">
        <v>509</v>
      </c>
      <c r="B85" s="11">
        <v>2.6893539118761849</v>
      </c>
      <c r="C85" s="3">
        <v>0.68576777898227115</v>
      </c>
      <c r="R85" t="s">
        <v>514</v>
      </c>
      <c r="S85" s="11">
        <v>-2.5826898752123819</v>
      </c>
      <c r="T85" s="3">
        <v>0.54644476446835677</v>
      </c>
      <c r="U85" t="s">
        <v>531</v>
      </c>
    </row>
    <row r="86" spans="1:21" x14ac:dyDescent="0.25">
      <c r="A86" t="s">
        <v>509</v>
      </c>
      <c r="B86" s="11">
        <v>1.5642955175964639</v>
      </c>
      <c r="C86" s="3">
        <v>0.86655857869174824</v>
      </c>
      <c r="R86" t="s">
        <v>514</v>
      </c>
      <c r="S86" s="11">
        <v>0.76649361341592614</v>
      </c>
      <c r="T86" s="3">
        <v>0.45541967084629342</v>
      </c>
      <c r="U86" t="s">
        <v>531</v>
      </c>
    </row>
    <row r="87" spans="1:21" x14ac:dyDescent="0.25">
      <c r="A87" t="s">
        <v>509</v>
      </c>
      <c r="B87" s="11">
        <v>-1.2455286124193621</v>
      </c>
      <c r="C87" s="3">
        <v>0.80244896685013978</v>
      </c>
      <c r="R87" t="s">
        <v>514</v>
      </c>
      <c r="S87" s="11">
        <v>2.4983834554146069</v>
      </c>
      <c r="T87" s="3">
        <v>0.49507328748030371</v>
      </c>
      <c r="U87" t="s">
        <v>531</v>
      </c>
    </row>
    <row r="88" spans="1:21" x14ac:dyDescent="0.25">
      <c r="A88" t="s">
        <v>509</v>
      </c>
      <c r="B88" s="11">
        <v>2.3705731887112069</v>
      </c>
      <c r="C88" s="3">
        <v>0.87576732752300213</v>
      </c>
      <c r="R88" t="s">
        <v>514</v>
      </c>
      <c r="S88" s="11">
        <v>-1.9704719784599609</v>
      </c>
      <c r="T88" s="3">
        <v>0.38861666717650928</v>
      </c>
      <c r="U88" t="s">
        <v>531</v>
      </c>
    </row>
    <row r="89" spans="1:21" x14ac:dyDescent="0.25">
      <c r="A89" t="s">
        <v>509</v>
      </c>
      <c r="B89" s="11">
        <v>-0.46997538912630182</v>
      </c>
      <c r="C89" s="3">
        <v>0.2583057538052474</v>
      </c>
      <c r="R89" t="s">
        <v>514</v>
      </c>
      <c r="S89" s="11">
        <v>-2.0142065437827101</v>
      </c>
      <c r="T89" s="3">
        <v>0.45483383074542522</v>
      </c>
      <c r="U89" t="s">
        <v>531</v>
      </c>
    </row>
    <row r="90" spans="1:21" x14ac:dyDescent="0.25">
      <c r="A90" t="s">
        <v>509</v>
      </c>
      <c r="B90" s="11">
        <v>2.8507204443726262</v>
      </c>
      <c r="C90" s="3">
        <v>0.48663727550552088</v>
      </c>
      <c r="R90" t="s">
        <v>514</v>
      </c>
      <c r="S90" s="11">
        <v>3.9020666153238008</v>
      </c>
      <c r="T90" s="3">
        <v>0.56996931103138504</v>
      </c>
      <c r="U90" t="s">
        <v>531</v>
      </c>
    </row>
    <row r="91" spans="1:21" x14ac:dyDescent="0.25">
      <c r="A91" t="s">
        <v>509</v>
      </c>
      <c r="B91" s="11">
        <v>1.471637494261169</v>
      </c>
      <c r="C91" s="3">
        <v>0.70372975816672356</v>
      </c>
      <c r="R91" t="s">
        <v>514</v>
      </c>
      <c r="S91" s="11">
        <v>-1.924612288090312</v>
      </c>
      <c r="T91" s="3">
        <v>0.7960755495187013</v>
      </c>
      <c r="U91" t="s">
        <v>531</v>
      </c>
    </row>
    <row r="92" spans="1:21" x14ac:dyDescent="0.25">
      <c r="A92" t="s">
        <v>509</v>
      </c>
      <c r="B92" s="11">
        <v>2.183603499883803</v>
      </c>
      <c r="C92" s="3">
        <v>0.51882396988385682</v>
      </c>
      <c r="R92" t="s">
        <v>514</v>
      </c>
      <c r="S92" s="11">
        <v>-1.6011070173768649</v>
      </c>
      <c r="T92" s="3">
        <v>0.25494149402139399</v>
      </c>
      <c r="U92" t="s">
        <v>531</v>
      </c>
    </row>
    <row r="93" spans="1:21" x14ac:dyDescent="0.25">
      <c r="A93" t="s">
        <v>509</v>
      </c>
      <c r="B93" s="11">
        <v>2.0883794437564629</v>
      </c>
      <c r="C93" s="3">
        <v>0.1236564146965753</v>
      </c>
      <c r="R93" t="s">
        <v>514</v>
      </c>
      <c r="S93" s="11">
        <v>-0.93414647445689636</v>
      </c>
      <c r="T93" s="3">
        <v>0.1304210889068497</v>
      </c>
      <c r="U93" t="s">
        <v>531</v>
      </c>
    </row>
    <row r="94" spans="1:21" x14ac:dyDescent="0.25">
      <c r="A94" t="s">
        <v>509</v>
      </c>
      <c r="B94" s="11">
        <v>1.492485963437592</v>
      </c>
      <c r="C94" s="3">
        <v>0.78980888511177938</v>
      </c>
      <c r="R94" t="s">
        <v>514</v>
      </c>
      <c r="S94" s="11">
        <v>-1.822426226626626</v>
      </c>
      <c r="T94" s="3">
        <v>0.25219406014368551</v>
      </c>
      <c r="U94" t="s">
        <v>531</v>
      </c>
    </row>
    <row r="95" spans="1:21" x14ac:dyDescent="0.25">
      <c r="A95" t="s">
        <v>509</v>
      </c>
      <c r="B95" s="11">
        <v>1.286220476837111</v>
      </c>
      <c r="C95" s="3">
        <v>0.756197264055957</v>
      </c>
      <c r="R95" t="s">
        <v>514</v>
      </c>
      <c r="S95" s="11">
        <v>-1.9548918620467799</v>
      </c>
      <c r="T95" s="3">
        <v>0.24155574839601629</v>
      </c>
      <c r="U95" t="s">
        <v>531</v>
      </c>
    </row>
    <row r="96" spans="1:21" x14ac:dyDescent="0.25">
      <c r="A96" t="s">
        <v>509</v>
      </c>
      <c r="B96" s="11">
        <v>2.3381491315343421</v>
      </c>
      <c r="C96" s="3">
        <v>0.59667636451878903</v>
      </c>
      <c r="R96" t="s">
        <v>514</v>
      </c>
      <c r="S96" s="11">
        <v>-2.6897908879972041</v>
      </c>
      <c r="T96" s="3">
        <v>0.31548093049619752</v>
      </c>
      <c r="U96" t="s">
        <v>531</v>
      </c>
    </row>
    <row r="97" spans="1:21" x14ac:dyDescent="0.25">
      <c r="A97" t="s">
        <v>509</v>
      </c>
      <c r="B97" s="11">
        <v>1.5806205503656861</v>
      </c>
      <c r="C97" s="3">
        <v>0.22522084232072309</v>
      </c>
      <c r="R97" t="s">
        <v>514</v>
      </c>
      <c r="S97" s="11">
        <v>0.76734677898000647</v>
      </c>
      <c r="T97" s="3">
        <v>0.1158538748540241</v>
      </c>
      <c r="U97" t="s">
        <v>531</v>
      </c>
    </row>
    <row r="98" spans="1:21" x14ac:dyDescent="0.25">
      <c r="A98" t="s">
        <v>509</v>
      </c>
      <c r="B98" s="11">
        <v>2.5822718427162932</v>
      </c>
      <c r="C98" s="3">
        <v>0.93273414114997388</v>
      </c>
      <c r="R98" t="s">
        <v>514</v>
      </c>
      <c r="S98" s="11">
        <v>-2.6043127192123752</v>
      </c>
      <c r="T98" s="3">
        <v>0.30349608001371869</v>
      </c>
      <c r="U98" t="s">
        <v>531</v>
      </c>
    </row>
    <row r="99" spans="1:21" x14ac:dyDescent="0.25">
      <c r="A99" t="s">
        <v>509</v>
      </c>
      <c r="B99" s="11">
        <v>5.093523883755581</v>
      </c>
      <c r="C99" s="3">
        <v>0.99475080767461654</v>
      </c>
      <c r="R99" t="s">
        <v>514</v>
      </c>
      <c r="S99" s="11">
        <v>-3.760884080662247</v>
      </c>
      <c r="T99" s="3">
        <v>0.76150808817919846</v>
      </c>
      <c r="U99" t="s">
        <v>531</v>
      </c>
    </row>
    <row r="100" spans="1:21" x14ac:dyDescent="0.25">
      <c r="A100" t="s">
        <v>509</v>
      </c>
      <c r="B100" s="11">
        <v>1.2635676070222479</v>
      </c>
      <c r="C100" s="3">
        <v>0.1200003797312796</v>
      </c>
      <c r="R100" t="s">
        <v>514</v>
      </c>
      <c r="S100" s="11">
        <v>-2.1348707032685512</v>
      </c>
      <c r="T100" s="3">
        <v>0.20779136981902099</v>
      </c>
      <c r="U100" t="s">
        <v>531</v>
      </c>
    </row>
    <row r="101" spans="1:21" x14ac:dyDescent="0.25">
      <c r="A101" t="s">
        <v>509</v>
      </c>
      <c r="B101" s="11">
        <v>0.92002006282437065</v>
      </c>
      <c r="C101" s="3">
        <v>0.32853801032222513</v>
      </c>
      <c r="R101" t="s">
        <v>514</v>
      </c>
      <c r="S101" s="11">
        <v>1.4176796081305161</v>
      </c>
      <c r="T101" s="3">
        <v>0.28070261930077622</v>
      </c>
      <c r="U101" t="s">
        <v>531</v>
      </c>
    </row>
    <row r="102" spans="1:21" x14ac:dyDescent="0.25">
      <c r="A102" t="s">
        <v>509</v>
      </c>
      <c r="B102" s="11">
        <v>-1.819647889867922</v>
      </c>
      <c r="C102" s="3">
        <v>0.76946225597381357</v>
      </c>
      <c r="R102" t="s">
        <v>514</v>
      </c>
      <c r="S102" s="11">
        <v>-2.036522245919056</v>
      </c>
      <c r="T102" s="3">
        <v>0.40433955316321268</v>
      </c>
      <c r="U102" t="s">
        <v>531</v>
      </c>
    </row>
    <row r="103" spans="1:21" x14ac:dyDescent="0.25">
      <c r="A103" t="s">
        <v>509</v>
      </c>
      <c r="B103" s="11">
        <v>2.804497198598209</v>
      </c>
      <c r="C103" s="3">
        <v>0.59400519878475677</v>
      </c>
      <c r="R103" t="s">
        <v>514</v>
      </c>
      <c r="S103" s="11">
        <v>-3.0603521708761598</v>
      </c>
      <c r="T103" s="3">
        <v>0.92948158652986834</v>
      </c>
      <c r="U103" t="s">
        <v>531</v>
      </c>
    </row>
    <row r="104" spans="1:21" x14ac:dyDescent="0.25">
      <c r="A104" t="s">
        <v>509</v>
      </c>
      <c r="B104" s="11">
        <v>-0.94979942931811145</v>
      </c>
      <c r="C104" s="3">
        <v>0.96526539046505389</v>
      </c>
      <c r="R104" t="s">
        <v>514</v>
      </c>
      <c r="S104" s="11">
        <v>-2.862050089736258</v>
      </c>
      <c r="T104" s="3">
        <v>0.3885011523872004</v>
      </c>
      <c r="U104" t="s">
        <v>531</v>
      </c>
    </row>
    <row r="105" spans="1:21" x14ac:dyDescent="0.25">
      <c r="A105" t="s">
        <v>509</v>
      </c>
      <c r="B105" s="11">
        <v>-2.083843840130585</v>
      </c>
      <c r="C105" s="3">
        <v>0.1073546372966605</v>
      </c>
      <c r="R105" t="s">
        <v>514</v>
      </c>
      <c r="S105" s="11">
        <v>-2.1259300532170591</v>
      </c>
      <c r="T105" s="3">
        <v>0.35397557954965891</v>
      </c>
      <c r="U105" t="s">
        <v>531</v>
      </c>
    </row>
    <row r="106" spans="1:21" x14ac:dyDescent="0.25">
      <c r="A106" t="s">
        <v>509</v>
      </c>
      <c r="B106" s="11">
        <v>1.670903916069661</v>
      </c>
      <c r="C106" s="3">
        <v>0.96690021995709474</v>
      </c>
      <c r="R106" t="s">
        <v>514</v>
      </c>
      <c r="S106" s="11">
        <v>0.85423822223108203</v>
      </c>
      <c r="T106" s="3">
        <v>0.1705724192823794</v>
      </c>
      <c r="U106" t="s">
        <v>531</v>
      </c>
    </row>
    <row r="107" spans="1:21" x14ac:dyDescent="0.25">
      <c r="A107" t="s">
        <v>509</v>
      </c>
      <c r="B107" s="11">
        <v>-1.9241907093666839</v>
      </c>
      <c r="C107" s="3">
        <v>0.17383620142765499</v>
      </c>
      <c r="R107" t="s">
        <v>514</v>
      </c>
      <c r="S107" s="11">
        <v>-1.006542556117044</v>
      </c>
      <c r="T107" s="3">
        <v>0.67250802584224512</v>
      </c>
      <c r="U107" t="s">
        <v>531</v>
      </c>
    </row>
    <row r="108" spans="1:21" x14ac:dyDescent="0.25">
      <c r="A108" t="s">
        <v>509</v>
      </c>
      <c r="B108" s="11">
        <v>-1.265580340003011</v>
      </c>
      <c r="C108" s="3">
        <v>0.84735875113702974</v>
      </c>
      <c r="R108" t="s">
        <v>514</v>
      </c>
      <c r="S108" s="11">
        <v>-3.2948336817533859</v>
      </c>
      <c r="T108" s="3">
        <v>0.44835388907017598</v>
      </c>
      <c r="U108" t="s">
        <v>531</v>
      </c>
    </row>
    <row r="109" spans="1:21" x14ac:dyDescent="0.25">
      <c r="A109" t="s">
        <v>509</v>
      </c>
      <c r="B109" s="11">
        <v>1.230933798418373</v>
      </c>
      <c r="C109" s="3">
        <v>0.71871414594590854</v>
      </c>
      <c r="R109" t="s">
        <v>514</v>
      </c>
      <c r="S109" s="11">
        <v>-3.30235845230388</v>
      </c>
      <c r="T109" s="3">
        <v>0.41291969695462732</v>
      </c>
      <c r="U109" t="s">
        <v>531</v>
      </c>
    </row>
    <row r="110" spans="1:21" x14ac:dyDescent="0.25">
      <c r="A110" t="s">
        <v>509</v>
      </c>
      <c r="B110" s="11">
        <v>-1.1355944097306001</v>
      </c>
      <c r="C110" s="3">
        <v>0.6507664077012254</v>
      </c>
      <c r="R110" t="s">
        <v>514</v>
      </c>
      <c r="S110" s="11">
        <v>-0.68778627951620841</v>
      </c>
      <c r="T110" s="3">
        <v>0.60240763309890277</v>
      </c>
      <c r="U110" t="s">
        <v>531</v>
      </c>
    </row>
    <row r="111" spans="1:21" x14ac:dyDescent="0.25">
      <c r="A111" t="s">
        <v>509</v>
      </c>
      <c r="B111" s="11">
        <v>-2.1165059863442779</v>
      </c>
      <c r="C111" s="3">
        <v>0.92867123352724268</v>
      </c>
      <c r="R111" t="s">
        <v>514</v>
      </c>
      <c r="S111" s="11">
        <v>-1.783324851501189</v>
      </c>
      <c r="T111" s="3">
        <v>0.72601770791125975</v>
      </c>
      <c r="U111" t="s">
        <v>531</v>
      </c>
    </row>
    <row r="112" spans="1:21" x14ac:dyDescent="0.25">
      <c r="A112" t="s">
        <v>510</v>
      </c>
      <c r="B112" s="11">
        <v>-0.90906622008418714</v>
      </c>
      <c r="C112" s="3">
        <v>0.22870846034528461</v>
      </c>
      <c r="R112" t="s">
        <v>514</v>
      </c>
      <c r="S112" s="11">
        <v>-1.3947119462253461</v>
      </c>
      <c r="T112" s="3">
        <v>0.85070183091983609</v>
      </c>
      <c r="U112" t="s">
        <v>531</v>
      </c>
    </row>
    <row r="113" spans="1:21" x14ac:dyDescent="0.25">
      <c r="A113" t="s">
        <v>510</v>
      </c>
      <c r="B113" s="11">
        <v>-1.7176338763915959</v>
      </c>
      <c r="C113" s="3">
        <v>0.17826894991460529</v>
      </c>
      <c r="R113" t="s">
        <v>514</v>
      </c>
      <c r="S113" s="11">
        <v>-3.072575797151063</v>
      </c>
      <c r="T113" s="3">
        <v>0.3924030271803659</v>
      </c>
      <c r="U113" t="s">
        <v>531</v>
      </c>
    </row>
    <row r="114" spans="1:21" x14ac:dyDescent="0.25">
      <c r="A114" t="s">
        <v>510</v>
      </c>
      <c r="B114" s="11">
        <v>1.297771398499953</v>
      </c>
      <c r="C114" s="3">
        <v>0.52528544664079668</v>
      </c>
      <c r="R114" t="s">
        <v>514</v>
      </c>
      <c r="S114" s="11">
        <v>-2.0359037723943829</v>
      </c>
      <c r="T114" s="3">
        <v>0.22935240254124639</v>
      </c>
      <c r="U114" t="s">
        <v>531</v>
      </c>
    </row>
    <row r="115" spans="1:21" x14ac:dyDescent="0.25">
      <c r="A115" t="s">
        <v>510</v>
      </c>
      <c r="B115" s="11">
        <v>1.0873714192694111</v>
      </c>
      <c r="C115" s="3">
        <v>0.81618489217664858</v>
      </c>
      <c r="R115" t="s">
        <v>514</v>
      </c>
      <c r="S115" s="11">
        <v>0.49360769906571877</v>
      </c>
      <c r="T115" s="3">
        <v>0.20949723418173821</v>
      </c>
      <c r="U115" t="s">
        <v>531</v>
      </c>
    </row>
    <row r="116" spans="1:21" x14ac:dyDescent="0.25">
      <c r="A116" t="s">
        <v>510</v>
      </c>
      <c r="B116" s="11">
        <v>-1.514111659546298</v>
      </c>
      <c r="C116" s="3">
        <v>0.13939834915146149</v>
      </c>
      <c r="R116" t="s">
        <v>514</v>
      </c>
      <c r="S116" s="11">
        <v>2.6637124176740539</v>
      </c>
      <c r="T116" s="3">
        <v>0.54298250440673823</v>
      </c>
      <c r="U116" t="s">
        <v>531</v>
      </c>
    </row>
    <row r="117" spans="1:21" x14ac:dyDescent="0.25">
      <c r="A117" t="s">
        <v>510</v>
      </c>
      <c r="B117" s="11">
        <v>0.93287670897277464</v>
      </c>
      <c r="C117" s="3">
        <v>0.24638540345356849</v>
      </c>
      <c r="R117" t="s">
        <v>514</v>
      </c>
      <c r="S117" s="11">
        <v>0.39278356726217051</v>
      </c>
      <c r="T117" s="3">
        <v>0.7506286660757433</v>
      </c>
      <c r="U117" t="s">
        <v>531</v>
      </c>
    </row>
    <row r="118" spans="1:21" x14ac:dyDescent="0.25">
      <c r="A118" t="s">
        <v>510</v>
      </c>
      <c r="B118" s="11">
        <v>-3.4777382992392281</v>
      </c>
      <c r="C118" s="3">
        <v>0.93425399770073236</v>
      </c>
      <c r="R118" t="s">
        <v>514</v>
      </c>
      <c r="S118" s="11">
        <v>0.43272183158170158</v>
      </c>
      <c r="T118" s="3">
        <v>0.20400464726331169</v>
      </c>
      <c r="U118" t="s">
        <v>531</v>
      </c>
    </row>
    <row r="119" spans="1:21" x14ac:dyDescent="0.25">
      <c r="A119" t="s">
        <v>510</v>
      </c>
      <c r="B119" s="11">
        <v>-2.642346940243816</v>
      </c>
      <c r="C119" s="3">
        <v>0.25494149402139399</v>
      </c>
      <c r="R119" t="s">
        <v>514</v>
      </c>
      <c r="S119" s="11">
        <v>2.033062810831781</v>
      </c>
      <c r="T119" s="3">
        <v>0.2364424124269455</v>
      </c>
      <c r="U119" t="s">
        <v>531</v>
      </c>
    </row>
    <row r="120" spans="1:21" x14ac:dyDescent="0.25">
      <c r="A120" t="s">
        <v>510</v>
      </c>
      <c r="B120" s="11">
        <v>-2.5016550672056201</v>
      </c>
      <c r="C120" s="3">
        <v>0.46643423991917787</v>
      </c>
      <c r="R120" t="s">
        <v>514</v>
      </c>
      <c r="S120" s="11">
        <v>-2.8468984518997931</v>
      </c>
      <c r="T120" s="3">
        <v>0.1010331424755098</v>
      </c>
      <c r="U120" t="s">
        <v>531</v>
      </c>
    </row>
    <row r="121" spans="1:21" x14ac:dyDescent="0.25">
      <c r="A121" t="s">
        <v>510</v>
      </c>
      <c r="B121" s="11">
        <v>0.59466117137108399</v>
      </c>
      <c r="C121" s="3">
        <v>0.16241031752135329</v>
      </c>
      <c r="R121" t="s">
        <v>514</v>
      </c>
      <c r="S121" s="11">
        <v>-2.518675388326761</v>
      </c>
      <c r="T121" s="3">
        <v>0.50267152671410242</v>
      </c>
      <c r="U121" t="s">
        <v>531</v>
      </c>
    </row>
    <row r="122" spans="1:21" x14ac:dyDescent="0.25">
      <c r="A122" t="s">
        <v>510</v>
      </c>
      <c r="B122" s="11">
        <v>-1.90467452957335</v>
      </c>
      <c r="C122" s="3">
        <v>0.1304210889068497</v>
      </c>
      <c r="R122" t="s">
        <v>514</v>
      </c>
      <c r="S122" s="11">
        <v>-5.814523110402825</v>
      </c>
      <c r="T122" s="3">
        <v>0.77288106209373775</v>
      </c>
      <c r="U122" t="s">
        <v>531</v>
      </c>
    </row>
    <row r="123" spans="1:21" x14ac:dyDescent="0.25">
      <c r="A123" t="s">
        <v>510</v>
      </c>
      <c r="B123" s="11">
        <v>-2.0336250361467298</v>
      </c>
      <c r="C123" s="3">
        <v>0.25219406014368551</v>
      </c>
      <c r="R123" t="s">
        <v>514</v>
      </c>
      <c r="S123" s="11">
        <v>-2.914814806996294</v>
      </c>
      <c r="T123" s="3">
        <v>0.83440471082587475</v>
      </c>
      <c r="U123" t="s">
        <v>531</v>
      </c>
    </row>
    <row r="124" spans="1:21" x14ac:dyDescent="0.25">
      <c r="A124" t="s">
        <v>510</v>
      </c>
      <c r="B124" s="11">
        <v>-2.056983559712164</v>
      </c>
      <c r="C124" s="3">
        <v>0.24155574839601629</v>
      </c>
      <c r="R124" t="s">
        <v>514</v>
      </c>
      <c r="S124" s="11">
        <v>-5.1483644666520796</v>
      </c>
      <c r="T124" s="3">
        <v>0.61717013705295098</v>
      </c>
      <c r="U124" t="s">
        <v>531</v>
      </c>
    </row>
    <row r="125" spans="1:21" x14ac:dyDescent="0.25">
      <c r="A125" t="s">
        <v>510</v>
      </c>
      <c r="B125" s="11">
        <v>-1.8277207479290849</v>
      </c>
      <c r="C125" s="3">
        <v>0.31548093049619752</v>
      </c>
      <c r="R125" t="s">
        <v>514</v>
      </c>
      <c r="S125" s="11">
        <v>-1.1566943026028209</v>
      </c>
      <c r="T125" s="3">
        <v>0.26821316439900922</v>
      </c>
      <c r="U125" t="s">
        <v>531</v>
      </c>
    </row>
    <row r="126" spans="1:21" x14ac:dyDescent="0.25">
      <c r="A126" t="s">
        <v>510</v>
      </c>
      <c r="B126" s="11">
        <v>-1.278315834400336</v>
      </c>
      <c r="C126" s="3">
        <v>0.76150808817919846</v>
      </c>
      <c r="R126" t="s">
        <v>514</v>
      </c>
      <c r="S126" s="11">
        <v>0.82511072963327847</v>
      </c>
      <c r="T126" s="3">
        <v>0.43627892152177872</v>
      </c>
      <c r="U126" t="s">
        <v>531</v>
      </c>
    </row>
    <row r="127" spans="1:21" x14ac:dyDescent="0.25">
      <c r="A127" t="s">
        <v>510</v>
      </c>
      <c r="B127" s="11">
        <v>-0.90093467472811217</v>
      </c>
      <c r="C127" s="3">
        <v>0.35397557954965891</v>
      </c>
      <c r="R127" t="s">
        <v>514</v>
      </c>
      <c r="S127" s="11">
        <v>-1.974070672356133</v>
      </c>
      <c r="T127" s="3">
        <v>0.19513326784232321</v>
      </c>
      <c r="U127" t="s">
        <v>531</v>
      </c>
    </row>
    <row r="128" spans="1:21" x14ac:dyDescent="0.25">
      <c r="A128" t="s">
        <v>510</v>
      </c>
      <c r="B128" s="11">
        <v>-2.486823972775313</v>
      </c>
      <c r="C128" s="3">
        <v>0.70283952218119539</v>
      </c>
      <c r="R128" t="s">
        <v>514</v>
      </c>
      <c r="S128" s="11">
        <v>-1.8667268018982699</v>
      </c>
      <c r="T128" s="3">
        <v>0.74244149323312658</v>
      </c>
      <c r="U128" t="s">
        <v>531</v>
      </c>
    </row>
    <row r="129" spans="1:21" x14ac:dyDescent="0.25">
      <c r="A129" t="s">
        <v>510</v>
      </c>
      <c r="B129" s="11">
        <v>-3.1435229582389241</v>
      </c>
      <c r="C129" s="3">
        <v>0.67250802584224512</v>
      </c>
      <c r="R129" t="s">
        <v>514</v>
      </c>
      <c r="S129" s="11">
        <v>0.81098607483515062</v>
      </c>
      <c r="T129" s="3">
        <v>0.18887930360487901</v>
      </c>
      <c r="U129" t="s">
        <v>531</v>
      </c>
    </row>
    <row r="130" spans="1:21" x14ac:dyDescent="0.25">
      <c r="A130" t="s">
        <v>510</v>
      </c>
      <c r="B130" s="11">
        <v>1.5676701182677539</v>
      </c>
      <c r="C130" s="3">
        <v>0.92366180927910158</v>
      </c>
      <c r="R130" t="s">
        <v>514</v>
      </c>
      <c r="S130" s="11">
        <v>2.038945219585274</v>
      </c>
      <c r="T130" s="3">
        <v>0.86655857869174824</v>
      </c>
      <c r="U130" t="s">
        <v>531</v>
      </c>
    </row>
    <row r="131" spans="1:21" x14ac:dyDescent="0.25">
      <c r="A131" t="s">
        <v>510</v>
      </c>
      <c r="B131" s="11">
        <v>-1.2375822724402219</v>
      </c>
      <c r="C131" s="3">
        <v>0.41291969695462732</v>
      </c>
      <c r="R131" t="s">
        <v>514</v>
      </c>
      <c r="S131" s="11">
        <v>2.5777373734875741</v>
      </c>
      <c r="T131" s="3">
        <v>0.65469998820211983</v>
      </c>
      <c r="U131" t="s">
        <v>531</v>
      </c>
    </row>
    <row r="132" spans="1:21" x14ac:dyDescent="0.25">
      <c r="A132" t="s">
        <v>510</v>
      </c>
      <c r="B132" s="11">
        <v>-2.0612478245125581</v>
      </c>
      <c r="C132" s="3">
        <v>0.1322829447055649</v>
      </c>
      <c r="R132" t="s">
        <v>514</v>
      </c>
      <c r="S132" s="11">
        <v>0.45126854917551468</v>
      </c>
      <c r="T132" s="3">
        <v>0.80244896685013978</v>
      </c>
      <c r="U132" t="s">
        <v>531</v>
      </c>
    </row>
    <row r="133" spans="1:21" x14ac:dyDescent="0.25">
      <c r="A133" t="s">
        <v>510</v>
      </c>
      <c r="B133" s="11">
        <v>-1.2982486574328489</v>
      </c>
      <c r="C133" s="3">
        <v>0.60240763309890277</v>
      </c>
      <c r="R133" t="s">
        <v>514</v>
      </c>
      <c r="S133" s="11">
        <v>-2.0765820205605712</v>
      </c>
      <c r="T133" s="3">
        <v>0.93008937672037084</v>
      </c>
      <c r="U133" t="s">
        <v>531</v>
      </c>
    </row>
    <row r="134" spans="1:21" x14ac:dyDescent="0.25">
      <c r="A134" t="s">
        <v>510</v>
      </c>
      <c r="B134" s="11">
        <v>0.70286967341414297</v>
      </c>
      <c r="C134" s="3">
        <v>0.20949723418173821</v>
      </c>
      <c r="R134" t="s">
        <v>514</v>
      </c>
      <c r="S134" s="11">
        <v>-2.265138693038558</v>
      </c>
      <c r="T134" s="3">
        <v>0.48663727550552088</v>
      </c>
      <c r="U134" t="s">
        <v>531</v>
      </c>
    </row>
    <row r="135" spans="1:21" x14ac:dyDescent="0.25">
      <c r="A135" t="s">
        <v>510</v>
      </c>
      <c r="B135" s="11">
        <v>0.67448176685802352</v>
      </c>
      <c r="C135" s="3">
        <v>0.7506286660757433</v>
      </c>
      <c r="R135" t="s">
        <v>514</v>
      </c>
      <c r="S135" s="11">
        <v>-1.916390778113066</v>
      </c>
      <c r="T135" s="3">
        <v>0.68096930218422058</v>
      </c>
      <c r="U135" t="s">
        <v>531</v>
      </c>
    </row>
    <row r="136" spans="1:21" x14ac:dyDescent="0.25">
      <c r="A136" t="s">
        <v>510</v>
      </c>
      <c r="B136" s="11">
        <v>-2.0140094470209808</v>
      </c>
      <c r="C136" s="3">
        <v>0.98296832098831999</v>
      </c>
      <c r="R136" t="s">
        <v>514</v>
      </c>
      <c r="S136" s="11">
        <v>0.86876845738674346</v>
      </c>
      <c r="T136" s="3">
        <v>0.51882396988385682</v>
      </c>
      <c r="U136" t="s">
        <v>531</v>
      </c>
    </row>
    <row r="137" spans="1:21" x14ac:dyDescent="0.25">
      <c r="A137" t="s">
        <v>510</v>
      </c>
      <c r="B137" s="11">
        <v>0.67853873014918065</v>
      </c>
      <c r="C137" s="3">
        <v>0.20400464726331169</v>
      </c>
      <c r="R137" t="s">
        <v>514</v>
      </c>
      <c r="S137" s="11">
        <v>-5.2540902808404972</v>
      </c>
      <c r="T137" s="3">
        <v>0.26488058793287189</v>
      </c>
      <c r="U137" t="s">
        <v>531</v>
      </c>
    </row>
    <row r="138" spans="1:21" x14ac:dyDescent="0.25">
      <c r="A138" t="s">
        <v>510</v>
      </c>
      <c r="B138" s="11">
        <v>-1.782431618095883</v>
      </c>
      <c r="C138" s="3">
        <v>0.50267152671410242</v>
      </c>
      <c r="R138" t="s">
        <v>514</v>
      </c>
      <c r="S138" s="11">
        <v>6.2043676731075124</v>
      </c>
      <c r="T138" s="3">
        <v>0.84362216814941771</v>
      </c>
      <c r="U138" t="s">
        <v>531</v>
      </c>
    </row>
    <row r="139" spans="1:21" x14ac:dyDescent="0.25">
      <c r="A139" t="s">
        <v>510</v>
      </c>
      <c r="B139" s="11">
        <v>-2.4989999814530601</v>
      </c>
      <c r="C139" s="3">
        <v>0.77288106209373775</v>
      </c>
      <c r="R139" t="s">
        <v>514</v>
      </c>
      <c r="S139" s="11">
        <v>5.9597465098419313</v>
      </c>
      <c r="T139" s="3">
        <v>0.78980888511177938</v>
      </c>
      <c r="U139" t="s">
        <v>531</v>
      </c>
    </row>
    <row r="140" spans="1:21" x14ac:dyDescent="0.25">
      <c r="A140" t="s">
        <v>510</v>
      </c>
      <c r="B140" s="11">
        <v>0.5862119769804871</v>
      </c>
      <c r="C140" s="3">
        <v>0.19526767279405</v>
      </c>
      <c r="R140" t="s">
        <v>514</v>
      </c>
      <c r="S140" s="11">
        <v>-3.0739901205946292</v>
      </c>
      <c r="T140" s="3">
        <v>0.756197264055957</v>
      </c>
      <c r="U140" t="s">
        <v>531</v>
      </c>
    </row>
    <row r="141" spans="1:21" x14ac:dyDescent="0.25">
      <c r="A141" t="s">
        <v>510</v>
      </c>
      <c r="B141" s="11">
        <v>-1.992817647870246</v>
      </c>
      <c r="C141" s="3">
        <v>0.42773429932738999</v>
      </c>
      <c r="R141" t="s">
        <v>514</v>
      </c>
      <c r="S141" s="11">
        <v>0.97753148467450646</v>
      </c>
      <c r="T141" s="3">
        <v>0.59667636451878903</v>
      </c>
      <c r="U141" t="s">
        <v>531</v>
      </c>
    </row>
    <row r="142" spans="1:21" x14ac:dyDescent="0.25">
      <c r="A142" t="s">
        <v>510</v>
      </c>
      <c r="B142" s="11">
        <v>-2.4485270721194499</v>
      </c>
      <c r="C142" s="3">
        <v>0.61717013705295098</v>
      </c>
      <c r="R142" t="s">
        <v>514</v>
      </c>
      <c r="S142" s="11">
        <v>1.7820160169415951</v>
      </c>
      <c r="T142" s="3">
        <v>0.22522084232072309</v>
      </c>
      <c r="U142" t="s">
        <v>531</v>
      </c>
    </row>
    <row r="143" spans="1:21" x14ac:dyDescent="0.25">
      <c r="A143" t="s">
        <v>510</v>
      </c>
      <c r="B143" s="11">
        <v>-3.1425392474715532</v>
      </c>
      <c r="C143" s="3">
        <v>0.26821316439900922</v>
      </c>
      <c r="R143" t="s">
        <v>514</v>
      </c>
      <c r="S143" s="11">
        <v>-4.6156937103161484</v>
      </c>
      <c r="T143" s="3">
        <v>0.1079884377822322</v>
      </c>
      <c r="U143" t="s">
        <v>531</v>
      </c>
    </row>
    <row r="144" spans="1:21" x14ac:dyDescent="0.25">
      <c r="A144" t="s">
        <v>510</v>
      </c>
      <c r="B144" s="11">
        <v>-1.4793565064624199</v>
      </c>
      <c r="C144" s="3">
        <v>0.19513326784232321</v>
      </c>
      <c r="R144" t="s">
        <v>514</v>
      </c>
      <c r="S144" s="11">
        <v>-2.0037270651334129</v>
      </c>
      <c r="T144" s="3">
        <v>0.23641414744620209</v>
      </c>
      <c r="U144" t="s">
        <v>531</v>
      </c>
    </row>
    <row r="145" spans="1:21" x14ac:dyDescent="0.25">
      <c r="A145" t="s">
        <v>510</v>
      </c>
      <c r="B145" s="11">
        <v>-0.77633519941327678</v>
      </c>
      <c r="C145" s="3">
        <v>0.1978391265072644</v>
      </c>
      <c r="R145" t="s">
        <v>514</v>
      </c>
      <c r="S145" s="11">
        <v>-0.89482236305720586</v>
      </c>
      <c r="T145" s="3">
        <v>0.63601653754895393</v>
      </c>
      <c r="U145" t="s">
        <v>531</v>
      </c>
    </row>
    <row r="146" spans="1:21" x14ac:dyDescent="0.25">
      <c r="A146" t="s">
        <v>510</v>
      </c>
      <c r="B146" s="11">
        <v>-2.61397835874256</v>
      </c>
      <c r="C146" s="3">
        <v>0.1000450754234999</v>
      </c>
      <c r="R146" t="s">
        <v>514</v>
      </c>
      <c r="S146" s="11">
        <v>4.5083678965988074</v>
      </c>
      <c r="T146" s="3">
        <v>0.1200003797312796</v>
      </c>
      <c r="U146" t="s">
        <v>531</v>
      </c>
    </row>
    <row r="147" spans="1:21" x14ac:dyDescent="0.25">
      <c r="A147" t="s">
        <v>510</v>
      </c>
      <c r="B147" s="11">
        <v>-2.0035498212688112</v>
      </c>
      <c r="C147" s="3">
        <v>0.74244149323312658</v>
      </c>
      <c r="R147" t="s">
        <v>514</v>
      </c>
      <c r="S147" s="11">
        <v>-2.7637772729551551</v>
      </c>
      <c r="T147" s="3">
        <v>0.32853801032222513</v>
      </c>
      <c r="U147" t="s">
        <v>531</v>
      </c>
    </row>
    <row r="148" spans="1:21" x14ac:dyDescent="0.25">
      <c r="A148" t="s">
        <v>510</v>
      </c>
      <c r="B148" s="11">
        <v>0.69742061884220874</v>
      </c>
      <c r="C148" s="3">
        <v>0.80244896685013978</v>
      </c>
      <c r="R148" t="s">
        <v>514</v>
      </c>
      <c r="S148" s="11">
        <v>-2.8347903831453269</v>
      </c>
      <c r="T148" s="3">
        <v>0.96724011899471685</v>
      </c>
      <c r="U148" t="s">
        <v>531</v>
      </c>
    </row>
    <row r="149" spans="1:21" x14ac:dyDescent="0.25">
      <c r="A149" t="s">
        <v>510</v>
      </c>
      <c r="B149" s="11">
        <v>0.74463539930373235</v>
      </c>
      <c r="C149" s="3">
        <v>0.1089686379392189</v>
      </c>
      <c r="R149" t="s">
        <v>514</v>
      </c>
      <c r="S149" s="11">
        <v>2.2157160726498861</v>
      </c>
      <c r="T149" s="3">
        <v>0.99142877280429653</v>
      </c>
      <c r="U149" t="s">
        <v>531</v>
      </c>
    </row>
    <row r="150" spans="1:21" x14ac:dyDescent="0.25">
      <c r="A150" t="s">
        <v>510</v>
      </c>
      <c r="B150" s="11">
        <v>-2.229852260695095</v>
      </c>
      <c r="C150" s="3">
        <v>0.93008937672037084</v>
      </c>
      <c r="R150" t="s">
        <v>514</v>
      </c>
      <c r="S150" s="11">
        <v>-3.0458407714993498</v>
      </c>
      <c r="T150" s="3">
        <v>0.99035256236056901</v>
      </c>
      <c r="U150" t="s">
        <v>531</v>
      </c>
    </row>
    <row r="151" spans="1:21" x14ac:dyDescent="0.25">
      <c r="A151" t="s">
        <v>510</v>
      </c>
      <c r="B151" s="11">
        <v>-0.80560401933906567</v>
      </c>
      <c r="C151" s="3">
        <v>0.87576732752300213</v>
      </c>
      <c r="R151" t="s">
        <v>514</v>
      </c>
      <c r="S151" s="11">
        <v>0.81278543007098603</v>
      </c>
      <c r="T151" s="3">
        <v>0.1073546372966605</v>
      </c>
      <c r="U151" t="s">
        <v>531</v>
      </c>
    </row>
    <row r="152" spans="1:21" x14ac:dyDescent="0.25">
      <c r="A152" t="s">
        <v>510</v>
      </c>
      <c r="B152" s="11">
        <v>0.83723372929280637</v>
      </c>
      <c r="C152" s="3">
        <v>0.2583057538052474</v>
      </c>
      <c r="R152" t="s">
        <v>514</v>
      </c>
      <c r="S152" s="11">
        <v>2.3818903552689461</v>
      </c>
      <c r="T152" s="3">
        <v>0.96690021995709474</v>
      </c>
      <c r="U152" t="s">
        <v>531</v>
      </c>
    </row>
    <row r="153" spans="1:21" x14ac:dyDescent="0.25">
      <c r="A153" t="s">
        <v>510</v>
      </c>
      <c r="B153" s="11">
        <v>-2.0949185545414521</v>
      </c>
      <c r="C153" s="3">
        <v>0.48663727550552088</v>
      </c>
      <c r="R153" t="s">
        <v>514</v>
      </c>
      <c r="S153" s="11">
        <v>4.9038310821157696</v>
      </c>
      <c r="T153" s="3">
        <v>0.68064192853901861</v>
      </c>
      <c r="U153" t="s">
        <v>531</v>
      </c>
    </row>
    <row r="154" spans="1:21" x14ac:dyDescent="0.25">
      <c r="A154" t="s">
        <v>510</v>
      </c>
      <c r="B154" s="11">
        <v>-2.0724133176784858</v>
      </c>
      <c r="C154" s="3">
        <v>0.68096930218422058</v>
      </c>
      <c r="R154" t="s">
        <v>514</v>
      </c>
      <c r="S154" s="11">
        <v>-1.645986644176781</v>
      </c>
      <c r="T154" s="3">
        <v>0.84735875113702974</v>
      </c>
      <c r="U154" t="s">
        <v>531</v>
      </c>
    </row>
    <row r="155" spans="1:21" x14ac:dyDescent="0.25">
      <c r="A155" t="s">
        <v>510</v>
      </c>
      <c r="B155" s="11">
        <v>-0.84609035318214598</v>
      </c>
      <c r="C155" s="3">
        <v>0.51882396988385682</v>
      </c>
      <c r="R155" t="s">
        <v>514</v>
      </c>
      <c r="S155" s="11">
        <v>-0.86743505966503698</v>
      </c>
      <c r="T155" s="3">
        <v>0.67582937002005616</v>
      </c>
      <c r="U155" t="s">
        <v>531</v>
      </c>
    </row>
    <row r="156" spans="1:21" x14ac:dyDescent="0.25">
      <c r="A156" t="s">
        <v>510</v>
      </c>
      <c r="B156" s="11">
        <v>-2.1814224288676329</v>
      </c>
      <c r="C156" s="3">
        <v>0.26488058793287189</v>
      </c>
      <c r="R156" t="s">
        <v>514</v>
      </c>
      <c r="S156" s="11">
        <v>-2.9325941145249641</v>
      </c>
      <c r="T156" s="3">
        <v>0.71871414594590854</v>
      </c>
      <c r="U156" t="s">
        <v>531</v>
      </c>
    </row>
    <row r="157" spans="1:21" x14ac:dyDescent="0.25">
      <c r="A157" t="s">
        <v>510</v>
      </c>
      <c r="B157" s="11">
        <v>-1.3905662846404701</v>
      </c>
      <c r="C157" s="3">
        <v>0.72306967803544064</v>
      </c>
      <c r="R157" t="s">
        <v>514</v>
      </c>
      <c r="S157" s="11">
        <v>-1.4892148595936261</v>
      </c>
      <c r="T157" s="3">
        <v>0.92867123352724268</v>
      </c>
      <c r="U157" t="s">
        <v>531</v>
      </c>
    </row>
    <row r="158" spans="1:21" x14ac:dyDescent="0.25">
      <c r="A158" t="s">
        <v>510</v>
      </c>
      <c r="B158" s="11">
        <v>4.2867321612888798</v>
      </c>
      <c r="C158" s="3">
        <v>0.84362216814941771</v>
      </c>
      <c r="R158" t="s">
        <v>519</v>
      </c>
      <c r="S158" s="11">
        <v>1.057062595641554</v>
      </c>
      <c r="T158" s="3">
        <v>0.22870846034528461</v>
      </c>
      <c r="U158" t="s">
        <v>532</v>
      </c>
    </row>
    <row r="159" spans="1:21" x14ac:dyDescent="0.25">
      <c r="A159" t="s">
        <v>510</v>
      </c>
      <c r="B159" s="11">
        <v>-1.7925614148491971</v>
      </c>
      <c r="C159" s="3">
        <v>0.756197264055957</v>
      </c>
      <c r="R159" t="s">
        <v>519</v>
      </c>
      <c r="S159" s="11">
        <v>4.2117000407472931</v>
      </c>
      <c r="T159" s="3">
        <v>0.3056650509059145</v>
      </c>
      <c r="U159" t="s">
        <v>532</v>
      </c>
    </row>
    <row r="160" spans="1:21" x14ac:dyDescent="0.25">
      <c r="A160" t="s">
        <v>510</v>
      </c>
      <c r="B160" s="11">
        <v>-0.95806926571439166</v>
      </c>
      <c r="C160" s="3">
        <v>0.59667636451878903</v>
      </c>
      <c r="R160" t="s">
        <v>519</v>
      </c>
      <c r="S160" s="11">
        <v>3.575261251577063</v>
      </c>
      <c r="T160" s="3">
        <v>0.1184825353029758</v>
      </c>
      <c r="U160" t="s">
        <v>532</v>
      </c>
    </row>
    <row r="161" spans="1:21" x14ac:dyDescent="0.25">
      <c r="A161" t="s">
        <v>510</v>
      </c>
      <c r="B161" s="11">
        <v>-0.92241106591437605</v>
      </c>
      <c r="C161" s="3">
        <v>0.93273414114997388</v>
      </c>
      <c r="R161" t="s">
        <v>519</v>
      </c>
      <c r="S161" s="11">
        <v>5.7153887864091262</v>
      </c>
      <c r="T161" s="3">
        <v>0.54644476446835677</v>
      </c>
      <c r="U161" t="s">
        <v>532</v>
      </c>
    </row>
    <row r="162" spans="1:21" x14ac:dyDescent="0.25">
      <c r="A162" t="s">
        <v>510</v>
      </c>
      <c r="B162" s="11">
        <v>-1.431110210410508</v>
      </c>
      <c r="C162" s="3">
        <v>0.1079884377822322</v>
      </c>
      <c r="R162" t="s">
        <v>519</v>
      </c>
      <c r="S162" s="11">
        <v>2.919188381079183</v>
      </c>
      <c r="T162" s="3">
        <v>0.41318683633122649</v>
      </c>
      <c r="U162" t="s">
        <v>532</v>
      </c>
    </row>
    <row r="163" spans="1:21" x14ac:dyDescent="0.25">
      <c r="A163" t="s">
        <v>510</v>
      </c>
      <c r="B163" s="11">
        <v>-2.1252218283772981</v>
      </c>
      <c r="C163" s="3">
        <v>0.23641414744620209</v>
      </c>
      <c r="R163" t="s">
        <v>519</v>
      </c>
      <c r="S163" s="11">
        <v>-7.984914733646443</v>
      </c>
      <c r="T163" s="3">
        <v>0.49507328748030371</v>
      </c>
      <c r="U163" t="s">
        <v>532</v>
      </c>
    </row>
    <row r="164" spans="1:21" x14ac:dyDescent="0.25">
      <c r="A164" t="s">
        <v>510</v>
      </c>
      <c r="B164" s="11">
        <v>-1.9319494418404699</v>
      </c>
      <c r="C164" s="3">
        <v>0.63601653754895393</v>
      </c>
      <c r="R164" t="s">
        <v>519</v>
      </c>
      <c r="S164" s="11">
        <v>4.1523168535088768</v>
      </c>
      <c r="T164" s="3">
        <v>0.38861666717650928</v>
      </c>
      <c r="U164" t="s">
        <v>532</v>
      </c>
    </row>
    <row r="165" spans="1:21" x14ac:dyDescent="0.25">
      <c r="A165" t="s">
        <v>510</v>
      </c>
      <c r="B165" s="11">
        <v>-1.899903329892541</v>
      </c>
      <c r="C165" s="3">
        <v>0.32853801032222513</v>
      </c>
      <c r="R165" t="s">
        <v>519</v>
      </c>
      <c r="S165" s="11">
        <v>5.2734506064755804</v>
      </c>
      <c r="T165" s="3">
        <v>0.52528544664079668</v>
      </c>
      <c r="U165" t="s">
        <v>532</v>
      </c>
    </row>
    <row r="166" spans="1:21" x14ac:dyDescent="0.25">
      <c r="A166" t="s">
        <v>510</v>
      </c>
      <c r="B166" s="11">
        <v>-2.9583634717612179</v>
      </c>
      <c r="C166" s="3">
        <v>0.76946225597381357</v>
      </c>
      <c r="R166" t="s">
        <v>519</v>
      </c>
      <c r="S166" s="11">
        <v>1.9453612397871569</v>
      </c>
      <c r="T166" s="3">
        <v>0.45483383074542522</v>
      </c>
      <c r="U166" t="s">
        <v>532</v>
      </c>
    </row>
    <row r="167" spans="1:21" x14ac:dyDescent="0.25">
      <c r="A167" t="s">
        <v>510</v>
      </c>
      <c r="B167" s="11">
        <v>-1.791327799475132</v>
      </c>
      <c r="C167" s="3">
        <v>0.99142877280429653</v>
      </c>
      <c r="R167" t="s">
        <v>519</v>
      </c>
      <c r="S167" s="11">
        <v>-5.2808386260393974</v>
      </c>
      <c r="T167" s="3">
        <v>0.59529622921894798</v>
      </c>
      <c r="U167" t="s">
        <v>532</v>
      </c>
    </row>
    <row r="168" spans="1:21" x14ac:dyDescent="0.25">
      <c r="A168" t="s">
        <v>510</v>
      </c>
      <c r="B168" s="11">
        <v>1.244060229565215</v>
      </c>
      <c r="C168" s="3">
        <v>0.57852574224514441</v>
      </c>
      <c r="R168" t="s">
        <v>519</v>
      </c>
      <c r="S168" s="11">
        <v>-7.1591617925057598</v>
      </c>
      <c r="T168" s="3">
        <v>0.81618489217664858</v>
      </c>
      <c r="U168" t="s">
        <v>532</v>
      </c>
    </row>
    <row r="169" spans="1:21" x14ac:dyDescent="0.25">
      <c r="A169" t="s">
        <v>510</v>
      </c>
      <c r="B169" s="11">
        <v>-1.049491194013203</v>
      </c>
      <c r="C169" s="3">
        <v>0.96526539046505389</v>
      </c>
      <c r="R169" t="s">
        <v>519</v>
      </c>
      <c r="S169" s="11">
        <v>0.71080044440910073</v>
      </c>
      <c r="T169" s="3">
        <v>0.1899297237265645</v>
      </c>
      <c r="U169" t="s">
        <v>532</v>
      </c>
    </row>
    <row r="170" spans="1:21" x14ac:dyDescent="0.25">
      <c r="A170" t="s">
        <v>510</v>
      </c>
      <c r="B170" s="11">
        <v>-1.746466027597096</v>
      </c>
      <c r="C170" s="3">
        <v>0.17383620142765499</v>
      </c>
      <c r="R170" t="s">
        <v>519</v>
      </c>
      <c r="S170" s="11">
        <v>3.9976075479904152</v>
      </c>
      <c r="T170" s="3">
        <v>0.24638540345356849</v>
      </c>
      <c r="U170" t="s">
        <v>532</v>
      </c>
    </row>
    <row r="171" spans="1:21" x14ac:dyDescent="0.25">
      <c r="A171" t="s">
        <v>510</v>
      </c>
      <c r="B171" s="11">
        <v>0.72750270892301927</v>
      </c>
      <c r="C171" s="3">
        <v>0.1850378219080894</v>
      </c>
      <c r="R171" t="s">
        <v>519</v>
      </c>
      <c r="S171" s="11">
        <v>-2.7301119852740601</v>
      </c>
      <c r="T171" s="3">
        <v>0.56996931103138504</v>
      </c>
      <c r="U171" t="s">
        <v>532</v>
      </c>
    </row>
    <row r="172" spans="1:21" x14ac:dyDescent="0.25">
      <c r="A172" t="s">
        <v>510</v>
      </c>
      <c r="B172" s="11">
        <v>-1.8411024182976721</v>
      </c>
      <c r="C172" s="3">
        <v>0.67582937002005616</v>
      </c>
      <c r="R172" t="s">
        <v>519</v>
      </c>
      <c r="S172" s="11">
        <v>4.6858643701682272</v>
      </c>
      <c r="T172" s="3">
        <v>0.79241537964468156</v>
      </c>
      <c r="U172" t="s">
        <v>532</v>
      </c>
    </row>
    <row r="173" spans="1:21" x14ac:dyDescent="0.25">
      <c r="A173" t="s">
        <v>510</v>
      </c>
      <c r="B173" s="11">
        <v>-1.6883080517394231</v>
      </c>
      <c r="C173" s="3">
        <v>0.71871414594590854</v>
      </c>
      <c r="R173" t="s">
        <v>519</v>
      </c>
      <c r="S173" s="11">
        <v>0.61150493903829528</v>
      </c>
      <c r="T173" s="3">
        <v>0.21844847365283029</v>
      </c>
      <c r="U173" t="s">
        <v>532</v>
      </c>
    </row>
    <row r="174" spans="1:21" x14ac:dyDescent="0.25">
      <c r="A174" t="s">
        <v>510</v>
      </c>
      <c r="B174" s="11">
        <v>-2.399770964031402</v>
      </c>
      <c r="C174" s="3">
        <v>0.84972860740667733</v>
      </c>
      <c r="R174" t="s">
        <v>519</v>
      </c>
      <c r="S174" s="11">
        <v>2.8932450074439311</v>
      </c>
      <c r="T174" s="3">
        <v>0.24155574839601629</v>
      </c>
      <c r="U174" t="s">
        <v>532</v>
      </c>
    </row>
    <row r="175" spans="1:21" x14ac:dyDescent="0.25">
      <c r="A175" t="s">
        <v>511</v>
      </c>
      <c r="B175" s="11">
        <v>2.237518399194474</v>
      </c>
      <c r="C175" s="3">
        <v>0.22870846034528461</v>
      </c>
      <c r="R175" t="s">
        <v>519</v>
      </c>
      <c r="S175" s="11">
        <v>3.3807099689686742</v>
      </c>
      <c r="T175" s="3">
        <v>0.31548093049619752</v>
      </c>
      <c r="U175" t="s">
        <v>532</v>
      </c>
    </row>
    <row r="176" spans="1:21" x14ac:dyDescent="0.25">
      <c r="A176" t="s">
        <v>511</v>
      </c>
      <c r="B176" s="11">
        <v>2.2927592666720482</v>
      </c>
      <c r="C176" s="3">
        <v>0.17826894991460529</v>
      </c>
      <c r="R176" t="s">
        <v>519</v>
      </c>
      <c r="S176" s="11">
        <v>3.9179060677760531</v>
      </c>
      <c r="T176" s="3">
        <v>0.15383559011563189</v>
      </c>
      <c r="U176" t="s">
        <v>532</v>
      </c>
    </row>
    <row r="177" spans="1:21" x14ac:dyDescent="0.25">
      <c r="A177" t="s">
        <v>511</v>
      </c>
      <c r="B177" s="11">
        <v>0.89072927117190537</v>
      </c>
      <c r="C177" s="3">
        <v>0.1184825353029758</v>
      </c>
      <c r="R177" t="s">
        <v>519</v>
      </c>
      <c r="S177" s="11">
        <v>5.6419120778594136</v>
      </c>
      <c r="T177" s="3">
        <v>0.30349608001371869</v>
      </c>
      <c r="U177" t="s">
        <v>532</v>
      </c>
    </row>
    <row r="178" spans="1:21" x14ac:dyDescent="0.25">
      <c r="A178" t="s">
        <v>511</v>
      </c>
      <c r="B178" s="11">
        <v>1.1572844529361019</v>
      </c>
      <c r="C178" s="3">
        <v>0.41318683633122649</v>
      </c>
      <c r="R178" t="s">
        <v>519</v>
      </c>
      <c r="S178" s="11">
        <v>3.761541070965396</v>
      </c>
      <c r="T178" s="3">
        <v>0.76150808817919846</v>
      </c>
      <c r="U178" t="s">
        <v>532</v>
      </c>
    </row>
    <row r="179" spans="1:21" x14ac:dyDescent="0.25">
      <c r="A179" t="s">
        <v>511</v>
      </c>
      <c r="B179" s="11">
        <v>1.975859481571274</v>
      </c>
      <c r="C179" s="3">
        <v>0.45541967084629342</v>
      </c>
      <c r="R179" t="s">
        <v>519</v>
      </c>
      <c r="S179" s="11">
        <v>-4.1115075869756863</v>
      </c>
      <c r="T179" s="3">
        <v>0.1192093376137723</v>
      </c>
      <c r="U179" t="s">
        <v>532</v>
      </c>
    </row>
    <row r="180" spans="1:21" x14ac:dyDescent="0.25">
      <c r="A180" t="s">
        <v>511</v>
      </c>
      <c r="B180" s="11">
        <v>2.042783465842601</v>
      </c>
      <c r="C180" s="3">
        <v>0.49507328748030371</v>
      </c>
      <c r="R180" t="s">
        <v>519</v>
      </c>
      <c r="S180" s="11">
        <v>4.3375304583240659</v>
      </c>
      <c r="T180" s="3">
        <v>0.20779136981902099</v>
      </c>
      <c r="U180" t="s">
        <v>532</v>
      </c>
    </row>
    <row r="181" spans="1:21" x14ac:dyDescent="0.25">
      <c r="A181" t="s">
        <v>511</v>
      </c>
      <c r="B181" s="11">
        <v>1.1813747745860641</v>
      </c>
      <c r="C181" s="3">
        <v>0.1899297237265645</v>
      </c>
      <c r="R181" t="s">
        <v>519</v>
      </c>
      <c r="S181" s="11">
        <v>-8.3309875057339227</v>
      </c>
      <c r="T181" s="3">
        <v>0.28070261930077622</v>
      </c>
      <c r="U181" t="s">
        <v>532</v>
      </c>
    </row>
    <row r="182" spans="1:21" x14ac:dyDescent="0.25">
      <c r="A182" t="s">
        <v>511</v>
      </c>
      <c r="B182" s="11">
        <v>2.097775054108951</v>
      </c>
      <c r="C182" s="3">
        <v>0.13939834915146149</v>
      </c>
      <c r="R182" t="s">
        <v>519</v>
      </c>
      <c r="S182" s="11">
        <v>1.9894373172813471</v>
      </c>
      <c r="T182" s="3">
        <v>0.40433955316321268</v>
      </c>
      <c r="U182" t="s">
        <v>532</v>
      </c>
    </row>
    <row r="183" spans="1:21" x14ac:dyDescent="0.25">
      <c r="A183" t="s">
        <v>511</v>
      </c>
      <c r="B183" s="11">
        <v>2.5820829363854698</v>
      </c>
      <c r="C183" s="3">
        <v>0.56996931103138504</v>
      </c>
      <c r="R183" t="s">
        <v>519</v>
      </c>
      <c r="S183" s="11">
        <v>6.7164804514002707</v>
      </c>
      <c r="T183" s="3">
        <v>0.3885011523872004</v>
      </c>
      <c r="U183" t="s">
        <v>532</v>
      </c>
    </row>
    <row r="184" spans="1:21" x14ac:dyDescent="0.25">
      <c r="A184" t="s">
        <v>511</v>
      </c>
      <c r="B184" s="11">
        <v>4.5888591971096986</v>
      </c>
      <c r="C184" s="3">
        <v>0.93425399770073236</v>
      </c>
      <c r="R184" t="s">
        <v>519</v>
      </c>
      <c r="S184" s="11">
        <v>1.799529550716328</v>
      </c>
      <c r="T184" s="3">
        <v>0.70283952218119539</v>
      </c>
      <c r="U184" t="s">
        <v>532</v>
      </c>
    </row>
    <row r="185" spans="1:21" x14ac:dyDescent="0.25">
      <c r="A185" t="s">
        <v>511</v>
      </c>
      <c r="B185" s="11">
        <v>2.0257029654388128</v>
      </c>
      <c r="C185" s="3">
        <v>0.25494149402139399</v>
      </c>
      <c r="R185" t="s">
        <v>519</v>
      </c>
      <c r="S185" s="11">
        <v>-5.5213332242099789</v>
      </c>
      <c r="T185" s="3">
        <v>0.92366180927910158</v>
      </c>
      <c r="U185" t="s">
        <v>532</v>
      </c>
    </row>
    <row r="186" spans="1:21" x14ac:dyDescent="0.25">
      <c r="A186" t="s">
        <v>511</v>
      </c>
      <c r="B186" s="11">
        <v>3.3150203899875241</v>
      </c>
      <c r="C186" s="3">
        <v>0.46643423991917787</v>
      </c>
      <c r="R186" t="s">
        <v>519</v>
      </c>
      <c r="S186" s="11">
        <v>3.1322030136881529</v>
      </c>
      <c r="T186" s="3">
        <v>0.44835388907017598</v>
      </c>
      <c r="U186" t="s">
        <v>532</v>
      </c>
    </row>
    <row r="187" spans="1:21" x14ac:dyDescent="0.25">
      <c r="A187" t="s">
        <v>511</v>
      </c>
      <c r="B187" s="11">
        <v>1.448141674792319</v>
      </c>
      <c r="C187" s="3">
        <v>0.79241537964468156</v>
      </c>
      <c r="R187" t="s">
        <v>519</v>
      </c>
      <c r="S187" s="11">
        <v>3.2405584181098939</v>
      </c>
      <c r="T187" s="3">
        <v>0.41291969695462732</v>
      </c>
      <c r="U187" t="s">
        <v>532</v>
      </c>
    </row>
    <row r="188" spans="1:21" x14ac:dyDescent="0.25">
      <c r="A188" t="s">
        <v>511</v>
      </c>
      <c r="B188" s="11">
        <v>0.74169140218991736</v>
      </c>
      <c r="C188" s="3">
        <v>0.20311040955114479</v>
      </c>
      <c r="R188" t="s">
        <v>519</v>
      </c>
      <c r="S188" s="11">
        <v>6.2874874367196201</v>
      </c>
      <c r="T188" s="3">
        <v>0.72601770791125975</v>
      </c>
      <c r="U188" t="s">
        <v>532</v>
      </c>
    </row>
    <row r="189" spans="1:21" x14ac:dyDescent="0.25">
      <c r="A189" t="s">
        <v>511</v>
      </c>
      <c r="B189" s="11">
        <v>1.291086225137333</v>
      </c>
      <c r="C189" s="3">
        <v>0.21844847365283029</v>
      </c>
      <c r="R189" t="s">
        <v>519</v>
      </c>
      <c r="S189" s="11">
        <v>5.982404616976809</v>
      </c>
      <c r="T189" s="3">
        <v>0.85070183091983609</v>
      </c>
      <c r="U189" t="s">
        <v>532</v>
      </c>
    </row>
    <row r="190" spans="1:21" x14ac:dyDescent="0.25">
      <c r="A190" t="s">
        <v>511</v>
      </c>
      <c r="B190" s="11">
        <v>2.366858493952182</v>
      </c>
      <c r="C190" s="3">
        <v>0.1304210889068497</v>
      </c>
      <c r="R190" t="s">
        <v>519</v>
      </c>
      <c r="S190" s="11">
        <v>7.1378200041384856</v>
      </c>
      <c r="T190" s="3">
        <v>0.3924030271803659</v>
      </c>
      <c r="U190" t="s">
        <v>532</v>
      </c>
    </row>
    <row r="191" spans="1:21" x14ac:dyDescent="0.25">
      <c r="A191" t="s">
        <v>511</v>
      </c>
      <c r="B191" s="11">
        <v>0.93769256122473732</v>
      </c>
      <c r="C191" s="3">
        <v>0.25219406014368551</v>
      </c>
      <c r="R191" t="s">
        <v>519</v>
      </c>
      <c r="S191" s="11">
        <v>4.2695001889084132</v>
      </c>
      <c r="T191" s="3">
        <v>0.22935240254124639</v>
      </c>
      <c r="U191" t="s">
        <v>532</v>
      </c>
    </row>
    <row r="192" spans="1:21" x14ac:dyDescent="0.25">
      <c r="A192" t="s">
        <v>511</v>
      </c>
      <c r="B192" s="11">
        <v>2.081304470981014</v>
      </c>
      <c r="C192" s="3">
        <v>0.24155574839601629</v>
      </c>
      <c r="R192" t="s">
        <v>519</v>
      </c>
      <c r="S192" s="11">
        <v>1.731785247623727</v>
      </c>
      <c r="T192" s="3">
        <v>0.98296832098831999</v>
      </c>
      <c r="U192" t="s">
        <v>532</v>
      </c>
    </row>
    <row r="193" spans="1:21" x14ac:dyDescent="0.25">
      <c r="A193" t="s">
        <v>511</v>
      </c>
      <c r="B193" s="11">
        <v>1.389539114899438</v>
      </c>
      <c r="C193" s="3">
        <v>0.31548093049619752</v>
      </c>
      <c r="R193" t="s">
        <v>519</v>
      </c>
      <c r="S193" s="11">
        <v>5.7147840565179653</v>
      </c>
      <c r="T193" s="3">
        <v>0.8951374050705958</v>
      </c>
      <c r="U193" t="s">
        <v>532</v>
      </c>
    </row>
    <row r="194" spans="1:21" x14ac:dyDescent="0.25">
      <c r="A194" t="s">
        <v>511</v>
      </c>
      <c r="B194" s="11">
        <v>0.91545469065448359</v>
      </c>
      <c r="C194" s="3">
        <v>0.15383559011563189</v>
      </c>
      <c r="R194" t="s">
        <v>519</v>
      </c>
      <c r="S194" s="11">
        <v>2.5812464862393809</v>
      </c>
      <c r="T194" s="3">
        <v>0.1010331424755098</v>
      </c>
      <c r="U194" t="s">
        <v>532</v>
      </c>
    </row>
    <row r="195" spans="1:21" x14ac:dyDescent="0.25">
      <c r="A195" t="s">
        <v>511</v>
      </c>
      <c r="B195" s="11">
        <v>1.9323212516740551</v>
      </c>
      <c r="C195" s="3">
        <v>0.1158538748540241</v>
      </c>
      <c r="R195" t="s">
        <v>519</v>
      </c>
      <c r="S195" s="11">
        <v>6.1827508158226117</v>
      </c>
      <c r="T195" s="3">
        <v>0.77288106209373775</v>
      </c>
      <c r="U195" t="s">
        <v>532</v>
      </c>
    </row>
    <row r="196" spans="1:21" x14ac:dyDescent="0.25">
      <c r="A196" t="s">
        <v>511</v>
      </c>
      <c r="B196" s="11">
        <v>1.1019670962416901</v>
      </c>
      <c r="C196" s="3">
        <v>0.35397557954965891</v>
      </c>
      <c r="R196" t="s">
        <v>519</v>
      </c>
      <c r="S196" s="11">
        <v>5.6802403728037456</v>
      </c>
      <c r="T196" s="3">
        <v>0.61717013705295098</v>
      </c>
      <c r="U196" t="s">
        <v>532</v>
      </c>
    </row>
    <row r="197" spans="1:21" x14ac:dyDescent="0.25">
      <c r="A197" t="s">
        <v>511</v>
      </c>
      <c r="B197" s="11">
        <v>4.0756628565449171</v>
      </c>
      <c r="C197" s="3">
        <v>0.70283952218119539</v>
      </c>
      <c r="R197" t="s">
        <v>519</v>
      </c>
      <c r="S197" s="11">
        <v>0.95257834942715569</v>
      </c>
      <c r="T197" s="3">
        <v>0.1978391265072644</v>
      </c>
      <c r="U197" t="s">
        <v>532</v>
      </c>
    </row>
    <row r="198" spans="1:21" x14ac:dyDescent="0.25">
      <c r="A198" t="s">
        <v>511</v>
      </c>
      <c r="B198" s="11">
        <v>2.0252217480813721</v>
      </c>
      <c r="C198" s="3">
        <v>0.1705724192823794</v>
      </c>
      <c r="R198" t="s">
        <v>519</v>
      </c>
      <c r="S198" s="11">
        <v>2.7988688025391482</v>
      </c>
      <c r="T198" s="3">
        <v>0.74244149323312658</v>
      </c>
      <c r="U198" t="s">
        <v>532</v>
      </c>
    </row>
    <row r="199" spans="1:21" x14ac:dyDescent="0.25">
      <c r="A199" t="s">
        <v>511</v>
      </c>
      <c r="B199" s="11">
        <v>3.2530936155538179</v>
      </c>
      <c r="C199" s="3">
        <v>0.67250802584224512</v>
      </c>
      <c r="R199" t="s">
        <v>519</v>
      </c>
      <c r="S199" s="11">
        <v>-4.6058966764619846</v>
      </c>
      <c r="T199" s="3">
        <v>0.68576777898227115</v>
      </c>
      <c r="U199" t="s">
        <v>532</v>
      </c>
    </row>
    <row r="200" spans="1:21" x14ac:dyDescent="0.25">
      <c r="A200" t="s">
        <v>511</v>
      </c>
      <c r="B200" s="11">
        <v>2.8180983349826292</v>
      </c>
      <c r="C200" s="3">
        <v>0.1322829447055649</v>
      </c>
      <c r="R200" t="s">
        <v>519</v>
      </c>
      <c r="S200" s="11">
        <v>3.5270917424235888</v>
      </c>
      <c r="T200" s="3">
        <v>0.34793509357718172</v>
      </c>
      <c r="U200" t="s">
        <v>532</v>
      </c>
    </row>
    <row r="201" spans="1:21" x14ac:dyDescent="0.25">
      <c r="A201" t="s">
        <v>511</v>
      </c>
      <c r="B201" s="11">
        <v>2.235600452483399</v>
      </c>
      <c r="C201" s="3">
        <v>0.60240763309890277</v>
      </c>
      <c r="R201" t="s">
        <v>519</v>
      </c>
      <c r="S201" s="11">
        <v>3.1227211697394068</v>
      </c>
      <c r="T201" s="3">
        <v>0.1089686379392189</v>
      </c>
      <c r="U201" t="s">
        <v>532</v>
      </c>
    </row>
    <row r="202" spans="1:21" x14ac:dyDescent="0.25">
      <c r="A202" t="s">
        <v>511</v>
      </c>
      <c r="B202" s="11">
        <v>0.66212050717150506</v>
      </c>
      <c r="C202" s="3">
        <v>0.72601770791125975</v>
      </c>
      <c r="R202" t="s">
        <v>519</v>
      </c>
      <c r="S202" s="11">
        <v>3.3493630876447398</v>
      </c>
      <c r="T202" s="3">
        <v>0.93008937672037084</v>
      </c>
      <c r="U202" t="s">
        <v>532</v>
      </c>
    </row>
    <row r="203" spans="1:21" x14ac:dyDescent="0.25">
      <c r="A203" t="s">
        <v>511</v>
      </c>
      <c r="B203" s="11">
        <v>0.9895306252128141</v>
      </c>
      <c r="C203" s="3">
        <v>0.85070183091983609</v>
      </c>
      <c r="R203" t="s">
        <v>519</v>
      </c>
      <c r="S203" s="11">
        <v>0.56943746562461117</v>
      </c>
      <c r="T203" s="3">
        <v>0.87576732752300213</v>
      </c>
      <c r="U203" t="s">
        <v>532</v>
      </c>
    </row>
    <row r="204" spans="1:21" x14ac:dyDescent="0.25">
      <c r="A204" t="s">
        <v>511</v>
      </c>
      <c r="B204" s="11">
        <v>1.1016009286910149</v>
      </c>
      <c r="C204" s="3">
        <v>0.20949723418173821</v>
      </c>
      <c r="R204" t="s">
        <v>519</v>
      </c>
      <c r="S204" s="11">
        <v>2.875132517818678</v>
      </c>
      <c r="T204" s="3">
        <v>0.68096930218422058</v>
      </c>
      <c r="U204" t="s">
        <v>532</v>
      </c>
    </row>
    <row r="205" spans="1:21" x14ac:dyDescent="0.25">
      <c r="A205" t="s">
        <v>511</v>
      </c>
      <c r="B205" s="11">
        <v>2.0840488878192232</v>
      </c>
      <c r="C205" s="3">
        <v>0.54298250440673823</v>
      </c>
      <c r="R205" t="s">
        <v>519</v>
      </c>
      <c r="S205" s="11">
        <v>-4.3820417974802357</v>
      </c>
      <c r="T205" s="3">
        <v>0.70372975816672356</v>
      </c>
      <c r="U205" t="s">
        <v>532</v>
      </c>
    </row>
    <row r="206" spans="1:21" x14ac:dyDescent="0.25">
      <c r="A206" t="s">
        <v>511</v>
      </c>
      <c r="B206" s="11">
        <v>1.0169135159423921</v>
      </c>
      <c r="C206" s="3">
        <v>0.7506286660757433</v>
      </c>
      <c r="R206" t="s">
        <v>519</v>
      </c>
      <c r="S206" s="11">
        <v>5.4205504388920778</v>
      </c>
      <c r="T206" s="3">
        <v>0.26488058793287189</v>
      </c>
      <c r="U206" t="s">
        <v>532</v>
      </c>
    </row>
    <row r="207" spans="1:21" x14ac:dyDescent="0.25">
      <c r="A207" t="s">
        <v>511</v>
      </c>
      <c r="B207" s="11">
        <v>3.345061419082783</v>
      </c>
      <c r="C207" s="3">
        <v>0.98296832098831999</v>
      </c>
      <c r="R207" t="s">
        <v>519</v>
      </c>
      <c r="S207" s="11">
        <v>-16.38986519013347</v>
      </c>
      <c r="T207" s="3">
        <v>0.84362216814941771</v>
      </c>
      <c r="U207" t="s">
        <v>532</v>
      </c>
    </row>
    <row r="208" spans="1:21" x14ac:dyDescent="0.25">
      <c r="A208" t="s">
        <v>511</v>
      </c>
      <c r="B208" s="11">
        <v>1.735349131222375</v>
      </c>
      <c r="C208" s="3">
        <v>0.8951374050705958</v>
      </c>
      <c r="R208" t="s">
        <v>519</v>
      </c>
      <c r="S208" s="11">
        <v>-4.5412595972753049</v>
      </c>
      <c r="T208" s="3">
        <v>0.78980888511177938</v>
      </c>
      <c r="U208" t="s">
        <v>532</v>
      </c>
    </row>
    <row r="209" spans="1:21" x14ac:dyDescent="0.25">
      <c r="A209" t="s">
        <v>511</v>
      </c>
      <c r="B209" s="11">
        <v>1.02624444073106</v>
      </c>
      <c r="C209" s="3">
        <v>0.20400464726331169</v>
      </c>
      <c r="R209" t="s">
        <v>519</v>
      </c>
      <c r="S209" s="11">
        <v>3.603738255866392</v>
      </c>
      <c r="T209" s="3">
        <v>0.756197264055957</v>
      </c>
      <c r="U209" t="s">
        <v>532</v>
      </c>
    </row>
    <row r="210" spans="1:21" x14ac:dyDescent="0.25">
      <c r="A210" t="s">
        <v>511</v>
      </c>
      <c r="B210" s="11">
        <v>1.570884489442631</v>
      </c>
      <c r="C210" s="3">
        <v>0.2364424124269455</v>
      </c>
      <c r="R210" t="s">
        <v>519</v>
      </c>
      <c r="S210" s="11">
        <v>0.64102350823563892</v>
      </c>
      <c r="T210" s="3">
        <v>0.93273414114997388</v>
      </c>
      <c r="U210" t="s">
        <v>532</v>
      </c>
    </row>
    <row r="211" spans="1:21" x14ac:dyDescent="0.25">
      <c r="A211" t="s">
        <v>511</v>
      </c>
      <c r="B211" s="11">
        <v>0.88370529162556299</v>
      </c>
      <c r="C211" s="3">
        <v>0.77288106209373775</v>
      </c>
      <c r="R211" t="s">
        <v>519</v>
      </c>
      <c r="S211" s="11">
        <v>4.431713672176965</v>
      </c>
      <c r="T211" s="3">
        <v>0.1079884377822322</v>
      </c>
      <c r="U211" t="s">
        <v>532</v>
      </c>
    </row>
    <row r="212" spans="1:21" x14ac:dyDescent="0.25">
      <c r="A212" t="s">
        <v>511</v>
      </c>
      <c r="B212" s="11">
        <v>2.6789841251700741</v>
      </c>
      <c r="C212" s="3">
        <v>0.42773429932738999</v>
      </c>
      <c r="R212" t="s">
        <v>519</v>
      </c>
      <c r="S212" s="11">
        <v>2.9688615073999962</v>
      </c>
      <c r="T212" s="3">
        <v>0.23641414744620209</v>
      </c>
      <c r="U212" t="s">
        <v>532</v>
      </c>
    </row>
    <row r="213" spans="1:21" x14ac:dyDescent="0.25">
      <c r="A213" t="s">
        <v>511</v>
      </c>
      <c r="B213" s="11">
        <v>1.1873294074351499</v>
      </c>
      <c r="C213" s="3">
        <v>0.61717013705295098</v>
      </c>
      <c r="R213" t="s">
        <v>519</v>
      </c>
      <c r="S213" s="11">
        <v>-3.3883377316870611</v>
      </c>
      <c r="T213" s="3">
        <v>0.1200003797312796</v>
      </c>
      <c r="U213" t="s">
        <v>532</v>
      </c>
    </row>
    <row r="214" spans="1:21" x14ac:dyDescent="0.25">
      <c r="A214" t="s">
        <v>511</v>
      </c>
      <c r="B214" s="11">
        <v>3.216489173873192</v>
      </c>
      <c r="C214" s="3">
        <v>0.26821316439900922</v>
      </c>
      <c r="R214" t="s">
        <v>519</v>
      </c>
      <c r="S214" s="11">
        <v>3.488097242589816</v>
      </c>
      <c r="T214" s="3">
        <v>0.32853801032222513</v>
      </c>
      <c r="U214" t="s">
        <v>532</v>
      </c>
    </row>
    <row r="215" spans="1:21" x14ac:dyDescent="0.25">
      <c r="A215" t="s">
        <v>511</v>
      </c>
      <c r="B215" s="11">
        <v>0.62922523907160932</v>
      </c>
      <c r="C215" s="3">
        <v>0.1749443239595754</v>
      </c>
      <c r="R215" t="s">
        <v>519</v>
      </c>
      <c r="S215" s="11">
        <v>6.7351723589370547</v>
      </c>
      <c r="T215" s="3">
        <v>0.96724011899471685</v>
      </c>
      <c r="U215" t="s">
        <v>532</v>
      </c>
    </row>
    <row r="216" spans="1:21" x14ac:dyDescent="0.25">
      <c r="A216" t="s">
        <v>511</v>
      </c>
      <c r="B216" s="11">
        <v>2.1094732313818811</v>
      </c>
      <c r="C216" s="3">
        <v>0.43627892152177872</v>
      </c>
      <c r="R216" t="s">
        <v>519</v>
      </c>
      <c r="S216" s="11">
        <v>4.707234967181499</v>
      </c>
      <c r="T216" s="3">
        <v>0.57852574224514441</v>
      </c>
      <c r="U216" t="s">
        <v>532</v>
      </c>
    </row>
    <row r="217" spans="1:21" x14ac:dyDescent="0.25">
      <c r="A217" t="s">
        <v>511</v>
      </c>
      <c r="B217" s="11">
        <v>2.0645328583823441</v>
      </c>
      <c r="C217" s="3">
        <v>0.1978391265072644</v>
      </c>
      <c r="R217" t="s">
        <v>519</v>
      </c>
      <c r="S217" s="11">
        <v>7.16445780143939</v>
      </c>
      <c r="T217" s="3">
        <v>0.99035256236056901</v>
      </c>
      <c r="U217" t="s">
        <v>532</v>
      </c>
    </row>
    <row r="218" spans="1:21" x14ac:dyDescent="0.25">
      <c r="A218" t="s">
        <v>511</v>
      </c>
      <c r="B218" s="11">
        <v>3.6279776996200881</v>
      </c>
      <c r="C218" s="3">
        <v>0.1000450754234999</v>
      </c>
      <c r="R218" t="s">
        <v>519</v>
      </c>
      <c r="S218" s="11">
        <v>3.841432535527495</v>
      </c>
      <c r="T218" s="3">
        <v>0.42578094499293179</v>
      </c>
      <c r="U218" t="s">
        <v>532</v>
      </c>
    </row>
    <row r="219" spans="1:21" x14ac:dyDescent="0.25">
      <c r="A219" t="s">
        <v>511</v>
      </c>
      <c r="B219" s="11">
        <v>2.0201668750995321</v>
      </c>
      <c r="C219" s="3">
        <v>0.74244149323312658</v>
      </c>
      <c r="R219" t="s">
        <v>519</v>
      </c>
      <c r="S219" s="11">
        <v>1.1699729404775061</v>
      </c>
      <c r="T219" s="3">
        <v>0.17383620142765499</v>
      </c>
      <c r="U219" t="s">
        <v>532</v>
      </c>
    </row>
    <row r="220" spans="1:21" x14ac:dyDescent="0.25">
      <c r="A220" t="s">
        <v>511</v>
      </c>
      <c r="B220" s="11">
        <v>1.9256399371499859</v>
      </c>
      <c r="C220" s="3">
        <v>0.18887930360487901</v>
      </c>
      <c r="R220" t="s">
        <v>519</v>
      </c>
      <c r="S220" s="11">
        <v>-3.483713719559383</v>
      </c>
      <c r="T220" s="3">
        <v>0.68064192853901861</v>
      </c>
      <c r="U220" t="s">
        <v>532</v>
      </c>
    </row>
    <row r="221" spans="1:21" x14ac:dyDescent="0.25">
      <c r="A221" t="s">
        <v>511</v>
      </c>
      <c r="B221" s="11">
        <v>1.4875136816744501</v>
      </c>
      <c r="C221" s="3">
        <v>0.86655857869174824</v>
      </c>
      <c r="R221" t="s">
        <v>519</v>
      </c>
      <c r="S221" s="11">
        <v>5.6434424038592939</v>
      </c>
      <c r="T221" s="3">
        <v>0.84735875113702974</v>
      </c>
      <c r="U221" t="s">
        <v>532</v>
      </c>
    </row>
    <row r="222" spans="1:21" x14ac:dyDescent="0.25">
      <c r="A222" t="s">
        <v>511</v>
      </c>
      <c r="B222" s="11">
        <v>2.0389309890535592</v>
      </c>
      <c r="C222" s="3">
        <v>0.65469998820211983</v>
      </c>
      <c r="R222" t="s">
        <v>519</v>
      </c>
      <c r="S222" s="11">
        <v>3.019093893929929</v>
      </c>
      <c r="T222" s="3">
        <v>0.1850378219080894</v>
      </c>
      <c r="U222" t="s">
        <v>532</v>
      </c>
    </row>
    <row r="223" spans="1:21" x14ac:dyDescent="0.25">
      <c r="A223" t="s">
        <v>511</v>
      </c>
      <c r="B223" s="11">
        <v>0.8869809184437385</v>
      </c>
      <c r="C223" s="3">
        <v>0.34793509357718172</v>
      </c>
      <c r="R223" t="s">
        <v>519</v>
      </c>
      <c r="S223" s="11">
        <v>3.4279246744935938</v>
      </c>
      <c r="T223" s="3">
        <v>0.71871414594590854</v>
      </c>
      <c r="U223" t="s">
        <v>532</v>
      </c>
    </row>
    <row r="224" spans="1:21" x14ac:dyDescent="0.25">
      <c r="A224" t="s">
        <v>511</v>
      </c>
      <c r="B224" s="11">
        <v>1.0878720776016131</v>
      </c>
      <c r="C224" s="3">
        <v>0.80244896685013978</v>
      </c>
      <c r="R224" t="s">
        <v>519</v>
      </c>
      <c r="S224" s="11">
        <v>0.58286574765536947</v>
      </c>
      <c r="T224" s="3">
        <v>0.6507664077012254</v>
      </c>
      <c r="U224" t="s">
        <v>532</v>
      </c>
    </row>
    <row r="225" spans="1:21" x14ac:dyDescent="0.25">
      <c r="A225" t="s">
        <v>511</v>
      </c>
      <c r="B225" s="11">
        <v>2.5060430121030008</v>
      </c>
      <c r="C225" s="3">
        <v>0.93008937672037084</v>
      </c>
      <c r="R225" t="s">
        <v>519</v>
      </c>
      <c r="S225" s="11">
        <v>6.7196220584397226</v>
      </c>
      <c r="T225" s="3">
        <v>0.92867123352724268</v>
      </c>
      <c r="U225" t="s">
        <v>532</v>
      </c>
    </row>
    <row r="226" spans="1:21" x14ac:dyDescent="0.25">
      <c r="A226" t="s">
        <v>511</v>
      </c>
      <c r="B226" s="11">
        <v>1.0370575775122779</v>
      </c>
      <c r="C226" s="3">
        <v>0.87576732752300213</v>
      </c>
      <c r="R226" t="s">
        <v>512</v>
      </c>
      <c r="S226" s="11">
        <v>0.97147471897005921</v>
      </c>
      <c r="T226" s="3">
        <v>0.17826894991460529</v>
      </c>
      <c r="U226" t="s">
        <v>533</v>
      </c>
    </row>
    <row r="227" spans="1:21" x14ac:dyDescent="0.25">
      <c r="A227" t="s">
        <v>511</v>
      </c>
      <c r="B227" s="11">
        <v>0.41363275379395292</v>
      </c>
      <c r="C227" s="3">
        <v>0.2583057538052474</v>
      </c>
      <c r="R227" t="s">
        <v>512</v>
      </c>
      <c r="S227" s="11">
        <v>-1.8746300695398079</v>
      </c>
      <c r="T227" s="3">
        <v>0.3056650509059145</v>
      </c>
      <c r="U227" t="s">
        <v>533</v>
      </c>
    </row>
    <row r="228" spans="1:21" x14ac:dyDescent="0.25">
      <c r="A228" t="s">
        <v>511</v>
      </c>
      <c r="B228" s="11">
        <v>0.67197070236373047</v>
      </c>
      <c r="C228" s="3">
        <v>0.48663727550552088</v>
      </c>
      <c r="R228" t="s">
        <v>512</v>
      </c>
      <c r="S228" s="11">
        <v>-2.499590213630186</v>
      </c>
      <c r="T228" s="3">
        <v>0.1184825353029758</v>
      </c>
      <c r="U228" t="s">
        <v>533</v>
      </c>
    </row>
    <row r="229" spans="1:21" x14ac:dyDescent="0.25">
      <c r="A229" t="s">
        <v>511</v>
      </c>
      <c r="B229" s="11">
        <v>2.0746472446654929</v>
      </c>
      <c r="C229" s="3">
        <v>0.68096930218422058</v>
      </c>
      <c r="R229" t="s">
        <v>512</v>
      </c>
      <c r="S229" s="11">
        <v>-2.6693672376371511</v>
      </c>
      <c r="T229" s="3">
        <v>0.54644476446835677</v>
      </c>
      <c r="U229" t="s">
        <v>533</v>
      </c>
    </row>
    <row r="230" spans="1:21" x14ac:dyDescent="0.25">
      <c r="A230" t="s">
        <v>511</v>
      </c>
      <c r="B230" s="11">
        <v>0.81427723044613598</v>
      </c>
      <c r="C230" s="3">
        <v>0.70372975816672356</v>
      </c>
      <c r="R230" t="s">
        <v>512</v>
      </c>
      <c r="S230" s="11">
        <v>-2.0670503185883602</v>
      </c>
      <c r="T230" s="3">
        <v>0.41318683633122649</v>
      </c>
      <c r="U230" t="s">
        <v>533</v>
      </c>
    </row>
    <row r="231" spans="1:21" x14ac:dyDescent="0.25">
      <c r="A231" t="s">
        <v>511</v>
      </c>
      <c r="B231" s="11">
        <v>1.673105812877369</v>
      </c>
      <c r="C231" s="3">
        <v>0.51882396988385682</v>
      </c>
      <c r="R231" t="s">
        <v>512</v>
      </c>
      <c r="S231" s="11">
        <v>5.1253951469858086</v>
      </c>
      <c r="T231" s="3">
        <v>0.49507328748030371</v>
      </c>
      <c r="U231" t="s">
        <v>533</v>
      </c>
    </row>
    <row r="232" spans="1:21" x14ac:dyDescent="0.25">
      <c r="A232" t="s">
        <v>511</v>
      </c>
      <c r="B232" s="11">
        <v>0.65654487742231216</v>
      </c>
      <c r="C232" s="3">
        <v>0.1236564146965753</v>
      </c>
      <c r="R232" t="s">
        <v>512</v>
      </c>
      <c r="S232" s="11">
        <v>-1.9106780677456161</v>
      </c>
      <c r="T232" s="3">
        <v>0.38861666717650928</v>
      </c>
      <c r="U232" t="s">
        <v>533</v>
      </c>
    </row>
    <row r="233" spans="1:21" x14ac:dyDescent="0.25">
      <c r="A233" t="s">
        <v>511</v>
      </c>
      <c r="B233" s="11">
        <v>0.69520931682527043</v>
      </c>
      <c r="C233" s="3">
        <v>0.26488058793287189</v>
      </c>
      <c r="R233" t="s">
        <v>512</v>
      </c>
      <c r="S233" s="11">
        <v>-4.3380368186383844</v>
      </c>
      <c r="T233" s="3">
        <v>0.52528544664079668</v>
      </c>
      <c r="U233" t="s">
        <v>533</v>
      </c>
    </row>
    <row r="234" spans="1:21" x14ac:dyDescent="0.25">
      <c r="A234" t="s">
        <v>511</v>
      </c>
      <c r="B234" s="11">
        <v>2.7033798393636741</v>
      </c>
      <c r="C234" s="3">
        <v>0.72306967803544064</v>
      </c>
      <c r="R234" t="s">
        <v>512</v>
      </c>
      <c r="S234" s="11">
        <v>4.221813267361572</v>
      </c>
      <c r="T234" s="3">
        <v>0.59529622921894798</v>
      </c>
      <c r="U234" t="s">
        <v>533</v>
      </c>
    </row>
    <row r="235" spans="1:21" x14ac:dyDescent="0.25">
      <c r="A235" t="s">
        <v>511</v>
      </c>
      <c r="B235" s="11">
        <v>2.9682907573908879</v>
      </c>
      <c r="C235" s="3">
        <v>0.78980888511177938</v>
      </c>
      <c r="R235" t="s">
        <v>512</v>
      </c>
      <c r="S235" s="11">
        <v>5.6713539716436099</v>
      </c>
      <c r="T235" s="3">
        <v>0.81618489217664858</v>
      </c>
      <c r="U235" t="s">
        <v>533</v>
      </c>
    </row>
    <row r="236" spans="1:21" x14ac:dyDescent="0.25">
      <c r="A236" t="s">
        <v>511</v>
      </c>
      <c r="B236" s="11">
        <v>0.98571906738449655</v>
      </c>
      <c r="C236" s="3">
        <v>0.756197264055957</v>
      </c>
      <c r="R236" t="s">
        <v>512</v>
      </c>
      <c r="S236" s="11">
        <v>0.87435407856128888</v>
      </c>
      <c r="T236" s="3">
        <v>0.13939834915146149</v>
      </c>
      <c r="U236" t="s">
        <v>533</v>
      </c>
    </row>
    <row r="237" spans="1:21" x14ac:dyDescent="0.25">
      <c r="A237" t="s">
        <v>511</v>
      </c>
      <c r="B237" s="11">
        <v>1.8096803614967869</v>
      </c>
      <c r="C237" s="3">
        <v>0.59667636451878903</v>
      </c>
      <c r="R237" t="s">
        <v>512</v>
      </c>
      <c r="S237" s="11">
        <v>-3.3366234062581941</v>
      </c>
      <c r="T237" s="3">
        <v>0.24638540345356849</v>
      </c>
      <c r="U237" t="s">
        <v>533</v>
      </c>
    </row>
    <row r="238" spans="1:21" x14ac:dyDescent="0.25">
      <c r="A238" t="s">
        <v>511</v>
      </c>
      <c r="B238" s="11">
        <v>1.4404629561315909</v>
      </c>
      <c r="C238" s="3">
        <v>0.22522084232072309</v>
      </c>
      <c r="R238" t="s">
        <v>512</v>
      </c>
      <c r="S238" s="11">
        <v>1.806037002924634</v>
      </c>
      <c r="T238" s="3">
        <v>0.93425399770073236</v>
      </c>
      <c r="U238" t="s">
        <v>533</v>
      </c>
    </row>
    <row r="239" spans="1:21" x14ac:dyDescent="0.25">
      <c r="A239" t="s">
        <v>511</v>
      </c>
      <c r="B239" s="11">
        <v>1.0980676772481519</v>
      </c>
      <c r="C239" s="3">
        <v>0.93273414114997388</v>
      </c>
      <c r="R239" t="s">
        <v>512</v>
      </c>
      <c r="S239" s="11">
        <v>1.5056967467517881</v>
      </c>
      <c r="T239" s="3">
        <v>0.7960755495187013</v>
      </c>
      <c r="U239" t="s">
        <v>533</v>
      </c>
    </row>
    <row r="240" spans="1:21" x14ac:dyDescent="0.25">
      <c r="A240" t="s">
        <v>511</v>
      </c>
      <c r="B240" s="11">
        <v>2.1345456529218532</v>
      </c>
      <c r="C240" s="3">
        <v>0.23641414744620209</v>
      </c>
      <c r="R240" t="s">
        <v>512</v>
      </c>
      <c r="S240" s="11">
        <v>2.1295232586751691</v>
      </c>
      <c r="T240" s="3">
        <v>0.25494149402139399</v>
      </c>
      <c r="U240" t="s">
        <v>533</v>
      </c>
    </row>
    <row r="241" spans="1:21" x14ac:dyDescent="0.25">
      <c r="A241" t="s">
        <v>511</v>
      </c>
      <c r="B241" s="11">
        <v>2.345706332055066</v>
      </c>
      <c r="C241" s="3">
        <v>0.63601653754895393</v>
      </c>
      <c r="R241" t="s">
        <v>512</v>
      </c>
      <c r="S241" s="11">
        <v>1.247358907182025</v>
      </c>
      <c r="T241" s="3">
        <v>0.46643423991917787</v>
      </c>
      <c r="U241" t="s">
        <v>533</v>
      </c>
    </row>
    <row r="242" spans="1:21" x14ac:dyDescent="0.25">
      <c r="A242" t="s">
        <v>511</v>
      </c>
      <c r="B242" s="11">
        <v>2.44889915789989</v>
      </c>
      <c r="C242" s="3">
        <v>0.1200003797312796</v>
      </c>
      <c r="R242" t="s">
        <v>512</v>
      </c>
      <c r="S242" s="11">
        <v>-3.3458078898459052</v>
      </c>
      <c r="T242" s="3">
        <v>0.79241537964468156</v>
      </c>
      <c r="U242" t="s">
        <v>533</v>
      </c>
    </row>
    <row r="243" spans="1:21" x14ac:dyDescent="0.25">
      <c r="A243" t="s">
        <v>511</v>
      </c>
      <c r="B243" s="11">
        <v>1.4300925283058861</v>
      </c>
      <c r="C243" s="3">
        <v>0.32853801032222513</v>
      </c>
      <c r="R243" t="s">
        <v>512</v>
      </c>
      <c r="S243" s="11">
        <v>1.669095387648885</v>
      </c>
      <c r="T243" s="3">
        <v>0.1304210889068497</v>
      </c>
      <c r="U243" t="s">
        <v>533</v>
      </c>
    </row>
    <row r="244" spans="1:21" x14ac:dyDescent="0.25">
      <c r="A244" t="s">
        <v>511</v>
      </c>
      <c r="B244" s="11">
        <v>4.0535533485628727</v>
      </c>
      <c r="C244" s="3">
        <v>0.76946225597381357</v>
      </c>
      <c r="R244" t="s">
        <v>512</v>
      </c>
      <c r="S244" s="11">
        <v>1.912883925896667</v>
      </c>
      <c r="T244" s="3">
        <v>0.25219406014368551</v>
      </c>
      <c r="U244" t="s">
        <v>533</v>
      </c>
    </row>
    <row r="245" spans="1:21" x14ac:dyDescent="0.25">
      <c r="A245" t="s">
        <v>511</v>
      </c>
      <c r="B245" s="11">
        <v>4.2234409652971854</v>
      </c>
      <c r="C245" s="3">
        <v>0.99142877280429653</v>
      </c>
      <c r="R245" t="s">
        <v>512</v>
      </c>
      <c r="S245" s="11">
        <v>-2.740974263134011</v>
      </c>
      <c r="T245" s="3">
        <v>0.15383559011563189</v>
      </c>
      <c r="U245" t="s">
        <v>533</v>
      </c>
    </row>
    <row r="246" spans="1:21" x14ac:dyDescent="0.25">
      <c r="A246" t="s">
        <v>511</v>
      </c>
      <c r="B246" s="11">
        <v>2.6949433853835272</v>
      </c>
      <c r="C246" s="3">
        <v>0.96526539046505389</v>
      </c>
      <c r="R246" t="s">
        <v>512</v>
      </c>
      <c r="S246" s="11">
        <v>-2.5616072755166912</v>
      </c>
      <c r="T246" s="3">
        <v>0.30349608001371869</v>
      </c>
      <c r="U246" t="s">
        <v>533</v>
      </c>
    </row>
    <row r="247" spans="1:21" x14ac:dyDescent="0.25">
      <c r="A247" t="s">
        <v>511</v>
      </c>
      <c r="B247" s="11">
        <v>0.90894540413292346</v>
      </c>
      <c r="C247" s="3">
        <v>0.42578094499293179</v>
      </c>
      <c r="R247" t="s">
        <v>512</v>
      </c>
      <c r="S247" s="11">
        <v>3.64343463355564</v>
      </c>
      <c r="T247" s="3">
        <v>0.1192093376137723</v>
      </c>
      <c r="U247" t="s">
        <v>533</v>
      </c>
    </row>
    <row r="248" spans="1:21" x14ac:dyDescent="0.25">
      <c r="A248" t="s">
        <v>511</v>
      </c>
      <c r="B248" s="11">
        <v>2.0397008922208908</v>
      </c>
      <c r="C248" s="3">
        <v>0.1073546372966605</v>
      </c>
      <c r="R248" t="s">
        <v>512</v>
      </c>
      <c r="S248" s="11">
        <v>-1.9233400183041161</v>
      </c>
      <c r="T248" s="3">
        <v>0.20779136981902099</v>
      </c>
      <c r="U248" t="s">
        <v>533</v>
      </c>
    </row>
    <row r="249" spans="1:21" x14ac:dyDescent="0.25">
      <c r="A249" t="s">
        <v>511</v>
      </c>
      <c r="B249" s="11">
        <v>1.6405100800396351</v>
      </c>
      <c r="C249" s="3">
        <v>0.96690021995709474</v>
      </c>
      <c r="R249" t="s">
        <v>512</v>
      </c>
      <c r="S249" s="11">
        <v>5.7109314564582991</v>
      </c>
      <c r="T249" s="3">
        <v>0.28070261930077622</v>
      </c>
      <c r="U249" t="s">
        <v>533</v>
      </c>
    </row>
    <row r="250" spans="1:21" x14ac:dyDescent="0.25">
      <c r="A250" t="s">
        <v>511</v>
      </c>
      <c r="B250" s="11">
        <v>3.0566260452937248</v>
      </c>
      <c r="C250" s="3">
        <v>0.17383620142765499</v>
      </c>
      <c r="R250" t="s">
        <v>512</v>
      </c>
      <c r="S250" s="11">
        <v>2.471743068988896</v>
      </c>
      <c r="T250" s="3">
        <v>0.92948158652986834</v>
      </c>
      <c r="U250" t="s">
        <v>533</v>
      </c>
    </row>
    <row r="251" spans="1:21" x14ac:dyDescent="0.25">
      <c r="A251" t="s">
        <v>511</v>
      </c>
      <c r="B251" s="11">
        <v>3.0098855180818789</v>
      </c>
      <c r="C251" s="3">
        <v>0.68064192853901861</v>
      </c>
      <c r="R251" t="s">
        <v>512</v>
      </c>
      <c r="S251" s="11">
        <v>-3.101419944375444</v>
      </c>
      <c r="T251" s="3">
        <v>0.3885011523872004</v>
      </c>
      <c r="U251" t="s">
        <v>533</v>
      </c>
    </row>
    <row r="252" spans="1:21" x14ac:dyDescent="0.25">
      <c r="A252" t="s">
        <v>511</v>
      </c>
      <c r="B252" s="11">
        <v>0.64523559282320575</v>
      </c>
      <c r="C252" s="3">
        <v>0.84735875113702974</v>
      </c>
      <c r="R252" t="s">
        <v>512</v>
      </c>
      <c r="S252" s="11">
        <v>2.1158664032526819</v>
      </c>
      <c r="T252" s="3">
        <v>0.35397557954965891</v>
      </c>
      <c r="U252" t="s">
        <v>533</v>
      </c>
    </row>
    <row r="253" spans="1:21" x14ac:dyDescent="0.25">
      <c r="A253" t="s">
        <v>511</v>
      </c>
      <c r="B253" s="11">
        <v>2.2714071795980399</v>
      </c>
      <c r="C253" s="3">
        <v>0.67582937002005616</v>
      </c>
      <c r="R253" t="s">
        <v>512</v>
      </c>
      <c r="S253" s="11">
        <v>2.1275413104731848</v>
      </c>
      <c r="T253" s="3">
        <v>0.67250802584224512</v>
      </c>
      <c r="U253" t="s">
        <v>533</v>
      </c>
    </row>
    <row r="254" spans="1:21" x14ac:dyDescent="0.25">
      <c r="A254" t="s">
        <v>511</v>
      </c>
      <c r="B254" s="11">
        <v>0.959889747970051</v>
      </c>
      <c r="C254" s="3">
        <v>0.71871414594590854</v>
      </c>
      <c r="R254" t="s">
        <v>512</v>
      </c>
      <c r="S254" s="11">
        <v>4.4147969578487336</v>
      </c>
      <c r="T254" s="3">
        <v>0.92366180927910158</v>
      </c>
      <c r="U254" t="s">
        <v>533</v>
      </c>
    </row>
    <row r="255" spans="1:21" x14ac:dyDescent="0.25">
      <c r="A255" t="s">
        <v>511</v>
      </c>
      <c r="B255" s="11">
        <v>3.05741423013894</v>
      </c>
      <c r="C255" s="3">
        <v>0.84972860740667733</v>
      </c>
      <c r="R255" t="s">
        <v>512</v>
      </c>
      <c r="S255" s="11">
        <v>0.9993727479983977</v>
      </c>
      <c r="T255" s="3">
        <v>0.1322829447055649</v>
      </c>
      <c r="U255" t="s">
        <v>533</v>
      </c>
    </row>
    <row r="256" spans="1:21" x14ac:dyDescent="0.25">
      <c r="A256" t="s">
        <v>511</v>
      </c>
      <c r="B256" s="11">
        <v>1.3370104847940161</v>
      </c>
      <c r="C256" s="3">
        <v>0.6507664077012254</v>
      </c>
      <c r="R256" t="s">
        <v>512</v>
      </c>
      <c r="S256" s="11">
        <v>1.4676175818530111</v>
      </c>
      <c r="T256" s="3">
        <v>0.60240763309890277</v>
      </c>
      <c r="U256" t="s">
        <v>533</v>
      </c>
    </row>
    <row r="257" spans="1:21" x14ac:dyDescent="0.25">
      <c r="A257" t="s">
        <v>511</v>
      </c>
      <c r="B257" s="11">
        <v>1.076645224086362</v>
      </c>
      <c r="C257" s="3">
        <v>0.92867123352724268</v>
      </c>
      <c r="R257" t="s">
        <v>512</v>
      </c>
      <c r="S257" s="11">
        <v>-3.4993543395315472</v>
      </c>
      <c r="T257" s="3">
        <v>0.72601770791125975</v>
      </c>
      <c r="U257" t="s">
        <v>533</v>
      </c>
    </row>
    <row r="258" spans="1:21" x14ac:dyDescent="0.25">
      <c r="A258" t="s">
        <v>512</v>
      </c>
      <c r="B258" s="11">
        <v>0.97147471897005921</v>
      </c>
      <c r="C258" s="3">
        <v>0.17826894991460529</v>
      </c>
      <c r="R258" t="s">
        <v>512</v>
      </c>
      <c r="S258" s="11">
        <v>-3.4610209919401922</v>
      </c>
      <c r="T258" s="3">
        <v>0.85070183091983609</v>
      </c>
      <c r="U258" t="s">
        <v>533</v>
      </c>
    </row>
    <row r="259" spans="1:21" x14ac:dyDescent="0.25">
      <c r="A259" t="s">
        <v>512</v>
      </c>
      <c r="B259" s="11">
        <v>-1.8746300695398079</v>
      </c>
      <c r="C259" s="3">
        <v>0.3056650509059145</v>
      </c>
      <c r="R259" t="s">
        <v>512</v>
      </c>
      <c r="S259" s="11">
        <v>-3.2836561033790921</v>
      </c>
      <c r="T259" s="3">
        <v>0.3924030271803659</v>
      </c>
      <c r="U259" t="s">
        <v>533</v>
      </c>
    </row>
    <row r="260" spans="1:21" x14ac:dyDescent="0.25">
      <c r="A260" t="s">
        <v>512</v>
      </c>
      <c r="B260" s="11">
        <v>-2.499590213630186</v>
      </c>
      <c r="C260" s="3">
        <v>0.1184825353029758</v>
      </c>
      <c r="R260" t="s">
        <v>512</v>
      </c>
      <c r="S260" s="11">
        <v>-1.9622351626360961</v>
      </c>
      <c r="T260" s="3">
        <v>0.22935240254124639</v>
      </c>
      <c r="U260" t="s">
        <v>533</v>
      </c>
    </row>
    <row r="261" spans="1:21" x14ac:dyDescent="0.25">
      <c r="A261" t="s">
        <v>512</v>
      </c>
      <c r="B261" s="11">
        <v>-2.6693672376371511</v>
      </c>
      <c r="C261" s="3">
        <v>0.54644476446835677</v>
      </c>
      <c r="R261" t="s">
        <v>512</v>
      </c>
      <c r="S261" s="11">
        <v>-1.4967734229191001</v>
      </c>
      <c r="T261" s="3">
        <v>0.54298250440673823</v>
      </c>
      <c r="U261" t="s">
        <v>533</v>
      </c>
    </row>
    <row r="262" spans="1:21" x14ac:dyDescent="0.25">
      <c r="A262" t="s">
        <v>512</v>
      </c>
      <c r="B262" s="11">
        <v>-2.0670503185883602</v>
      </c>
      <c r="C262" s="3">
        <v>0.41318683633122649</v>
      </c>
      <c r="R262" t="s">
        <v>512</v>
      </c>
      <c r="S262" s="11">
        <v>-4.0717224865513844</v>
      </c>
      <c r="T262" s="3">
        <v>0.8951374050705958</v>
      </c>
      <c r="U262" t="s">
        <v>533</v>
      </c>
    </row>
    <row r="263" spans="1:21" x14ac:dyDescent="0.25">
      <c r="A263" t="s">
        <v>512</v>
      </c>
      <c r="B263" s="11">
        <v>5.1253951469858086</v>
      </c>
      <c r="C263" s="3">
        <v>0.49507328748030371</v>
      </c>
      <c r="R263" t="s">
        <v>512</v>
      </c>
      <c r="S263" s="11">
        <v>-1.0552788552238059</v>
      </c>
      <c r="T263" s="3">
        <v>0.2364424124269455</v>
      </c>
      <c r="U263" t="s">
        <v>533</v>
      </c>
    </row>
    <row r="264" spans="1:21" x14ac:dyDescent="0.25">
      <c r="A264" t="s">
        <v>512</v>
      </c>
      <c r="B264" s="11">
        <v>-1.9106780677456161</v>
      </c>
      <c r="C264" s="3">
        <v>0.38861666717650928</v>
      </c>
      <c r="R264" t="s">
        <v>512</v>
      </c>
      <c r="S264" s="11">
        <v>2.0897555139899628</v>
      </c>
      <c r="T264" s="3">
        <v>0.50267152671410242</v>
      </c>
      <c r="U264" t="s">
        <v>533</v>
      </c>
    </row>
    <row r="265" spans="1:21" x14ac:dyDescent="0.25">
      <c r="A265" t="s">
        <v>512</v>
      </c>
      <c r="B265" s="11">
        <v>-4.3380368186383844</v>
      </c>
      <c r="C265" s="3">
        <v>0.52528544664079668</v>
      </c>
      <c r="R265" t="s">
        <v>512</v>
      </c>
      <c r="S265" s="11">
        <v>2.2256329795251029</v>
      </c>
      <c r="T265" s="3">
        <v>0.83440471082587475</v>
      </c>
      <c r="U265" t="s">
        <v>533</v>
      </c>
    </row>
    <row r="266" spans="1:21" x14ac:dyDescent="0.25">
      <c r="A266" t="s">
        <v>512</v>
      </c>
      <c r="B266" s="11">
        <v>4.221813267361572</v>
      </c>
      <c r="C266" s="3">
        <v>0.59529622921894798</v>
      </c>
      <c r="R266" t="s">
        <v>512</v>
      </c>
      <c r="S266" s="11">
        <v>1.1160195872013161</v>
      </c>
      <c r="T266" s="3">
        <v>0.42773429932738999</v>
      </c>
      <c r="U266" t="s">
        <v>533</v>
      </c>
    </row>
    <row r="267" spans="1:21" x14ac:dyDescent="0.25">
      <c r="A267" t="s">
        <v>512</v>
      </c>
      <c r="B267" s="11">
        <v>5.6713539716436099</v>
      </c>
      <c r="C267" s="3">
        <v>0.81618489217664858</v>
      </c>
      <c r="R267" t="s">
        <v>512</v>
      </c>
      <c r="S267" s="11">
        <v>2.164669276126117</v>
      </c>
      <c r="T267" s="3">
        <v>0.26821316439900922</v>
      </c>
      <c r="U267" t="s">
        <v>533</v>
      </c>
    </row>
    <row r="268" spans="1:21" x14ac:dyDescent="0.25">
      <c r="A268" t="s">
        <v>512</v>
      </c>
      <c r="B268" s="11">
        <v>0.87435407856128888</v>
      </c>
      <c r="C268" s="3">
        <v>0.13939834915146149</v>
      </c>
      <c r="R268" t="s">
        <v>512</v>
      </c>
      <c r="S268" s="11">
        <v>1.689982466206116</v>
      </c>
      <c r="T268" s="3">
        <v>0.19513326784232321</v>
      </c>
      <c r="U268" t="s">
        <v>533</v>
      </c>
    </row>
    <row r="269" spans="1:21" x14ac:dyDescent="0.25">
      <c r="A269" t="s">
        <v>512</v>
      </c>
      <c r="B269" s="11">
        <v>-3.3366234062581941</v>
      </c>
      <c r="C269" s="3">
        <v>0.24638540345356849</v>
      </c>
      <c r="R269" t="s">
        <v>512</v>
      </c>
      <c r="S269" s="11">
        <v>1.2523222216592651</v>
      </c>
      <c r="T269" s="3">
        <v>0.1000450754234999</v>
      </c>
      <c r="U269" t="s">
        <v>533</v>
      </c>
    </row>
    <row r="270" spans="1:21" x14ac:dyDescent="0.25">
      <c r="A270" t="s">
        <v>512</v>
      </c>
      <c r="B270" s="11">
        <v>1.806037002924634</v>
      </c>
      <c r="C270" s="3">
        <v>0.93425399770073236</v>
      </c>
      <c r="R270" t="s">
        <v>512</v>
      </c>
      <c r="S270" s="11">
        <v>3.891025323394969</v>
      </c>
      <c r="T270" s="3">
        <v>0.68576777898227115</v>
      </c>
      <c r="U270" t="s">
        <v>533</v>
      </c>
    </row>
    <row r="271" spans="1:21" x14ac:dyDescent="0.25">
      <c r="A271" t="s">
        <v>512</v>
      </c>
      <c r="B271" s="11">
        <v>1.5056967467517881</v>
      </c>
      <c r="C271" s="3">
        <v>0.7960755495187013</v>
      </c>
      <c r="R271" t="s">
        <v>512</v>
      </c>
      <c r="S271" s="11">
        <v>-1.067635886968276</v>
      </c>
      <c r="T271" s="3">
        <v>0.86655857869174824</v>
      </c>
      <c r="U271" t="s">
        <v>533</v>
      </c>
    </row>
    <row r="272" spans="1:21" x14ac:dyDescent="0.25">
      <c r="A272" t="s">
        <v>512</v>
      </c>
      <c r="B272" s="11">
        <v>2.1295232586751691</v>
      </c>
      <c r="C272" s="3">
        <v>0.25494149402139399</v>
      </c>
      <c r="R272" t="s">
        <v>512</v>
      </c>
      <c r="S272" s="11">
        <v>-1.4367319369574321</v>
      </c>
      <c r="T272" s="3">
        <v>0.65469998820211983</v>
      </c>
      <c r="U272" t="s">
        <v>533</v>
      </c>
    </row>
    <row r="273" spans="1:21" x14ac:dyDescent="0.25">
      <c r="A273" t="s">
        <v>512</v>
      </c>
      <c r="B273" s="11">
        <v>1.247358907182025</v>
      </c>
      <c r="C273" s="3">
        <v>0.46643423991917787</v>
      </c>
      <c r="R273" t="s">
        <v>512</v>
      </c>
      <c r="S273" s="11">
        <v>-2.5080888775867232</v>
      </c>
      <c r="T273" s="3">
        <v>0.34793509357718172</v>
      </c>
      <c r="U273" t="s">
        <v>533</v>
      </c>
    </row>
    <row r="274" spans="1:21" x14ac:dyDescent="0.25">
      <c r="A274" t="s">
        <v>512</v>
      </c>
      <c r="B274" s="11">
        <v>-3.3458078898459052</v>
      </c>
      <c r="C274" s="3">
        <v>0.79241537964468156</v>
      </c>
      <c r="R274" t="s">
        <v>512</v>
      </c>
      <c r="S274" s="11">
        <v>-2.587809893826396</v>
      </c>
      <c r="T274" s="3">
        <v>0.1089686379392189</v>
      </c>
      <c r="U274" t="s">
        <v>533</v>
      </c>
    </row>
    <row r="275" spans="1:21" x14ac:dyDescent="0.25">
      <c r="A275" t="s">
        <v>512</v>
      </c>
      <c r="B275" s="11">
        <v>1.669095387648885</v>
      </c>
      <c r="C275" s="3">
        <v>0.1304210889068497</v>
      </c>
      <c r="R275" t="s">
        <v>512</v>
      </c>
      <c r="S275" s="11">
        <v>2.1502914008274101</v>
      </c>
      <c r="T275" s="3">
        <v>0.48663727550552088</v>
      </c>
      <c r="U275" t="s">
        <v>533</v>
      </c>
    </row>
    <row r="276" spans="1:21" x14ac:dyDescent="0.25">
      <c r="A276" t="s">
        <v>512</v>
      </c>
      <c r="B276" s="11">
        <v>1.912883925896667</v>
      </c>
      <c r="C276" s="3">
        <v>0.25219406014368551</v>
      </c>
      <c r="R276" t="s">
        <v>512</v>
      </c>
      <c r="S276" s="11">
        <v>3.7760389527069149</v>
      </c>
      <c r="T276" s="3">
        <v>0.70372975816672356</v>
      </c>
      <c r="U276" t="s">
        <v>533</v>
      </c>
    </row>
    <row r="277" spans="1:21" x14ac:dyDescent="0.25">
      <c r="A277" t="s">
        <v>512</v>
      </c>
      <c r="B277" s="11">
        <v>-2.740974263134011</v>
      </c>
      <c r="C277" s="3">
        <v>0.15383559011563189</v>
      </c>
      <c r="R277" t="s">
        <v>512</v>
      </c>
      <c r="S277" s="11">
        <v>1.1117872621937059</v>
      </c>
      <c r="T277" s="3">
        <v>0.72306967803544064</v>
      </c>
      <c r="U277" t="s">
        <v>533</v>
      </c>
    </row>
    <row r="278" spans="1:21" x14ac:dyDescent="0.25">
      <c r="A278" t="s">
        <v>512</v>
      </c>
      <c r="B278" s="11">
        <v>-2.5616072755166912</v>
      </c>
      <c r="C278" s="3">
        <v>0.30349608001371869</v>
      </c>
      <c r="R278" t="s">
        <v>512</v>
      </c>
      <c r="S278" s="11">
        <v>8.0323881681884686</v>
      </c>
      <c r="T278" s="3">
        <v>0.84362216814941771</v>
      </c>
      <c r="U278" t="s">
        <v>533</v>
      </c>
    </row>
    <row r="279" spans="1:21" x14ac:dyDescent="0.25">
      <c r="A279" t="s">
        <v>512</v>
      </c>
      <c r="B279" s="11">
        <v>3.64343463355564</v>
      </c>
      <c r="C279" s="3">
        <v>0.1192093376137723</v>
      </c>
      <c r="R279" t="s">
        <v>512</v>
      </c>
      <c r="S279" s="11">
        <v>-0.92221099841495136</v>
      </c>
      <c r="T279" s="3">
        <v>0.22522084232072309</v>
      </c>
      <c r="U279" t="s">
        <v>533</v>
      </c>
    </row>
    <row r="280" spans="1:21" x14ac:dyDescent="0.25">
      <c r="A280" t="s">
        <v>512</v>
      </c>
      <c r="B280" s="11">
        <v>-1.9233400183041161</v>
      </c>
      <c r="C280" s="3">
        <v>0.20779136981902099</v>
      </c>
      <c r="R280" t="s">
        <v>512</v>
      </c>
      <c r="S280" s="11">
        <v>1.659149954922347</v>
      </c>
      <c r="T280" s="3">
        <v>0.63601653754895393</v>
      </c>
      <c r="U280" t="s">
        <v>533</v>
      </c>
    </row>
    <row r="281" spans="1:21" x14ac:dyDescent="0.25">
      <c r="A281" t="s">
        <v>512</v>
      </c>
      <c r="B281" s="11">
        <v>5.7109314564582991</v>
      </c>
      <c r="C281" s="3">
        <v>0.28070261930077622</v>
      </c>
      <c r="R281" t="s">
        <v>512</v>
      </c>
      <c r="S281" s="11">
        <v>-3.182258334402043</v>
      </c>
      <c r="T281" s="3">
        <v>0.96724011899471685</v>
      </c>
      <c r="U281" t="s">
        <v>533</v>
      </c>
    </row>
    <row r="282" spans="1:21" x14ac:dyDescent="0.25">
      <c r="A282" t="s">
        <v>512</v>
      </c>
      <c r="B282" s="11">
        <v>2.471743068988896</v>
      </c>
      <c r="C282" s="3">
        <v>0.92948158652986834</v>
      </c>
      <c r="R282" t="s">
        <v>512</v>
      </c>
      <c r="S282" s="11">
        <v>1.433974066793833</v>
      </c>
      <c r="T282" s="3">
        <v>0.76946225597381357</v>
      </c>
      <c r="U282" t="s">
        <v>533</v>
      </c>
    </row>
    <row r="283" spans="1:21" x14ac:dyDescent="0.25">
      <c r="A283" t="s">
        <v>512</v>
      </c>
      <c r="B283" s="11">
        <v>-3.101419944375444</v>
      </c>
      <c r="C283" s="3">
        <v>0.3885011523872004</v>
      </c>
      <c r="R283" t="s">
        <v>512</v>
      </c>
      <c r="S283" s="11">
        <v>-3.9092935752510578</v>
      </c>
      <c r="T283" s="3">
        <v>0.57852574224514441</v>
      </c>
      <c r="U283" t="s">
        <v>533</v>
      </c>
    </row>
    <row r="284" spans="1:21" x14ac:dyDescent="0.25">
      <c r="A284" t="s">
        <v>512</v>
      </c>
      <c r="B284" s="11">
        <v>2.1158664032526819</v>
      </c>
      <c r="C284" s="3">
        <v>0.35397557954965891</v>
      </c>
      <c r="R284" t="s">
        <v>512</v>
      </c>
      <c r="S284" s="11">
        <v>1.09877707987258</v>
      </c>
      <c r="T284" s="3">
        <v>0.96526539046505389</v>
      </c>
      <c r="U284" t="s">
        <v>533</v>
      </c>
    </row>
    <row r="285" spans="1:21" x14ac:dyDescent="0.25">
      <c r="A285" t="s">
        <v>512</v>
      </c>
      <c r="B285" s="11">
        <v>2.1275413104731848</v>
      </c>
      <c r="C285" s="3">
        <v>0.67250802584224512</v>
      </c>
      <c r="R285" t="s">
        <v>512</v>
      </c>
      <c r="S285" s="11">
        <v>-3.3740940652783449</v>
      </c>
      <c r="T285" s="3">
        <v>0.99035256236056901</v>
      </c>
      <c r="U285" t="s">
        <v>533</v>
      </c>
    </row>
    <row r="286" spans="1:21" x14ac:dyDescent="0.25">
      <c r="A286" t="s">
        <v>512</v>
      </c>
      <c r="B286" s="11">
        <v>4.4147969578487336</v>
      </c>
      <c r="C286" s="3">
        <v>0.92366180927910158</v>
      </c>
      <c r="R286" t="s">
        <v>512</v>
      </c>
      <c r="S286" s="11">
        <v>-2.735050885622174</v>
      </c>
      <c r="T286" s="3">
        <v>0.42578094499293179</v>
      </c>
      <c r="U286" t="s">
        <v>533</v>
      </c>
    </row>
    <row r="287" spans="1:21" x14ac:dyDescent="0.25">
      <c r="A287" t="s">
        <v>512</v>
      </c>
      <c r="B287" s="11">
        <v>0.9993727479983977</v>
      </c>
      <c r="C287" s="3">
        <v>0.1322829447055649</v>
      </c>
      <c r="R287" t="s">
        <v>512</v>
      </c>
      <c r="S287" s="11">
        <v>-1.2506517545089459</v>
      </c>
      <c r="T287" s="3">
        <v>0.96690021995709474</v>
      </c>
      <c r="U287" t="s">
        <v>533</v>
      </c>
    </row>
    <row r="288" spans="1:21" x14ac:dyDescent="0.25">
      <c r="A288" t="s">
        <v>512</v>
      </c>
      <c r="B288" s="11">
        <v>1.4676175818530111</v>
      </c>
      <c r="C288" s="3">
        <v>0.60240763309890277</v>
      </c>
      <c r="R288" t="s">
        <v>512</v>
      </c>
      <c r="S288" s="11">
        <v>-3.1110370414801261</v>
      </c>
      <c r="T288" s="3">
        <v>0.84735875113702974</v>
      </c>
      <c r="U288" t="s">
        <v>533</v>
      </c>
    </row>
    <row r="289" spans="1:21" x14ac:dyDescent="0.25">
      <c r="A289" t="s">
        <v>512</v>
      </c>
      <c r="B289" s="11">
        <v>-3.4993543395315472</v>
      </c>
      <c r="C289" s="3">
        <v>0.72601770791125975</v>
      </c>
      <c r="R289" t="s">
        <v>512</v>
      </c>
      <c r="S289" s="11">
        <v>-2.5561754175663709</v>
      </c>
      <c r="T289" s="3">
        <v>0.1850378219080894</v>
      </c>
      <c r="U289" t="s">
        <v>533</v>
      </c>
    </row>
    <row r="290" spans="1:21" x14ac:dyDescent="0.25">
      <c r="A290" t="s">
        <v>512</v>
      </c>
      <c r="B290" s="11">
        <v>-3.4610209919401922</v>
      </c>
      <c r="C290" s="3">
        <v>0.85070183091983609</v>
      </c>
      <c r="R290" t="s">
        <v>512</v>
      </c>
      <c r="S290" s="11">
        <v>1.600160174125409</v>
      </c>
      <c r="T290" s="3">
        <v>0.67582937002005616</v>
      </c>
      <c r="U290" t="s">
        <v>533</v>
      </c>
    </row>
    <row r="291" spans="1:21" x14ac:dyDescent="0.25">
      <c r="A291" t="s">
        <v>512</v>
      </c>
      <c r="B291" s="11">
        <v>-3.2836561033790921</v>
      </c>
      <c r="C291" s="3">
        <v>0.3924030271803659</v>
      </c>
      <c r="R291" t="s">
        <v>512</v>
      </c>
      <c r="S291" s="11">
        <v>1.206592419056034</v>
      </c>
      <c r="T291" s="3">
        <v>0.84972860740667733</v>
      </c>
      <c r="U291" t="s">
        <v>533</v>
      </c>
    </row>
    <row r="292" spans="1:21" x14ac:dyDescent="0.25">
      <c r="A292" t="s">
        <v>512</v>
      </c>
      <c r="B292" s="11">
        <v>-1.9622351626360961</v>
      </c>
      <c r="C292" s="3">
        <v>0.22935240254124639</v>
      </c>
      <c r="R292" t="s">
        <v>512</v>
      </c>
      <c r="S292" s="11">
        <v>-3.9306981582156268</v>
      </c>
      <c r="T292" s="3">
        <v>0.92867123352724268</v>
      </c>
      <c r="U292" t="s">
        <v>533</v>
      </c>
    </row>
    <row r="293" spans="1:21" x14ac:dyDescent="0.25">
      <c r="A293" t="s">
        <v>512</v>
      </c>
      <c r="B293" s="11">
        <v>-1.4967734229191001</v>
      </c>
      <c r="C293" s="3">
        <v>0.54298250440673823</v>
      </c>
      <c r="R293" t="s">
        <v>516</v>
      </c>
      <c r="S293" s="11">
        <v>3.5885753933825688</v>
      </c>
      <c r="T293" s="3">
        <v>0.99696668917794118</v>
      </c>
      <c r="U293" t="s">
        <v>534</v>
      </c>
    </row>
    <row r="294" spans="1:21" x14ac:dyDescent="0.25">
      <c r="A294" t="s">
        <v>512</v>
      </c>
      <c r="B294" s="11">
        <v>-4.0717224865513844</v>
      </c>
      <c r="C294" s="3">
        <v>0.8951374050705958</v>
      </c>
      <c r="R294" t="s">
        <v>516</v>
      </c>
      <c r="S294" s="11">
        <v>-2.35420734255933</v>
      </c>
      <c r="T294" s="3">
        <v>0.22870846034528461</v>
      </c>
      <c r="U294" t="s">
        <v>534</v>
      </c>
    </row>
    <row r="295" spans="1:21" x14ac:dyDescent="0.25">
      <c r="A295" t="s">
        <v>512</v>
      </c>
      <c r="B295" s="11">
        <v>-1.0552788552238059</v>
      </c>
      <c r="C295" s="3">
        <v>0.2364424124269455</v>
      </c>
      <c r="R295" t="s">
        <v>516</v>
      </c>
      <c r="S295" s="11">
        <v>-2.5946221247782688</v>
      </c>
      <c r="T295" s="3">
        <v>0.17826894991460529</v>
      </c>
      <c r="U295" t="s">
        <v>534</v>
      </c>
    </row>
    <row r="296" spans="1:21" x14ac:dyDescent="0.25">
      <c r="A296" t="s">
        <v>512</v>
      </c>
      <c r="B296" s="11">
        <v>2.0897555139899628</v>
      </c>
      <c r="C296" s="3">
        <v>0.50267152671410242</v>
      </c>
      <c r="R296" t="s">
        <v>516</v>
      </c>
      <c r="S296" s="11">
        <v>1.1384375600764041</v>
      </c>
      <c r="T296" s="3">
        <v>0.54644476446835677</v>
      </c>
      <c r="U296" t="s">
        <v>534</v>
      </c>
    </row>
    <row r="297" spans="1:21" x14ac:dyDescent="0.25">
      <c r="A297" t="s">
        <v>512</v>
      </c>
      <c r="B297" s="11">
        <v>2.2256329795251029</v>
      </c>
      <c r="C297" s="3">
        <v>0.83440471082587475</v>
      </c>
      <c r="R297" t="s">
        <v>516</v>
      </c>
      <c r="S297" s="11">
        <v>-2.0450744340448379</v>
      </c>
      <c r="T297" s="3">
        <v>0.45541967084629342</v>
      </c>
      <c r="U297" t="s">
        <v>534</v>
      </c>
    </row>
    <row r="298" spans="1:21" x14ac:dyDescent="0.25">
      <c r="A298" t="s">
        <v>512</v>
      </c>
      <c r="B298" s="11">
        <v>1.1160195872013161</v>
      </c>
      <c r="C298" s="3">
        <v>0.42773429932738999</v>
      </c>
      <c r="R298" t="s">
        <v>516</v>
      </c>
      <c r="S298" s="11">
        <v>-2.4999934196170162</v>
      </c>
      <c r="T298" s="3">
        <v>0.49507328748030371</v>
      </c>
      <c r="U298" t="s">
        <v>534</v>
      </c>
    </row>
    <row r="299" spans="1:21" x14ac:dyDescent="0.25">
      <c r="A299" t="s">
        <v>512</v>
      </c>
      <c r="B299" s="11">
        <v>2.164669276126117</v>
      </c>
      <c r="C299" s="3">
        <v>0.26821316439900922</v>
      </c>
      <c r="R299" t="s">
        <v>516</v>
      </c>
      <c r="S299" s="11">
        <v>2.5207870672035368</v>
      </c>
      <c r="T299" s="3">
        <v>0.52528544664079668</v>
      </c>
      <c r="U299" t="s">
        <v>534</v>
      </c>
    </row>
    <row r="300" spans="1:21" x14ac:dyDescent="0.25">
      <c r="A300" t="s">
        <v>512</v>
      </c>
      <c r="B300" s="11">
        <v>1.689982466206116</v>
      </c>
      <c r="C300" s="3">
        <v>0.19513326784232321</v>
      </c>
      <c r="R300" t="s">
        <v>516</v>
      </c>
      <c r="S300" s="11">
        <v>-2.372677319630569</v>
      </c>
      <c r="T300" s="3">
        <v>0.13939834915146149</v>
      </c>
      <c r="U300" t="s">
        <v>534</v>
      </c>
    </row>
    <row r="301" spans="1:21" x14ac:dyDescent="0.25">
      <c r="A301" t="s">
        <v>512</v>
      </c>
      <c r="B301" s="11">
        <v>1.2523222216592651</v>
      </c>
      <c r="C301" s="3">
        <v>0.1000450754234999</v>
      </c>
      <c r="R301" t="s">
        <v>516</v>
      </c>
      <c r="S301" s="11">
        <v>0.80512602415322365</v>
      </c>
      <c r="T301" s="3">
        <v>0.24638540345356849</v>
      </c>
      <c r="U301" t="s">
        <v>534</v>
      </c>
    </row>
    <row r="302" spans="1:21" x14ac:dyDescent="0.25">
      <c r="A302" t="s">
        <v>512</v>
      </c>
      <c r="B302" s="11">
        <v>3.891025323394969</v>
      </c>
      <c r="C302" s="3">
        <v>0.68576777898227115</v>
      </c>
      <c r="R302" t="s">
        <v>516</v>
      </c>
      <c r="S302" s="11">
        <v>-2.658774561154289</v>
      </c>
      <c r="T302" s="3">
        <v>0.56996931103138504</v>
      </c>
      <c r="U302" t="s">
        <v>534</v>
      </c>
    </row>
    <row r="303" spans="1:21" x14ac:dyDescent="0.25">
      <c r="A303" t="s">
        <v>512</v>
      </c>
      <c r="B303" s="11">
        <v>-1.067635886968276</v>
      </c>
      <c r="C303" s="3">
        <v>0.86655857869174824</v>
      </c>
      <c r="R303" t="s">
        <v>516</v>
      </c>
      <c r="S303" s="11">
        <v>-5.510845123921702</v>
      </c>
      <c r="T303" s="3">
        <v>0.93425399770073236</v>
      </c>
      <c r="U303" t="s">
        <v>534</v>
      </c>
    </row>
    <row r="304" spans="1:21" x14ac:dyDescent="0.25">
      <c r="A304" t="s">
        <v>512</v>
      </c>
      <c r="B304" s="11">
        <v>-1.4367319369574321</v>
      </c>
      <c r="C304" s="3">
        <v>0.65469998820211983</v>
      </c>
      <c r="R304" t="s">
        <v>516</v>
      </c>
      <c r="S304" s="11">
        <v>2.771611635050065</v>
      </c>
      <c r="T304" s="3">
        <v>0.7960755495187013</v>
      </c>
      <c r="U304" t="s">
        <v>534</v>
      </c>
    </row>
    <row r="305" spans="1:21" x14ac:dyDescent="0.25">
      <c r="A305" t="s">
        <v>512</v>
      </c>
      <c r="B305" s="11">
        <v>-2.5080888775867232</v>
      </c>
      <c r="C305" s="3">
        <v>0.34793509357718172</v>
      </c>
      <c r="R305" t="s">
        <v>516</v>
      </c>
      <c r="S305" s="11">
        <v>-1.873183257526883</v>
      </c>
      <c r="T305" s="3">
        <v>0.25494149402139399</v>
      </c>
      <c r="U305" t="s">
        <v>534</v>
      </c>
    </row>
    <row r="306" spans="1:21" x14ac:dyDescent="0.25">
      <c r="A306" t="s">
        <v>512</v>
      </c>
      <c r="B306" s="11">
        <v>-2.587809893826396</v>
      </c>
      <c r="C306" s="3">
        <v>0.1089686379392189</v>
      </c>
      <c r="R306" t="s">
        <v>516</v>
      </c>
      <c r="S306" s="11">
        <v>-3.2551188328708118</v>
      </c>
      <c r="T306" s="3">
        <v>0.46643423991917787</v>
      </c>
      <c r="U306" t="s">
        <v>534</v>
      </c>
    </row>
    <row r="307" spans="1:21" x14ac:dyDescent="0.25">
      <c r="A307" t="s">
        <v>512</v>
      </c>
      <c r="B307" s="11">
        <v>2.1502914008274101</v>
      </c>
      <c r="C307" s="3">
        <v>0.48663727550552088</v>
      </c>
      <c r="R307" t="s">
        <v>516</v>
      </c>
      <c r="S307" s="11">
        <v>-2.2086709541321712</v>
      </c>
      <c r="T307" s="3">
        <v>0.21869162198824671</v>
      </c>
      <c r="U307" t="s">
        <v>534</v>
      </c>
    </row>
    <row r="308" spans="1:21" x14ac:dyDescent="0.25">
      <c r="A308" t="s">
        <v>512</v>
      </c>
      <c r="B308" s="11">
        <v>3.7760389527069149</v>
      </c>
      <c r="C308" s="3">
        <v>0.70372975816672356</v>
      </c>
      <c r="R308" t="s">
        <v>516</v>
      </c>
      <c r="S308" s="11">
        <v>-1.644301265285673</v>
      </c>
      <c r="T308" s="3">
        <v>0.79241537964468156</v>
      </c>
      <c r="U308" t="s">
        <v>534</v>
      </c>
    </row>
    <row r="309" spans="1:21" x14ac:dyDescent="0.25">
      <c r="A309" t="s">
        <v>512</v>
      </c>
      <c r="B309" s="11">
        <v>1.1117872621937059</v>
      </c>
      <c r="C309" s="3">
        <v>0.72306967803544064</v>
      </c>
      <c r="R309" t="s">
        <v>516</v>
      </c>
      <c r="S309" s="11">
        <v>-1.0601096578564271</v>
      </c>
      <c r="T309" s="3">
        <v>0.21844847365283029</v>
      </c>
      <c r="U309" t="s">
        <v>534</v>
      </c>
    </row>
    <row r="310" spans="1:21" x14ac:dyDescent="0.25">
      <c r="A310" t="s">
        <v>512</v>
      </c>
      <c r="B310" s="11">
        <v>8.0323881681884686</v>
      </c>
      <c r="C310" s="3">
        <v>0.84362216814941771</v>
      </c>
      <c r="R310" t="s">
        <v>516</v>
      </c>
      <c r="S310" s="11">
        <v>-2.1955847564244468</v>
      </c>
      <c r="T310" s="3">
        <v>0.1304210889068497</v>
      </c>
      <c r="U310" t="s">
        <v>534</v>
      </c>
    </row>
    <row r="311" spans="1:21" x14ac:dyDescent="0.25">
      <c r="A311" t="s">
        <v>512</v>
      </c>
      <c r="B311" s="11">
        <v>-0.92221099841495136</v>
      </c>
      <c r="C311" s="3">
        <v>0.22522084232072309</v>
      </c>
      <c r="R311" t="s">
        <v>516</v>
      </c>
      <c r="S311" s="11">
        <v>-1.650710180813753</v>
      </c>
      <c r="T311" s="3">
        <v>0.24155574839601629</v>
      </c>
      <c r="U311" t="s">
        <v>534</v>
      </c>
    </row>
    <row r="312" spans="1:21" x14ac:dyDescent="0.25">
      <c r="A312" t="s">
        <v>512</v>
      </c>
      <c r="B312" s="11">
        <v>1.659149954922347</v>
      </c>
      <c r="C312" s="3">
        <v>0.63601653754895393</v>
      </c>
      <c r="R312" t="s">
        <v>516</v>
      </c>
      <c r="S312" s="11">
        <v>-2.0100822810442902</v>
      </c>
      <c r="T312" s="3">
        <v>0.1158538748540241</v>
      </c>
      <c r="U312" t="s">
        <v>534</v>
      </c>
    </row>
    <row r="313" spans="1:21" x14ac:dyDescent="0.25">
      <c r="A313" t="s">
        <v>512</v>
      </c>
      <c r="B313" s="11">
        <v>-3.182258334402043</v>
      </c>
      <c r="C313" s="3">
        <v>0.96724011899471685</v>
      </c>
      <c r="R313" t="s">
        <v>516</v>
      </c>
      <c r="S313" s="11">
        <v>1.118769237513398</v>
      </c>
      <c r="T313" s="3">
        <v>0.30349608001371869</v>
      </c>
      <c r="U313" t="s">
        <v>534</v>
      </c>
    </row>
    <row r="314" spans="1:21" x14ac:dyDescent="0.25">
      <c r="A314" t="s">
        <v>512</v>
      </c>
      <c r="B314" s="11">
        <v>1.433974066793833</v>
      </c>
      <c r="C314" s="3">
        <v>0.76946225597381357</v>
      </c>
      <c r="R314" t="s">
        <v>516</v>
      </c>
      <c r="S314" s="11">
        <v>2.8273040203171722</v>
      </c>
      <c r="T314" s="3">
        <v>0.76150808817919846</v>
      </c>
      <c r="U314" t="s">
        <v>534</v>
      </c>
    </row>
    <row r="315" spans="1:21" x14ac:dyDescent="0.25">
      <c r="A315" t="s">
        <v>512</v>
      </c>
      <c r="B315" s="11">
        <v>-3.9092935752510578</v>
      </c>
      <c r="C315" s="3">
        <v>0.57852574224514441</v>
      </c>
      <c r="R315" t="s">
        <v>516</v>
      </c>
      <c r="S315" s="11">
        <v>-2.1791662750212581</v>
      </c>
      <c r="T315" s="3">
        <v>0.20296775667489009</v>
      </c>
      <c r="U315" t="s">
        <v>534</v>
      </c>
    </row>
    <row r="316" spans="1:21" x14ac:dyDescent="0.25">
      <c r="A316" t="s">
        <v>512</v>
      </c>
      <c r="B316" s="11">
        <v>1.09877707987258</v>
      </c>
      <c r="C316" s="3">
        <v>0.96526539046505389</v>
      </c>
      <c r="R316" t="s">
        <v>516</v>
      </c>
      <c r="S316" s="11">
        <v>3.0413249359702381</v>
      </c>
      <c r="T316" s="3">
        <v>0.35471954646808929</v>
      </c>
      <c r="U316" t="s">
        <v>534</v>
      </c>
    </row>
    <row r="317" spans="1:21" x14ac:dyDescent="0.25">
      <c r="A317" t="s">
        <v>512</v>
      </c>
      <c r="B317" s="11">
        <v>-3.3740940652783449</v>
      </c>
      <c r="C317" s="3">
        <v>0.99035256236056901</v>
      </c>
      <c r="R317" t="s">
        <v>516</v>
      </c>
      <c r="S317" s="11">
        <v>2.1027194739648771</v>
      </c>
      <c r="T317" s="3">
        <v>0.92948158652986834</v>
      </c>
      <c r="U317" t="s">
        <v>534</v>
      </c>
    </row>
    <row r="318" spans="1:21" x14ac:dyDescent="0.25">
      <c r="A318" t="s">
        <v>512</v>
      </c>
      <c r="B318" s="11">
        <v>-2.735050885622174</v>
      </c>
      <c r="C318" s="3">
        <v>0.42578094499293179</v>
      </c>
      <c r="R318" t="s">
        <v>516</v>
      </c>
      <c r="S318" s="11">
        <v>2.5893478890830091</v>
      </c>
      <c r="T318" s="3">
        <v>0.3885011523872004</v>
      </c>
      <c r="U318" t="s">
        <v>534</v>
      </c>
    </row>
    <row r="319" spans="1:21" x14ac:dyDescent="0.25">
      <c r="A319" t="s">
        <v>512</v>
      </c>
      <c r="B319" s="11">
        <v>-1.2506517545089459</v>
      </c>
      <c r="C319" s="3">
        <v>0.96690021995709474</v>
      </c>
      <c r="R319" t="s">
        <v>516</v>
      </c>
      <c r="S319" s="11">
        <v>-4.5626886846769423</v>
      </c>
      <c r="T319" s="3">
        <v>0.70283952218119539</v>
      </c>
      <c r="U319" t="s">
        <v>534</v>
      </c>
    </row>
    <row r="320" spans="1:21" x14ac:dyDescent="0.25">
      <c r="A320" t="s">
        <v>512</v>
      </c>
      <c r="B320" s="11">
        <v>-3.1110370414801261</v>
      </c>
      <c r="C320" s="3">
        <v>0.84735875113702974</v>
      </c>
      <c r="R320" t="s">
        <v>516</v>
      </c>
      <c r="S320" s="11">
        <v>-2.2191618855721842</v>
      </c>
      <c r="T320" s="3">
        <v>0.1705724192823794</v>
      </c>
      <c r="U320" t="s">
        <v>534</v>
      </c>
    </row>
    <row r="321" spans="1:21" x14ac:dyDescent="0.25">
      <c r="A321" t="s">
        <v>512</v>
      </c>
      <c r="B321" s="11">
        <v>-2.5561754175663709</v>
      </c>
      <c r="C321" s="3">
        <v>0.1850378219080894</v>
      </c>
      <c r="R321" t="s">
        <v>516</v>
      </c>
      <c r="S321" s="11">
        <v>-3.5637210517804299</v>
      </c>
      <c r="T321" s="3">
        <v>0.67250802584224512</v>
      </c>
      <c r="U321" t="s">
        <v>534</v>
      </c>
    </row>
    <row r="322" spans="1:21" x14ac:dyDescent="0.25">
      <c r="A322" t="s">
        <v>512</v>
      </c>
      <c r="B322" s="11">
        <v>1.600160174125409</v>
      </c>
      <c r="C322" s="3">
        <v>0.67582937002005616</v>
      </c>
      <c r="R322" t="s">
        <v>516</v>
      </c>
      <c r="S322" s="11">
        <v>1.971062601610565</v>
      </c>
      <c r="T322" s="3">
        <v>0.92366180927910158</v>
      </c>
      <c r="U322" t="s">
        <v>534</v>
      </c>
    </row>
    <row r="323" spans="1:21" x14ac:dyDescent="0.25">
      <c r="A323" t="s">
        <v>512</v>
      </c>
      <c r="B323" s="11">
        <v>1.206592419056034</v>
      </c>
      <c r="C323" s="3">
        <v>0.84972860740667733</v>
      </c>
      <c r="R323" t="s">
        <v>516</v>
      </c>
      <c r="S323" s="11">
        <v>2.2181882511610622</v>
      </c>
      <c r="T323" s="3">
        <v>0.44835388907017598</v>
      </c>
      <c r="U323" t="s">
        <v>534</v>
      </c>
    </row>
    <row r="324" spans="1:21" x14ac:dyDescent="0.25">
      <c r="A324" t="s">
        <v>512</v>
      </c>
      <c r="B324" s="11">
        <v>-3.9306981582156268</v>
      </c>
      <c r="C324" s="3">
        <v>0.92867123352724268</v>
      </c>
      <c r="R324" t="s">
        <v>516</v>
      </c>
      <c r="S324" s="11">
        <v>1.591873501980986</v>
      </c>
      <c r="T324" s="3">
        <v>0.41291969695462732</v>
      </c>
      <c r="U324" t="s">
        <v>534</v>
      </c>
    </row>
    <row r="325" spans="1:21" x14ac:dyDescent="0.25">
      <c r="A325" t="s">
        <v>513</v>
      </c>
      <c r="B325" s="11">
        <v>-3.67659214588044</v>
      </c>
      <c r="C325" s="3">
        <v>0.99696668917794118</v>
      </c>
      <c r="R325" t="s">
        <v>516</v>
      </c>
      <c r="S325" s="11">
        <v>-3.30523354964566</v>
      </c>
      <c r="T325" s="3">
        <v>0.1322829447055649</v>
      </c>
      <c r="U325" t="s">
        <v>534</v>
      </c>
    </row>
    <row r="326" spans="1:21" x14ac:dyDescent="0.25">
      <c r="A326" t="s">
        <v>513</v>
      </c>
      <c r="B326" s="11">
        <v>-0.75233803455089909</v>
      </c>
      <c r="C326" s="3">
        <v>0.17826894991460529</v>
      </c>
      <c r="R326" t="s">
        <v>516</v>
      </c>
      <c r="S326" s="11">
        <v>2.7751278147843359</v>
      </c>
      <c r="T326" s="3">
        <v>0.3924030271803659</v>
      </c>
      <c r="U326" t="s">
        <v>534</v>
      </c>
    </row>
    <row r="327" spans="1:21" x14ac:dyDescent="0.25">
      <c r="A327" t="s">
        <v>513</v>
      </c>
      <c r="B327" s="11">
        <v>-1.7129890925390709</v>
      </c>
      <c r="C327" s="3">
        <v>0.1184825353029758</v>
      </c>
      <c r="R327" t="s">
        <v>516</v>
      </c>
      <c r="S327" s="11">
        <v>-1.9312549263099179</v>
      </c>
      <c r="T327" s="3">
        <v>0.54298250440673823</v>
      </c>
      <c r="U327" t="s">
        <v>534</v>
      </c>
    </row>
    <row r="328" spans="1:21" x14ac:dyDescent="0.25">
      <c r="A328" t="s">
        <v>513</v>
      </c>
      <c r="B328" s="11">
        <v>-1.5687975156010661</v>
      </c>
      <c r="C328" s="3">
        <v>0.41318683633122649</v>
      </c>
      <c r="R328" t="s">
        <v>516</v>
      </c>
      <c r="S328" s="11">
        <v>-1.998229514994738</v>
      </c>
      <c r="T328" s="3">
        <v>0.8951374050705958</v>
      </c>
      <c r="U328" t="s">
        <v>534</v>
      </c>
    </row>
    <row r="329" spans="1:21" x14ac:dyDescent="0.25">
      <c r="A329" t="s">
        <v>513</v>
      </c>
      <c r="B329" s="11">
        <v>-1.9975704633239439</v>
      </c>
      <c r="C329" s="3">
        <v>0.52528544664079668</v>
      </c>
      <c r="R329" t="s">
        <v>516</v>
      </c>
      <c r="S329" s="11">
        <v>1.1294706782686541</v>
      </c>
      <c r="T329" s="3">
        <v>0.1010331424755098</v>
      </c>
      <c r="U329" t="s">
        <v>534</v>
      </c>
    </row>
    <row r="330" spans="1:21" x14ac:dyDescent="0.25">
      <c r="A330" t="s">
        <v>513</v>
      </c>
      <c r="B330" s="11">
        <v>0.80291245765880781</v>
      </c>
      <c r="C330" s="3">
        <v>0.45483383074542522</v>
      </c>
      <c r="R330" t="s">
        <v>516</v>
      </c>
      <c r="S330" s="11">
        <v>0.87445351246940628</v>
      </c>
      <c r="T330" s="3">
        <v>0.50267152671410242</v>
      </c>
      <c r="U330" t="s">
        <v>534</v>
      </c>
    </row>
    <row r="331" spans="1:21" x14ac:dyDescent="0.25">
      <c r="A331" t="s">
        <v>513</v>
      </c>
      <c r="B331" s="11">
        <v>2.4494442411844868</v>
      </c>
      <c r="C331" s="3">
        <v>0.81618489217664858</v>
      </c>
      <c r="R331" t="s">
        <v>516</v>
      </c>
      <c r="S331" s="11">
        <v>0.89868083630225193</v>
      </c>
      <c r="T331" s="3">
        <v>0.83440471082587475</v>
      </c>
      <c r="U331" t="s">
        <v>534</v>
      </c>
    </row>
    <row r="332" spans="1:21" x14ac:dyDescent="0.25">
      <c r="A332" t="s">
        <v>513</v>
      </c>
      <c r="B332" s="11">
        <v>-0.68184134347409908</v>
      </c>
      <c r="C332" s="3">
        <v>0.13939834915146149</v>
      </c>
      <c r="R332" t="s">
        <v>516</v>
      </c>
      <c r="S332" s="11">
        <v>-4.0655531222762944</v>
      </c>
      <c r="T332" s="3">
        <v>0.26821316439900922</v>
      </c>
      <c r="U332" t="s">
        <v>534</v>
      </c>
    </row>
    <row r="333" spans="1:21" x14ac:dyDescent="0.25">
      <c r="A333" t="s">
        <v>513</v>
      </c>
      <c r="B333" s="11">
        <v>-1.5868430017176789</v>
      </c>
      <c r="C333" s="3">
        <v>0.24638540345356849</v>
      </c>
      <c r="R333" t="s">
        <v>516</v>
      </c>
      <c r="S333" s="11">
        <v>-2.2027429210855249</v>
      </c>
      <c r="T333" s="3">
        <v>0.43627892152177872</v>
      </c>
      <c r="U333" t="s">
        <v>534</v>
      </c>
    </row>
    <row r="334" spans="1:21" x14ac:dyDescent="0.25">
      <c r="A334" t="s">
        <v>513</v>
      </c>
      <c r="B334" s="11">
        <v>-3.3971217230658199</v>
      </c>
      <c r="C334" s="3">
        <v>0.56996931103138504</v>
      </c>
      <c r="R334" t="s">
        <v>516</v>
      </c>
      <c r="S334" s="11">
        <v>1.5405186137800171</v>
      </c>
      <c r="T334" s="3">
        <v>0.19513326784232321</v>
      </c>
      <c r="U334" t="s">
        <v>534</v>
      </c>
    </row>
    <row r="335" spans="1:21" x14ac:dyDescent="0.25">
      <c r="A335" t="s">
        <v>513</v>
      </c>
      <c r="B335" s="11">
        <v>-2.3139624241295889</v>
      </c>
      <c r="C335" s="3">
        <v>0.71053418806234436</v>
      </c>
      <c r="R335" t="s">
        <v>516</v>
      </c>
      <c r="S335" s="11">
        <v>-2.135437859565728</v>
      </c>
      <c r="T335" s="3">
        <v>0.1978391265072644</v>
      </c>
      <c r="U335" t="s">
        <v>534</v>
      </c>
    </row>
    <row r="336" spans="1:21" x14ac:dyDescent="0.25">
      <c r="A336" t="s">
        <v>513</v>
      </c>
      <c r="B336" s="11">
        <v>-0.98274913440982825</v>
      </c>
      <c r="C336" s="3">
        <v>0.46643423991917787</v>
      </c>
      <c r="R336" t="s">
        <v>516</v>
      </c>
      <c r="S336" s="11">
        <v>-5.4682309669090436</v>
      </c>
      <c r="T336" s="3">
        <v>0.1000450754234999</v>
      </c>
      <c r="U336" t="s">
        <v>534</v>
      </c>
    </row>
    <row r="337" spans="1:21" x14ac:dyDescent="0.25">
      <c r="A337" t="s">
        <v>513</v>
      </c>
      <c r="B337" s="11">
        <v>-1.887508952129956</v>
      </c>
      <c r="C337" s="3">
        <v>0.20311040955114479</v>
      </c>
      <c r="R337" t="s">
        <v>516</v>
      </c>
      <c r="S337" s="11">
        <v>-1.617296425855224</v>
      </c>
      <c r="T337" s="3">
        <v>0.74244149323312658</v>
      </c>
      <c r="U337" t="s">
        <v>534</v>
      </c>
    </row>
    <row r="338" spans="1:21" x14ac:dyDescent="0.25">
      <c r="A338" t="s">
        <v>513</v>
      </c>
      <c r="B338" s="11">
        <v>-1.8971068269744671</v>
      </c>
      <c r="C338" s="3">
        <v>0.15383559011563189</v>
      </c>
      <c r="R338" t="s">
        <v>516</v>
      </c>
      <c r="S338" s="11">
        <v>-2.1050522367290929</v>
      </c>
      <c r="T338" s="3">
        <v>0.18887930360487901</v>
      </c>
      <c r="U338" t="s">
        <v>534</v>
      </c>
    </row>
    <row r="339" spans="1:21" x14ac:dyDescent="0.25">
      <c r="A339" t="s">
        <v>513</v>
      </c>
      <c r="B339" s="11">
        <v>2.131185271553715</v>
      </c>
      <c r="C339" s="3">
        <v>0.1192093376137723</v>
      </c>
      <c r="R339" t="s">
        <v>516</v>
      </c>
      <c r="S339" s="11">
        <v>2.0837164872305531</v>
      </c>
      <c r="T339" s="3">
        <v>0.68576777898227115</v>
      </c>
      <c r="U339" t="s">
        <v>534</v>
      </c>
    </row>
    <row r="340" spans="1:21" x14ac:dyDescent="0.25">
      <c r="A340" t="s">
        <v>513</v>
      </c>
      <c r="B340" s="11">
        <v>-2.8547383922917069</v>
      </c>
      <c r="C340" s="3">
        <v>0.35471954646808929</v>
      </c>
      <c r="R340" t="s">
        <v>516</v>
      </c>
      <c r="S340" s="11">
        <v>-2.1968798874685258</v>
      </c>
      <c r="T340" s="3">
        <v>0.1638220643998623</v>
      </c>
      <c r="U340" t="s">
        <v>534</v>
      </c>
    </row>
    <row r="341" spans="1:21" x14ac:dyDescent="0.25">
      <c r="A341" t="s">
        <v>513</v>
      </c>
      <c r="B341" s="11">
        <v>0.78398315001304442</v>
      </c>
      <c r="C341" s="3">
        <v>0.40433955316321268</v>
      </c>
      <c r="R341" t="s">
        <v>516</v>
      </c>
      <c r="S341" s="11">
        <v>-1.856648489250704</v>
      </c>
      <c r="T341" s="3">
        <v>0.65469998820211983</v>
      </c>
      <c r="U341" t="s">
        <v>534</v>
      </c>
    </row>
    <row r="342" spans="1:21" x14ac:dyDescent="0.25">
      <c r="A342" t="s">
        <v>513</v>
      </c>
      <c r="B342" s="11">
        <v>2.6243257885800322</v>
      </c>
      <c r="C342" s="3">
        <v>0.92948158652986834</v>
      </c>
      <c r="R342" t="s">
        <v>516</v>
      </c>
      <c r="S342" s="11">
        <v>-1.6636720351787311</v>
      </c>
      <c r="T342" s="3">
        <v>0.68096930218422058</v>
      </c>
      <c r="U342" t="s">
        <v>534</v>
      </c>
    </row>
    <row r="343" spans="1:21" x14ac:dyDescent="0.25">
      <c r="A343" t="s">
        <v>513</v>
      </c>
      <c r="B343" s="11">
        <v>1.457838700303298</v>
      </c>
      <c r="C343" s="3">
        <v>0.35397557954965891</v>
      </c>
      <c r="R343" t="s">
        <v>516</v>
      </c>
      <c r="S343" s="11">
        <v>-2.9607066014470762</v>
      </c>
      <c r="T343" s="3">
        <v>0.78980888511177938</v>
      </c>
      <c r="U343" t="s">
        <v>534</v>
      </c>
    </row>
    <row r="344" spans="1:21" x14ac:dyDescent="0.25">
      <c r="A344" t="s">
        <v>513</v>
      </c>
      <c r="B344" s="11">
        <v>1.7790576048985629</v>
      </c>
      <c r="C344" s="3">
        <v>0.92366180927910158</v>
      </c>
      <c r="R344" t="s">
        <v>516</v>
      </c>
      <c r="S344" s="11">
        <v>3.7742479030274509</v>
      </c>
      <c r="T344" s="3">
        <v>0.99475080767461654</v>
      </c>
      <c r="U344" t="s">
        <v>534</v>
      </c>
    </row>
    <row r="345" spans="1:21" x14ac:dyDescent="0.25">
      <c r="A345" t="s">
        <v>513</v>
      </c>
      <c r="B345" s="11">
        <v>1.6992493701738289</v>
      </c>
      <c r="C345" s="3">
        <v>0.44835388907017598</v>
      </c>
      <c r="R345" t="s">
        <v>516</v>
      </c>
      <c r="S345" s="11">
        <v>-1.695231727327142</v>
      </c>
      <c r="T345" s="3">
        <v>0.23641414744620209</v>
      </c>
      <c r="U345" t="s">
        <v>534</v>
      </c>
    </row>
    <row r="346" spans="1:21" x14ac:dyDescent="0.25">
      <c r="A346" t="s">
        <v>513</v>
      </c>
      <c r="B346" s="11">
        <v>-0.87713752912501552</v>
      </c>
      <c r="C346" s="3">
        <v>0.1322829447055649</v>
      </c>
      <c r="R346" t="s">
        <v>516</v>
      </c>
      <c r="S346" s="11">
        <v>-2.2420375551886589</v>
      </c>
      <c r="T346" s="3">
        <v>0.63601653754895393</v>
      </c>
      <c r="U346" t="s">
        <v>534</v>
      </c>
    </row>
    <row r="347" spans="1:21" x14ac:dyDescent="0.25">
      <c r="A347" t="s">
        <v>513</v>
      </c>
      <c r="B347" s="11">
        <v>-3.071232862873968</v>
      </c>
      <c r="C347" s="3">
        <v>0.54298250440673823</v>
      </c>
      <c r="R347" t="s">
        <v>516</v>
      </c>
      <c r="S347" s="11">
        <v>-2.4666828095300288</v>
      </c>
      <c r="T347" s="3">
        <v>0.1200003797312796</v>
      </c>
      <c r="U347" t="s">
        <v>534</v>
      </c>
    </row>
    <row r="348" spans="1:21" x14ac:dyDescent="0.25">
      <c r="A348" t="s">
        <v>513</v>
      </c>
      <c r="B348" s="11">
        <v>-1.4163890424090451</v>
      </c>
      <c r="C348" s="3">
        <v>0.98296832098831999</v>
      </c>
      <c r="R348" t="s">
        <v>516</v>
      </c>
      <c r="S348" s="11">
        <v>2.510024995788934</v>
      </c>
      <c r="T348" s="3">
        <v>0.96724011899471685</v>
      </c>
      <c r="U348" t="s">
        <v>534</v>
      </c>
    </row>
    <row r="349" spans="1:21" x14ac:dyDescent="0.25">
      <c r="A349" t="s">
        <v>513</v>
      </c>
      <c r="B349" s="11">
        <v>-3.73363461626065</v>
      </c>
      <c r="C349" s="3">
        <v>0.2364424124269455</v>
      </c>
      <c r="R349" t="s">
        <v>516</v>
      </c>
      <c r="S349" s="11">
        <v>-6.1170460512076534</v>
      </c>
      <c r="T349" s="3">
        <v>0.76946225597381357</v>
      </c>
      <c r="U349" t="s">
        <v>534</v>
      </c>
    </row>
    <row r="350" spans="1:21" x14ac:dyDescent="0.25">
      <c r="A350" t="s">
        <v>513</v>
      </c>
      <c r="B350" s="11">
        <v>1.519387790181109</v>
      </c>
      <c r="C350" s="3">
        <v>0.1010331424755098</v>
      </c>
      <c r="R350" t="s">
        <v>516</v>
      </c>
      <c r="S350" s="11">
        <v>2.2477393035365778</v>
      </c>
      <c r="T350" s="3">
        <v>0.57852574224514441</v>
      </c>
      <c r="U350" t="s">
        <v>534</v>
      </c>
    </row>
    <row r="351" spans="1:21" x14ac:dyDescent="0.25">
      <c r="A351" t="s">
        <v>513</v>
      </c>
      <c r="B351" s="11">
        <v>2.6063924597651611</v>
      </c>
      <c r="C351" s="3">
        <v>0.77288106209373775</v>
      </c>
      <c r="R351" t="s">
        <v>516</v>
      </c>
      <c r="S351" s="11">
        <v>2.689787086175218</v>
      </c>
      <c r="T351" s="3">
        <v>0.99035256236056901</v>
      </c>
      <c r="U351" t="s">
        <v>534</v>
      </c>
    </row>
    <row r="352" spans="1:21" x14ac:dyDescent="0.25">
      <c r="A352" t="s">
        <v>513</v>
      </c>
      <c r="B352" s="11">
        <v>2.3511753135305038</v>
      </c>
      <c r="C352" s="3">
        <v>0.83440471082587475</v>
      </c>
      <c r="R352" t="s">
        <v>516</v>
      </c>
      <c r="S352" s="11">
        <v>-2.2278169207116192</v>
      </c>
      <c r="T352" s="3">
        <v>0.181922126752776</v>
      </c>
      <c r="U352" t="s">
        <v>534</v>
      </c>
    </row>
    <row r="353" spans="1:21" x14ac:dyDescent="0.25">
      <c r="A353" t="s">
        <v>513</v>
      </c>
      <c r="B353" s="11">
        <v>-1.839364613331046</v>
      </c>
      <c r="C353" s="3">
        <v>0.42773429932738999</v>
      </c>
      <c r="R353" t="s">
        <v>516</v>
      </c>
      <c r="S353" s="11">
        <v>-2.1330864018397988</v>
      </c>
      <c r="T353" s="3">
        <v>0.1073546372966605</v>
      </c>
      <c r="U353" t="s">
        <v>534</v>
      </c>
    </row>
    <row r="354" spans="1:21" x14ac:dyDescent="0.25">
      <c r="A354" t="s">
        <v>513</v>
      </c>
      <c r="B354" s="11">
        <v>2.1302915643808591</v>
      </c>
      <c r="C354" s="3">
        <v>0.61717013705295098</v>
      </c>
      <c r="R354" t="s">
        <v>516</v>
      </c>
      <c r="S354" s="11">
        <v>-4.5002722082727651</v>
      </c>
      <c r="T354" s="3">
        <v>0.17383620142765499</v>
      </c>
      <c r="U354" t="s">
        <v>534</v>
      </c>
    </row>
    <row r="355" spans="1:21" x14ac:dyDescent="0.25">
      <c r="A355" t="s">
        <v>513</v>
      </c>
      <c r="B355" s="11">
        <v>-2.0316330743377549</v>
      </c>
      <c r="C355" s="3">
        <v>0.1749443239595754</v>
      </c>
      <c r="R355" t="s">
        <v>516</v>
      </c>
      <c r="S355" s="11">
        <v>-3.2150975702835431</v>
      </c>
      <c r="T355" s="3">
        <v>0.68064192853901861</v>
      </c>
      <c r="U355" t="s">
        <v>534</v>
      </c>
    </row>
    <row r="356" spans="1:21" x14ac:dyDescent="0.25">
      <c r="A356" t="s">
        <v>513</v>
      </c>
      <c r="B356" s="11">
        <v>-3.5345529869705552</v>
      </c>
      <c r="C356" s="3">
        <v>0.86655857869174824</v>
      </c>
      <c r="R356" t="s">
        <v>516</v>
      </c>
      <c r="S356" s="11">
        <v>-2.1539581733519539</v>
      </c>
      <c r="T356" s="3">
        <v>0.67582937002005616</v>
      </c>
      <c r="U356" t="s">
        <v>534</v>
      </c>
    </row>
    <row r="357" spans="1:21" x14ac:dyDescent="0.25">
      <c r="A357" t="s">
        <v>513</v>
      </c>
      <c r="B357" s="11">
        <v>-2.9817457107622021</v>
      </c>
      <c r="C357" s="3">
        <v>0.65469998820211983</v>
      </c>
      <c r="R357" t="s">
        <v>516</v>
      </c>
      <c r="S357" s="11">
        <v>-3.5799803053485082</v>
      </c>
      <c r="T357" s="3">
        <v>0.84972860740667733</v>
      </c>
      <c r="U357" t="s">
        <v>534</v>
      </c>
    </row>
    <row r="358" spans="1:21" x14ac:dyDescent="0.25">
      <c r="A358" t="s">
        <v>513</v>
      </c>
      <c r="B358" s="11">
        <v>-1.6459143377110059</v>
      </c>
      <c r="C358" s="3">
        <v>0.34793509357718172</v>
      </c>
      <c r="R358" t="s">
        <v>516</v>
      </c>
      <c r="S358" s="11">
        <v>-1.0987968494390721</v>
      </c>
      <c r="T358" s="3">
        <v>0.6507664077012254</v>
      </c>
      <c r="U358" t="s">
        <v>534</v>
      </c>
    </row>
    <row r="359" spans="1:21" x14ac:dyDescent="0.25">
      <c r="A359" t="s">
        <v>513</v>
      </c>
      <c r="B359" s="11">
        <v>-1.3343012070466791</v>
      </c>
      <c r="C359" s="3">
        <v>0.1089686379392189</v>
      </c>
      <c r="R359" t="s">
        <v>509</v>
      </c>
      <c r="S359" s="11">
        <v>4.8581010217361253</v>
      </c>
      <c r="T359" s="3">
        <v>0.99696668917794118</v>
      </c>
      <c r="U359" t="s">
        <v>535</v>
      </c>
    </row>
    <row r="360" spans="1:21" x14ac:dyDescent="0.25">
      <c r="A360" t="s">
        <v>513</v>
      </c>
      <c r="B360" s="11">
        <v>-2.483819302921678</v>
      </c>
      <c r="C360" s="3">
        <v>0.87576732752300213</v>
      </c>
      <c r="R360" t="s">
        <v>509</v>
      </c>
      <c r="S360" s="11">
        <v>-1.6158465972369991</v>
      </c>
      <c r="T360" s="3">
        <v>0.22870846034528461</v>
      </c>
      <c r="U360" t="s">
        <v>535</v>
      </c>
    </row>
    <row r="361" spans="1:21" x14ac:dyDescent="0.25">
      <c r="A361" t="s">
        <v>513</v>
      </c>
      <c r="B361" s="11">
        <v>-3.0507237884645639</v>
      </c>
      <c r="C361" s="3">
        <v>0.51882396988385682</v>
      </c>
      <c r="R361" t="s">
        <v>509</v>
      </c>
      <c r="S361" s="11">
        <v>-1.9928627763415661</v>
      </c>
      <c r="T361" s="3">
        <v>0.45541967084629342</v>
      </c>
      <c r="U361" t="s">
        <v>535</v>
      </c>
    </row>
    <row r="362" spans="1:21" x14ac:dyDescent="0.25">
      <c r="A362" t="s">
        <v>513</v>
      </c>
      <c r="B362" s="11">
        <v>-2.134654388387986</v>
      </c>
      <c r="C362" s="3">
        <v>0.1236564146965753</v>
      </c>
      <c r="R362" t="s">
        <v>509</v>
      </c>
      <c r="S362" s="11">
        <v>2.5685960040933078</v>
      </c>
      <c r="T362" s="3">
        <v>0.59529622921894798</v>
      </c>
      <c r="U362" t="s">
        <v>535</v>
      </c>
    </row>
    <row r="363" spans="1:21" x14ac:dyDescent="0.25">
      <c r="A363" t="s">
        <v>513</v>
      </c>
      <c r="B363" s="11">
        <v>2.7151484083429129</v>
      </c>
      <c r="C363" s="3">
        <v>0.26488058793287189</v>
      </c>
      <c r="R363" t="s">
        <v>509</v>
      </c>
      <c r="S363" s="11">
        <v>-0.87890582239760517</v>
      </c>
      <c r="T363" s="3">
        <v>0.1899297237265645</v>
      </c>
      <c r="U363" t="s">
        <v>535</v>
      </c>
    </row>
    <row r="364" spans="1:21" x14ac:dyDescent="0.25">
      <c r="A364" t="s">
        <v>513</v>
      </c>
      <c r="B364" s="11">
        <v>-0.70456406784123515</v>
      </c>
      <c r="C364" s="3">
        <v>0.72306967803544064</v>
      </c>
      <c r="R364" t="s">
        <v>509</v>
      </c>
      <c r="S364" s="11">
        <v>-1.8186255967980409</v>
      </c>
      <c r="T364" s="3">
        <v>0.93425399770073236</v>
      </c>
      <c r="U364" t="s">
        <v>535</v>
      </c>
    </row>
    <row r="365" spans="1:21" x14ac:dyDescent="0.25">
      <c r="A365" t="s">
        <v>513</v>
      </c>
      <c r="B365" s="11">
        <v>-5.7829556296621742</v>
      </c>
      <c r="C365" s="3">
        <v>0.78980888511177938</v>
      </c>
      <c r="R365" t="s">
        <v>509</v>
      </c>
      <c r="S365" s="11">
        <v>2.66991905427383</v>
      </c>
      <c r="T365" s="3">
        <v>0.71053418806234436</v>
      </c>
      <c r="U365" t="s">
        <v>535</v>
      </c>
    </row>
    <row r="366" spans="1:21" x14ac:dyDescent="0.25">
      <c r="A366" t="s">
        <v>513</v>
      </c>
      <c r="B366" s="11">
        <v>-3.322085199315179</v>
      </c>
      <c r="C366" s="3">
        <v>0.59667636451878903</v>
      </c>
      <c r="R366" t="s">
        <v>509</v>
      </c>
      <c r="S366" s="11">
        <v>2.157073798179113</v>
      </c>
      <c r="T366" s="3">
        <v>0.7960755495187013</v>
      </c>
      <c r="U366" t="s">
        <v>535</v>
      </c>
    </row>
    <row r="367" spans="1:21" x14ac:dyDescent="0.25">
      <c r="A367" t="s">
        <v>513</v>
      </c>
      <c r="B367" s="11">
        <v>-3.3568277979685321</v>
      </c>
      <c r="C367" s="3">
        <v>0.22522084232072309</v>
      </c>
      <c r="R367" t="s">
        <v>509</v>
      </c>
      <c r="S367" s="11">
        <v>1.343202393250374</v>
      </c>
      <c r="T367" s="3">
        <v>0.25494149402139399</v>
      </c>
      <c r="U367" t="s">
        <v>535</v>
      </c>
    </row>
    <row r="368" spans="1:21" x14ac:dyDescent="0.25">
      <c r="A368" t="s">
        <v>513</v>
      </c>
      <c r="B368" s="11">
        <v>-2.711690424912633</v>
      </c>
      <c r="C368" s="3">
        <v>0.93273414114997388</v>
      </c>
      <c r="R368" t="s">
        <v>509</v>
      </c>
      <c r="S368" s="11">
        <v>-2.758512635527028</v>
      </c>
      <c r="T368" s="3">
        <v>0.79241537964468156</v>
      </c>
      <c r="U368" t="s">
        <v>535</v>
      </c>
    </row>
    <row r="369" spans="1:21" x14ac:dyDescent="0.25">
      <c r="A369" t="s">
        <v>513</v>
      </c>
      <c r="B369" s="11">
        <v>2.7675681642708989</v>
      </c>
      <c r="C369" s="3">
        <v>0.1079884377822322</v>
      </c>
      <c r="R369" t="s">
        <v>509</v>
      </c>
      <c r="S369" s="11">
        <v>1.834699001277829</v>
      </c>
      <c r="T369" s="3">
        <v>0.20311040955114479</v>
      </c>
      <c r="U369" t="s">
        <v>535</v>
      </c>
    </row>
    <row r="370" spans="1:21" x14ac:dyDescent="0.25">
      <c r="A370" t="s">
        <v>513</v>
      </c>
      <c r="B370" s="11">
        <v>-3.8774023670226239</v>
      </c>
      <c r="C370" s="3">
        <v>0.99475080767461654</v>
      </c>
      <c r="R370" t="s">
        <v>509</v>
      </c>
      <c r="S370" s="11">
        <v>-1.121545954731296</v>
      </c>
      <c r="T370" s="3">
        <v>0.21844847365283029</v>
      </c>
      <c r="U370" t="s">
        <v>535</v>
      </c>
    </row>
    <row r="371" spans="1:21" x14ac:dyDescent="0.25">
      <c r="A371" t="s">
        <v>513</v>
      </c>
      <c r="B371" s="11">
        <v>-4.6237463375664074</v>
      </c>
      <c r="C371" s="3">
        <v>0.1200003797312796</v>
      </c>
      <c r="R371" t="s">
        <v>509</v>
      </c>
      <c r="S371" s="11">
        <v>2.355440279753362</v>
      </c>
      <c r="T371" s="3">
        <v>0.25219406014368551</v>
      </c>
      <c r="U371" t="s">
        <v>535</v>
      </c>
    </row>
    <row r="372" spans="1:21" x14ac:dyDescent="0.25">
      <c r="A372" t="s">
        <v>513</v>
      </c>
      <c r="B372" s="11">
        <v>-2.9011474490714049</v>
      </c>
      <c r="C372" s="3">
        <v>0.99142877280429653</v>
      </c>
      <c r="R372" t="s">
        <v>509</v>
      </c>
      <c r="S372" s="11">
        <v>0.90644048870351968</v>
      </c>
      <c r="T372" s="3">
        <v>0.31548093049619752</v>
      </c>
      <c r="U372" t="s">
        <v>535</v>
      </c>
    </row>
    <row r="373" spans="1:21" x14ac:dyDescent="0.25">
      <c r="A373" t="s">
        <v>513</v>
      </c>
      <c r="B373" s="11">
        <v>-1.776864754107673</v>
      </c>
      <c r="C373" s="3">
        <v>0.57852574224514441</v>
      </c>
      <c r="R373" t="s">
        <v>509</v>
      </c>
      <c r="S373" s="11">
        <v>-1.9420952355224601</v>
      </c>
      <c r="T373" s="3">
        <v>0.1158538748540241</v>
      </c>
      <c r="U373" t="s">
        <v>535</v>
      </c>
    </row>
    <row r="374" spans="1:21" x14ac:dyDescent="0.25">
      <c r="A374" t="s">
        <v>513</v>
      </c>
      <c r="B374" s="11">
        <v>-2.446767602336235</v>
      </c>
      <c r="C374" s="3">
        <v>0.59400519878475677</v>
      </c>
      <c r="R374" t="s">
        <v>509</v>
      </c>
      <c r="S374" s="11">
        <v>2.7609524533078562</v>
      </c>
      <c r="T374" s="3">
        <v>0.76150808817919846</v>
      </c>
      <c r="U374" t="s">
        <v>535</v>
      </c>
    </row>
    <row r="375" spans="1:21" x14ac:dyDescent="0.25">
      <c r="A375" t="s">
        <v>513</v>
      </c>
      <c r="B375" s="11">
        <v>-1.8071652371020051</v>
      </c>
      <c r="C375" s="3">
        <v>0.42578094499293179</v>
      </c>
      <c r="R375" t="s">
        <v>509</v>
      </c>
      <c r="S375" s="11">
        <v>4.1351000613131834</v>
      </c>
      <c r="T375" s="3">
        <v>0.35471954646808929</v>
      </c>
      <c r="U375" t="s">
        <v>535</v>
      </c>
    </row>
    <row r="376" spans="1:21" x14ac:dyDescent="0.25">
      <c r="A376" t="s">
        <v>513</v>
      </c>
      <c r="B376" s="11">
        <v>-3.991185691620772</v>
      </c>
      <c r="C376" s="3">
        <v>0.96690021995709474</v>
      </c>
      <c r="R376" t="s">
        <v>509</v>
      </c>
      <c r="S376" s="11">
        <v>2.9571640171637821</v>
      </c>
      <c r="T376" s="3">
        <v>0.28070261930077622</v>
      </c>
      <c r="U376" t="s">
        <v>535</v>
      </c>
    </row>
    <row r="377" spans="1:21" x14ac:dyDescent="0.25">
      <c r="A377" t="s">
        <v>513</v>
      </c>
      <c r="B377" s="11">
        <v>-4.1776959938453304</v>
      </c>
      <c r="C377" s="3">
        <v>0.68064192853901861</v>
      </c>
      <c r="R377" t="s">
        <v>509</v>
      </c>
      <c r="S377" s="11">
        <v>-2.5153009546808738</v>
      </c>
      <c r="T377" s="3">
        <v>0.70283952218119539</v>
      </c>
      <c r="U377" t="s">
        <v>535</v>
      </c>
    </row>
    <row r="378" spans="1:21" x14ac:dyDescent="0.25">
      <c r="A378" t="s">
        <v>513</v>
      </c>
      <c r="B378" s="11">
        <v>-1.2209094869000181</v>
      </c>
      <c r="C378" s="3">
        <v>0.1850378219080894</v>
      </c>
      <c r="R378" t="s">
        <v>509</v>
      </c>
      <c r="S378" s="11">
        <v>-2.1384849878990049</v>
      </c>
      <c r="T378" s="3">
        <v>0.1705724192823794</v>
      </c>
      <c r="U378" t="s">
        <v>535</v>
      </c>
    </row>
    <row r="379" spans="1:21" x14ac:dyDescent="0.25">
      <c r="A379" t="s">
        <v>513</v>
      </c>
      <c r="B379" s="11">
        <v>-1.0232208618729219</v>
      </c>
      <c r="C379" s="3">
        <v>0.84972860740667733</v>
      </c>
      <c r="R379" t="s">
        <v>509</v>
      </c>
      <c r="S379" s="11">
        <v>2.4750668577976258</v>
      </c>
      <c r="T379" s="3">
        <v>0.41291969695462732</v>
      </c>
      <c r="U379" t="s">
        <v>535</v>
      </c>
    </row>
    <row r="380" spans="1:21" x14ac:dyDescent="0.25">
      <c r="A380" t="s">
        <v>514</v>
      </c>
      <c r="B380" s="11">
        <v>-2.058200867080894</v>
      </c>
      <c r="C380" s="3">
        <v>0.3056650509059145</v>
      </c>
      <c r="R380" t="s">
        <v>509</v>
      </c>
      <c r="S380" s="11">
        <v>-1.46345838880066</v>
      </c>
      <c r="T380" s="3">
        <v>0.72601770791125975</v>
      </c>
      <c r="U380" t="s">
        <v>535</v>
      </c>
    </row>
    <row r="381" spans="1:21" x14ac:dyDescent="0.25">
      <c r="A381" t="s">
        <v>514</v>
      </c>
      <c r="B381" s="11">
        <v>-2.5826898752123819</v>
      </c>
      <c r="C381" s="3">
        <v>0.54644476446835677</v>
      </c>
      <c r="R381" t="s">
        <v>509</v>
      </c>
      <c r="S381" s="11">
        <v>-1.8005800565280949</v>
      </c>
      <c r="T381" s="3">
        <v>0.85070183091983609</v>
      </c>
      <c r="U381" t="s">
        <v>535</v>
      </c>
    </row>
    <row r="382" spans="1:21" x14ac:dyDescent="0.25">
      <c r="A382" t="s">
        <v>514</v>
      </c>
      <c r="B382" s="11">
        <v>0.76649361341592614</v>
      </c>
      <c r="C382" s="3">
        <v>0.45541967084629342</v>
      </c>
      <c r="R382" t="s">
        <v>509</v>
      </c>
      <c r="S382" s="11">
        <v>-1.2949722105155539</v>
      </c>
      <c r="T382" s="3">
        <v>0.20949723418173821</v>
      </c>
      <c r="U382" t="s">
        <v>535</v>
      </c>
    </row>
    <row r="383" spans="1:21" x14ac:dyDescent="0.25">
      <c r="A383" t="s">
        <v>514</v>
      </c>
      <c r="B383" s="11">
        <v>2.4983834554146069</v>
      </c>
      <c r="C383" s="3">
        <v>0.49507328748030371</v>
      </c>
      <c r="R383" t="s">
        <v>509</v>
      </c>
      <c r="S383" s="11">
        <v>-1.11926200519912</v>
      </c>
      <c r="T383" s="3">
        <v>0.7506286660757433</v>
      </c>
      <c r="U383" t="s">
        <v>535</v>
      </c>
    </row>
    <row r="384" spans="1:21" x14ac:dyDescent="0.25">
      <c r="A384" t="s">
        <v>514</v>
      </c>
      <c r="B384" s="11">
        <v>-1.9704719784599609</v>
      </c>
      <c r="C384" s="3">
        <v>0.38861666717650928</v>
      </c>
      <c r="R384" t="s">
        <v>509</v>
      </c>
      <c r="S384" s="11">
        <v>-3.481409613499451</v>
      </c>
      <c r="T384" s="3">
        <v>0.8951374050705958</v>
      </c>
      <c r="U384" t="s">
        <v>535</v>
      </c>
    </row>
    <row r="385" spans="1:21" x14ac:dyDescent="0.25">
      <c r="A385" t="s">
        <v>514</v>
      </c>
      <c r="B385" s="11">
        <v>-2.0142065437827101</v>
      </c>
      <c r="C385" s="3">
        <v>0.45483383074542522</v>
      </c>
      <c r="R385" t="s">
        <v>509</v>
      </c>
      <c r="S385" s="11">
        <v>-1.162895736490362</v>
      </c>
      <c r="T385" s="3">
        <v>0.20400464726331169</v>
      </c>
      <c r="U385" t="s">
        <v>535</v>
      </c>
    </row>
    <row r="386" spans="1:21" x14ac:dyDescent="0.25">
      <c r="A386" t="s">
        <v>514</v>
      </c>
      <c r="B386" s="11">
        <v>3.9020666153238008</v>
      </c>
      <c r="C386" s="3">
        <v>0.56996931103138504</v>
      </c>
      <c r="R386" t="s">
        <v>509</v>
      </c>
      <c r="S386" s="11">
        <v>1.6844802925957201</v>
      </c>
      <c r="T386" s="3">
        <v>0.2364424124269455</v>
      </c>
      <c r="U386" t="s">
        <v>535</v>
      </c>
    </row>
    <row r="387" spans="1:21" x14ac:dyDescent="0.25">
      <c r="A387" t="s">
        <v>514</v>
      </c>
      <c r="B387" s="11">
        <v>-1.924612288090312</v>
      </c>
      <c r="C387" s="3">
        <v>0.7960755495187013</v>
      </c>
      <c r="R387" t="s">
        <v>509</v>
      </c>
      <c r="S387" s="11">
        <v>3.530203322431575</v>
      </c>
      <c r="T387" s="3">
        <v>0.50267152671410242</v>
      </c>
      <c r="U387" t="s">
        <v>535</v>
      </c>
    </row>
    <row r="388" spans="1:21" x14ac:dyDescent="0.25">
      <c r="A388" t="s">
        <v>514</v>
      </c>
      <c r="B388" s="11">
        <v>-1.6011070173768649</v>
      </c>
      <c r="C388" s="3">
        <v>0.25494149402139399</v>
      </c>
      <c r="R388" t="s">
        <v>509</v>
      </c>
      <c r="S388" s="11">
        <v>1.6081205376294549</v>
      </c>
      <c r="T388" s="3">
        <v>0.42773429932738999</v>
      </c>
      <c r="U388" t="s">
        <v>535</v>
      </c>
    </row>
    <row r="389" spans="1:21" x14ac:dyDescent="0.25">
      <c r="A389" t="s">
        <v>514</v>
      </c>
      <c r="B389" s="11">
        <v>-0.93414647445689636</v>
      </c>
      <c r="C389" s="3">
        <v>0.1304210889068497</v>
      </c>
      <c r="R389" t="s">
        <v>509</v>
      </c>
      <c r="S389" s="11">
        <v>2.0025495524589449</v>
      </c>
      <c r="T389" s="3">
        <v>0.1749443239595754</v>
      </c>
      <c r="U389" t="s">
        <v>535</v>
      </c>
    </row>
    <row r="390" spans="1:21" x14ac:dyDescent="0.25">
      <c r="A390" t="s">
        <v>514</v>
      </c>
      <c r="B390" s="11">
        <v>-1.822426226626626</v>
      </c>
      <c r="C390" s="3">
        <v>0.25219406014368551</v>
      </c>
      <c r="R390" t="s">
        <v>509</v>
      </c>
      <c r="S390" s="11">
        <v>-2.1745025166645622</v>
      </c>
      <c r="T390" s="3">
        <v>0.43627892152177872</v>
      </c>
      <c r="U390" t="s">
        <v>535</v>
      </c>
    </row>
    <row r="391" spans="1:21" x14ac:dyDescent="0.25">
      <c r="A391" t="s">
        <v>514</v>
      </c>
      <c r="B391" s="11">
        <v>-1.9548918620467799</v>
      </c>
      <c r="C391" s="3">
        <v>0.24155574839601629</v>
      </c>
      <c r="R391" t="s">
        <v>509</v>
      </c>
      <c r="S391" s="11">
        <v>3.1719590508239981</v>
      </c>
      <c r="T391" s="3">
        <v>0.19513326784232321</v>
      </c>
      <c r="U391" t="s">
        <v>535</v>
      </c>
    </row>
    <row r="392" spans="1:21" x14ac:dyDescent="0.25">
      <c r="A392" t="s">
        <v>514</v>
      </c>
      <c r="B392" s="11">
        <v>-2.6897908879972041</v>
      </c>
      <c r="C392" s="3">
        <v>0.31548093049619752</v>
      </c>
      <c r="R392" t="s">
        <v>509</v>
      </c>
      <c r="S392" s="11">
        <v>-1.4746509379895689</v>
      </c>
      <c r="T392" s="3">
        <v>0.1978391265072644</v>
      </c>
      <c r="U392" t="s">
        <v>535</v>
      </c>
    </row>
    <row r="393" spans="1:21" x14ac:dyDescent="0.25">
      <c r="A393" t="s">
        <v>514</v>
      </c>
      <c r="B393" s="11">
        <v>0.76734677898000647</v>
      </c>
      <c r="C393" s="3">
        <v>0.1158538748540241</v>
      </c>
      <c r="R393" t="s">
        <v>509</v>
      </c>
      <c r="S393" s="11">
        <v>-1.5794026907586161</v>
      </c>
      <c r="T393" s="3">
        <v>0.1000450754234999</v>
      </c>
      <c r="U393" t="s">
        <v>535</v>
      </c>
    </row>
    <row r="394" spans="1:21" x14ac:dyDescent="0.25">
      <c r="A394" t="s">
        <v>514</v>
      </c>
      <c r="B394" s="11">
        <v>-2.6043127192123752</v>
      </c>
      <c r="C394" s="3">
        <v>0.30349608001371869</v>
      </c>
      <c r="R394" t="s">
        <v>509</v>
      </c>
      <c r="S394" s="11">
        <v>-2.0076450439883722</v>
      </c>
      <c r="T394" s="3">
        <v>0.18887930360487901</v>
      </c>
      <c r="U394" t="s">
        <v>535</v>
      </c>
    </row>
    <row r="395" spans="1:21" x14ac:dyDescent="0.25">
      <c r="A395" t="s">
        <v>514</v>
      </c>
      <c r="B395" s="11">
        <v>-3.760884080662247</v>
      </c>
      <c r="C395" s="3">
        <v>0.76150808817919846</v>
      </c>
      <c r="R395" t="s">
        <v>509</v>
      </c>
      <c r="S395" s="11">
        <v>2.6893539118761849</v>
      </c>
      <c r="T395" s="3">
        <v>0.68576777898227115</v>
      </c>
      <c r="U395" t="s">
        <v>535</v>
      </c>
    </row>
    <row r="396" spans="1:21" x14ac:dyDescent="0.25">
      <c r="A396" t="s">
        <v>514</v>
      </c>
      <c r="B396" s="11">
        <v>-2.1348707032685512</v>
      </c>
      <c r="C396" s="3">
        <v>0.20779136981902099</v>
      </c>
      <c r="R396" t="s">
        <v>509</v>
      </c>
      <c r="S396" s="11">
        <v>1.5642955175964639</v>
      </c>
      <c r="T396" s="3">
        <v>0.86655857869174824</v>
      </c>
      <c r="U396" t="s">
        <v>535</v>
      </c>
    </row>
    <row r="397" spans="1:21" x14ac:dyDescent="0.25">
      <c r="A397" t="s">
        <v>514</v>
      </c>
      <c r="B397" s="11">
        <v>1.4176796081305161</v>
      </c>
      <c r="C397" s="3">
        <v>0.28070261930077622</v>
      </c>
      <c r="R397" t="s">
        <v>509</v>
      </c>
      <c r="S397" s="11">
        <v>-1.2455286124193621</v>
      </c>
      <c r="T397" s="3">
        <v>0.80244896685013978</v>
      </c>
      <c r="U397" t="s">
        <v>535</v>
      </c>
    </row>
    <row r="398" spans="1:21" x14ac:dyDescent="0.25">
      <c r="A398" t="s">
        <v>514</v>
      </c>
      <c r="B398" s="11">
        <v>-2.036522245919056</v>
      </c>
      <c r="C398" s="3">
        <v>0.40433955316321268</v>
      </c>
      <c r="R398" t="s">
        <v>509</v>
      </c>
      <c r="S398" s="11">
        <v>2.3705731887112069</v>
      </c>
      <c r="T398" s="3">
        <v>0.87576732752300213</v>
      </c>
      <c r="U398" t="s">
        <v>535</v>
      </c>
    </row>
    <row r="399" spans="1:21" x14ac:dyDescent="0.25">
      <c r="A399" t="s">
        <v>514</v>
      </c>
      <c r="B399" s="11">
        <v>-3.0603521708761598</v>
      </c>
      <c r="C399" s="3">
        <v>0.92948158652986834</v>
      </c>
      <c r="R399" t="s">
        <v>509</v>
      </c>
      <c r="S399" s="11">
        <v>-0.46997538912630182</v>
      </c>
      <c r="T399" s="3">
        <v>0.2583057538052474</v>
      </c>
      <c r="U399" t="s">
        <v>535</v>
      </c>
    </row>
    <row r="400" spans="1:21" x14ac:dyDescent="0.25">
      <c r="A400" t="s">
        <v>514</v>
      </c>
      <c r="B400" s="11">
        <v>-2.862050089736258</v>
      </c>
      <c r="C400" s="3">
        <v>0.3885011523872004</v>
      </c>
      <c r="R400" t="s">
        <v>509</v>
      </c>
      <c r="S400" s="11">
        <v>2.8507204443726262</v>
      </c>
      <c r="T400" s="3">
        <v>0.48663727550552088</v>
      </c>
      <c r="U400" t="s">
        <v>535</v>
      </c>
    </row>
    <row r="401" spans="1:21" x14ac:dyDescent="0.25">
      <c r="A401" t="s">
        <v>514</v>
      </c>
      <c r="B401" s="11">
        <v>-2.1259300532170591</v>
      </c>
      <c r="C401" s="3">
        <v>0.35397557954965891</v>
      </c>
      <c r="R401" t="s">
        <v>509</v>
      </c>
      <c r="S401" s="11">
        <v>1.471637494261169</v>
      </c>
      <c r="T401" s="3">
        <v>0.70372975816672356</v>
      </c>
      <c r="U401" t="s">
        <v>535</v>
      </c>
    </row>
    <row r="402" spans="1:21" x14ac:dyDescent="0.25">
      <c r="A402" t="s">
        <v>514</v>
      </c>
      <c r="B402" s="11">
        <v>0.85423822223108203</v>
      </c>
      <c r="C402" s="3">
        <v>0.1705724192823794</v>
      </c>
      <c r="R402" t="s">
        <v>509</v>
      </c>
      <c r="S402" s="11">
        <v>2.183603499883803</v>
      </c>
      <c r="T402" s="3">
        <v>0.51882396988385682</v>
      </c>
      <c r="U402" t="s">
        <v>535</v>
      </c>
    </row>
    <row r="403" spans="1:21" x14ac:dyDescent="0.25">
      <c r="A403" t="s">
        <v>514</v>
      </c>
      <c r="B403" s="11">
        <v>-1.006542556117044</v>
      </c>
      <c r="C403" s="3">
        <v>0.67250802584224512</v>
      </c>
      <c r="R403" t="s">
        <v>509</v>
      </c>
      <c r="S403" s="11">
        <v>2.0883794437564629</v>
      </c>
      <c r="T403" s="3">
        <v>0.1236564146965753</v>
      </c>
      <c r="U403" t="s">
        <v>535</v>
      </c>
    </row>
    <row r="404" spans="1:21" x14ac:dyDescent="0.25">
      <c r="A404" t="s">
        <v>514</v>
      </c>
      <c r="B404" s="11">
        <v>-3.2948336817533859</v>
      </c>
      <c r="C404" s="3">
        <v>0.44835388907017598</v>
      </c>
      <c r="R404" t="s">
        <v>509</v>
      </c>
      <c r="S404" s="11">
        <v>1.492485963437592</v>
      </c>
      <c r="T404" s="3">
        <v>0.78980888511177938</v>
      </c>
      <c r="U404" t="s">
        <v>535</v>
      </c>
    </row>
    <row r="405" spans="1:21" x14ac:dyDescent="0.25">
      <c r="A405" t="s">
        <v>514</v>
      </c>
      <c r="B405" s="11">
        <v>-3.30235845230388</v>
      </c>
      <c r="C405" s="3">
        <v>0.41291969695462732</v>
      </c>
      <c r="R405" t="s">
        <v>509</v>
      </c>
      <c r="S405" s="11">
        <v>1.286220476837111</v>
      </c>
      <c r="T405" s="3">
        <v>0.756197264055957</v>
      </c>
      <c r="U405" t="s">
        <v>535</v>
      </c>
    </row>
    <row r="406" spans="1:21" x14ac:dyDescent="0.25">
      <c r="A406" t="s">
        <v>514</v>
      </c>
      <c r="B406" s="11">
        <v>-0.68778627951620841</v>
      </c>
      <c r="C406" s="3">
        <v>0.60240763309890277</v>
      </c>
      <c r="R406" t="s">
        <v>509</v>
      </c>
      <c r="S406" s="11">
        <v>2.3381491315343421</v>
      </c>
      <c r="T406" s="3">
        <v>0.59667636451878903</v>
      </c>
      <c r="U406" t="s">
        <v>535</v>
      </c>
    </row>
    <row r="407" spans="1:21" x14ac:dyDescent="0.25">
      <c r="A407" t="s">
        <v>514</v>
      </c>
      <c r="B407" s="11">
        <v>-1.783324851501189</v>
      </c>
      <c r="C407" s="3">
        <v>0.72601770791125975</v>
      </c>
      <c r="R407" t="s">
        <v>509</v>
      </c>
      <c r="S407" s="11">
        <v>1.5806205503656861</v>
      </c>
      <c r="T407" s="3">
        <v>0.22522084232072309</v>
      </c>
      <c r="U407" t="s">
        <v>535</v>
      </c>
    </row>
    <row r="408" spans="1:21" x14ac:dyDescent="0.25">
      <c r="A408" t="s">
        <v>514</v>
      </c>
      <c r="B408" s="11">
        <v>-1.3947119462253461</v>
      </c>
      <c r="C408" s="3">
        <v>0.85070183091983609</v>
      </c>
      <c r="R408" t="s">
        <v>509</v>
      </c>
      <c r="S408" s="11">
        <v>2.5822718427162932</v>
      </c>
      <c r="T408" s="3">
        <v>0.93273414114997388</v>
      </c>
      <c r="U408" t="s">
        <v>535</v>
      </c>
    </row>
    <row r="409" spans="1:21" x14ac:dyDescent="0.25">
      <c r="A409" t="s">
        <v>514</v>
      </c>
      <c r="B409" s="11">
        <v>-3.072575797151063</v>
      </c>
      <c r="C409" s="3">
        <v>0.3924030271803659</v>
      </c>
      <c r="R409" t="s">
        <v>509</v>
      </c>
      <c r="S409" s="11">
        <v>5.093523883755581</v>
      </c>
      <c r="T409" s="3">
        <v>0.99475080767461654</v>
      </c>
      <c r="U409" t="s">
        <v>535</v>
      </c>
    </row>
    <row r="410" spans="1:21" x14ac:dyDescent="0.25">
      <c r="A410" t="s">
        <v>514</v>
      </c>
      <c r="B410" s="11">
        <v>-2.0359037723943829</v>
      </c>
      <c r="C410" s="3">
        <v>0.22935240254124639</v>
      </c>
      <c r="R410" t="s">
        <v>509</v>
      </c>
      <c r="S410" s="11">
        <v>1.2635676070222479</v>
      </c>
      <c r="T410" s="3">
        <v>0.1200003797312796</v>
      </c>
      <c r="U410" t="s">
        <v>535</v>
      </c>
    </row>
    <row r="411" spans="1:21" x14ac:dyDescent="0.25">
      <c r="A411" t="s">
        <v>514</v>
      </c>
      <c r="B411" s="11">
        <v>0.49360769906571877</v>
      </c>
      <c r="C411" s="3">
        <v>0.20949723418173821</v>
      </c>
      <c r="R411" t="s">
        <v>509</v>
      </c>
      <c r="S411" s="11">
        <v>0.92002006282437065</v>
      </c>
      <c r="T411" s="3">
        <v>0.32853801032222513</v>
      </c>
      <c r="U411" t="s">
        <v>535</v>
      </c>
    </row>
    <row r="412" spans="1:21" x14ac:dyDescent="0.25">
      <c r="A412" t="s">
        <v>514</v>
      </c>
      <c r="B412" s="11">
        <v>2.6637124176740539</v>
      </c>
      <c r="C412" s="3">
        <v>0.54298250440673823</v>
      </c>
      <c r="R412" t="s">
        <v>509</v>
      </c>
      <c r="S412" s="11">
        <v>-1.819647889867922</v>
      </c>
      <c r="T412" s="3">
        <v>0.76946225597381357</v>
      </c>
      <c r="U412" t="s">
        <v>535</v>
      </c>
    </row>
    <row r="413" spans="1:21" x14ac:dyDescent="0.25">
      <c r="A413" t="s">
        <v>514</v>
      </c>
      <c r="B413" s="11">
        <v>0.39278356726217051</v>
      </c>
      <c r="C413" s="3">
        <v>0.7506286660757433</v>
      </c>
      <c r="R413" t="s">
        <v>509</v>
      </c>
      <c r="S413" s="11">
        <v>2.804497198598209</v>
      </c>
      <c r="T413" s="3">
        <v>0.59400519878475677</v>
      </c>
      <c r="U413" t="s">
        <v>535</v>
      </c>
    </row>
    <row r="414" spans="1:21" x14ac:dyDescent="0.25">
      <c r="A414" t="s">
        <v>514</v>
      </c>
      <c r="B414" s="11">
        <v>0.43272183158170158</v>
      </c>
      <c r="C414" s="3">
        <v>0.20400464726331169</v>
      </c>
      <c r="R414" t="s">
        <v>509</v>
      </c>
      <c r="S414" s="11">
        <v>-0.94979942931811145</v>
      </c>
      <c r="T414" s="3">
        <v>0.96526539046505389</v>
      </c>
      <c r="U414" t="s">
        <v>535</v>
      </c>
    </row>
    <row r="415" spans="1:21" x14ac:dyDescent="0.25">
      <c r="A415" t="s">
        <v>514</v>
      </c>
      <c r="B415" s="11">
        <v>2.033062810831781</v>
      </c>
      <c r="C415" s="3">
        <v>0.2364424124269455</v>
      </c>
      <c r="R415" t="s">
        <v>509</v>
      </c>
      <c r="S415" s="11">
        <v>-2.083843840130585</v>
      </c>
      <c r="T415" s="3">
        <v>0.1073546372966605</v>
      </c>
      <c r="U415" t="s">
        <v>535</v>
      </c>
    </row>
    <row r="416" spans="1:21" x14ac:dyDescent="0.25">
      <c r="A416" t="s">
        <v>514</v>
      </c>
      <c r="B416" s="11">
        <v>-2.8468984518997931</v>
      </c>
      <c r="C416" s="3">
        <v>0.1010331424755098</v>
      </c>
      <c r="R416" t="s">
        <v>509</v>
      </c>
      <c r="S416" s="11">
        <v>1.670903916069661</v>
      </c>
      <c r="T416" s="3">
        <v>0.96690021995709474</v>
      </c>
      <c r="U416" t="s">
        <v>535</v>
      </c>
    </row>
    <row r="417" spans="1:21" x14ac:dyDescent="0.25">
      <c r="A417" t="s">
        <v>514</v>
      </c>
      <c r="B417" s="11">
        <v>-2.518675388326761</v>
      </c>
      <c r="C417" s="3">
        <v>0.50267152671410242</v>
      </c>
      <c r="R417" t="s">
        <v>509</v>
      </c>
      <c r="S417" s="11">
        <v>-1.9241907093666839</v>
      </c>
      <c r="T417" s="3">
        <v>0.17383620142765499</v>
      </c>
      <c r="U417" t="s">
        <v>535</v>
      </c>
    </row>
    <row r="418" spans="1:21" x14ac:dyDescent="0.25">
      <c r="A418" t="s">
        <v>514</v>
      </c>
      <c r="B418" s="11">
        <v>-5.814523110402825</v>
      </c>
      <c r="C418" s="3">
        <v>0.77288106209373775</v>
      </c>
      <c r="R418" t="s">
        <v>509</v>
      </c>
      <c r="S418" s="11">
        <v>-1.265580340003011</v>
      </c>
      <c r="T418" s="3">
        <v>0.84735875113702974</v>
      </c>
      <c r="U418" t="s">
        <v>535</v>
      </c>
    </row>
    <row r="419" spans="1:21" x14ac:dyDescent="0.25">
      <c r="A419" t="s">
        <v>514</v>
      </c>
      <c r="B419" s="11">
        <v>-2.914814806996294</v>
      </c>
      <c r="C419" s="3">
        <v>0.83440471082587475</v>
      </c>
      <c r="R419" t="s">
        <v>509</v>
      </c>
      <c r="S419" s="11">
        <v>1.230933798418373</v>
      </c>
      <c r="T419" s="3">
        <v>0.71871414594590854</v>
      </c>
      <c r="U419" t="s">
        <v>535</v>
      </c>
    </row>
    <row r="420" spans="1:21" x14ac:dyDescent="0.25">
      <c r="A420" t="s">
        <v>514</v>
      </c>
      <c r="B420" s="11">
        <v>-5.1483644666520796</v>
      </c>
      <c r="C420" s="3">
        <v>0.61717013705295098</v>
      </c>
      <c r="R420" t="s">
        <v>509</v>
      </c>
      <c r="S420" s="11">
        <v>-1.1355944097306001</v>
      </c>
      <c r="T420" s="3">
        <v>0.6507664077012254</v>
      </c>
      <c r="U420" t="s">
        <v>535</v>
      </c>
    </row>
    <row r="421" spans="1:21" x14ac:dyDescent="0.25">
      <c r="A421" t="s">
        <v>514</v>
      </c>
      <c r="B421" s="11">
        <v>-1.1566943026028209</v>
      </c>
      <c r="C421" s="3">
        <v>0.26821316439900922</v>
      </c>
      <c r="R421" t="s">
        <v>509</v>
      </c>
      <c r="S421" s="11">
        <v>-2.1165059863442779</v>
      </c>
      <c r="T421" s="3">
        <v>0.92867123352724268</v>
      </c>
      <c r="U421" t="s">
        <v>535</v>
      </c>
    </row>
    <row r="422" spans="1:21" x14ac:dyDescent="0.25">
      <c r="A422" t="s">
        <v>514</v>
      </c>
      <c r="B422" s="11">
        <v>0.82511072963327847</v>
      </c>
      <c r="C422" s="3">
        <v>0.43627892152177872</v>
      </c>
      <c r="R422" t="s">
        <v>510</v>
      </c>
      <c r="S422" s="11">
        <v>-0.90906622008418714</v>
      </c>
      <c r="T422" s="3">
        <v>0.22870846034528461</v>
      </c>
      <c r="U422" t="s">
        <v>536</v>
      </c>
    </row>
    <row r="423" spans="1:21" x14ac:dyDescent="0.25">
      <c r="A423" t="s">
        <v>514</v>
      </c>
      <c r="B423" s="11">
        <v>-1.974070672356133</v>
      </c>
      <c r="C423" s="3">
        <v>0.19513326784232321</v>
      </c>
      <c r="R423" t="s">
        <v>510</v>
      </c>
      <c r="S423" s="11">
        <v>-1.7176338763915959</v>
      </c>
      <c r="T423" s="3">
        <v>0.17826894991460529</v>
      </c>
      <c r="U423" t="s">
        <v>536</v>
      </c>
    </row>
    <row r="424" spans="1:21" x14ac:dyDescent="0.25">
      <c r="A424" t="s">
        <v>514</v>
      </c>
      <c r="B424" s="11">
        <v>-1.8667268018982699</v>
      </c>
      <c r="C424" s="3">
        <v>0.74244149323312658</v>
      </c>
      <c r="R424" t="s">
        <v>510</v>
      </c>
      <c r="S424" s="11">
        <v>1.297771398499953</v>
      </c>
      <c r="T424" s="3">
        <v>0.52528544664079668</v>
      </c>
      <c r="U424" t="s">
        <v>536</v>
      </c>
    </row>
    <row r="425" spans="1:21" x14ac:dyDescent="0.25">
      <c r="A425" t="s">
        <v>514</v>
      </c>
      <c r="B425" s="11">
        <v>0.81098607483515062</v>
      </c>
      <c r="C425" s="3">
        <v>0.18887930360487901</v>
      </c>
      <c r="R425" t="s">
        <v>510</v>
      </c>
      <c r="S425" s="11">
        <v>1.0873714192694111</v>
      </c>
      <c r="T425" s="3">
        <v>0.81618489217664858</v>
      </c>
      <c r="U425" t="s">
        <v>536</v>
      </c>
    </row>
    <row r="426" spans="1:21" x14ac:dyDescent="0.25">
      <c r="A426" t="s">
        <v>514</v>
      </c>
      <c r="B426" s="11">
        <v>2.038945219585274</v>
      </c>
      <c r="C426" s="3">
        <v>0.86655857869174824</v>
      </c>
      <c r="R426" t="s">
        <v>510</v>
      </c>
      <c r="S426" s="11">
        <v>-1.514111659546298</v>
      </c>
      <c r="T426" s="3">
        <v>0.13939834915146149</v>
      </c>
      <c r="U426" t="s">
        <v>536</v>
      </c>
    </row>
    <row r="427" spans="1:21" x14ac:dyDescent="0.25">
      <c r="A427" t="s">
        <v>514</v>
      </c>
      <c r="B427" s="11">
        <v>2.5777373734875741</v>
      </c>
      <c r="C427" s="3">
        <v>0.65469998820211983</v>
      </c>
      <c r="R427" t="s">
        <v>510</v>
      </c>
      <c r="S427" s="11">
        <v>0.93287670897277464</v>
      </c>
      <c r="T427" s="3">
        <v>0.24638540345356849</v>
      </c>
      <c r="U427" t="s">
        <v>536</v>
      </c>
    </row>
    <row r="428" spans="1:21" x14ac:dyDescent="0.25">
      <c r="A428" t="s">
        <v>514</v>
      </c>
      <c r="B428" s="11">
        <v>0.45126854917551468</v>
      </c>
      <c r="C428" s="3">
        <v>0.80244896685013978</v>
      </c>
      <c r="R428" t="s">
        <v>510</v>
      </c>
      <c r="S428" s="11">
        <v>-3.4777382992392281</v>
      </c>
      <c r="T428" s="3">
        <v>0.93425399770073236</v>
      </c>
      <c r="U428" t="s">
        <v>536</v>
      </c>
    </row>
    <row r="429" spans="1:21" x14ac:dyDescent="0.25">
      <c r="A429" t="s">
        <v>514</v>
      </c>
      <c r="B429" s="11">
        <v>-2.0765820205605712</v>
      </c>
      <c r="C429" s="3">
        <v>0.93008937672037084</v>
      </c>
      <c r="R429" t="s">
        <v>510</v>
      </c>
      <c r="S429" s="11">
        <v>-2.642346940243816</v>
      </c>
      <c r="T429" s="3">
        <v>0.25494149402139399</v>
      </c>
      <c r="U429" t="s">
        <v>536</v>
      </c>
    </row>
    <row r="430" spans="1:21" x14ac:dyDescent="0.25">
      <c r="A430" t="s">
        <v>514</v>
      </c>
      <c r="B430" s="11">
        <v>-2.265138693038558</v>
      </c>
      <c r="C430" s="3">
        <v>0.48663727550552088</v>
      </c>
      <c r="R430" t="s">
        <v>510</v>
      </c>
      <c r="S430" s="11">
        <v>-2.5016550672056201</v>
      </c>
      <c r="T430" s="3">
        <v>0.46643423991917787</v>
      </c>
      <c r="U430" t="s">
        <v>536</v>
      </c>
    </row>
    <row r="431" spans="1:21" x14ac:dyDescent="0.25">
      <c r="A431" t="s">
        <v>514</v>
      </c>
      <c r="B431" s="11">
        <v>-1.916390778113066</v>
      </c>
      <c r="C431" s="3">
        <v>0.68096930218422058</v>
      </c>
      <c r="R431" t="s">
        <v>510</v>
      </c>
      <c r="S431" s="11">
        <v>0.59466117137108399</v>
      </c>
      <c r="T431" s="3">
        <v>0.16241031752135329</v>
      </c>
      <c r="U431" t="s">
        <v>536</v>
      </c>
    </row>
    <row r="432" spans="1:21" x14ac:dyDescent="0.25">
      <c r="A432" t="s">
        <v>514</v>
      </c>
      <c r="B432" s="11">
        <v>0.86876845738674346</v>
      </c>
      <c r="C432" s="3">
        <v>0.51882396988385682</v>
      </c>
      <c r="R432" t="s">
        <v>510</v>
      </c>
      <c r="S432" s="11">
        <v>-1.90467452957335</v>
      </c>
      <c r="T432" s="3">
        <v>0.1304210889068497</v>
      </c>
      <c r="U432" t="s">
        <v>536</v>
      </c>
    </row>
    <row r="433" spans="1:21" x14ac:dyDescent="0.25">
      <c r="A433" t="s">
        <v>514</v>
      </c>
      <c r="B433" s="11">
        <v>-5.2540902808404972</v>
      </c>
      <c r="C433" s="3">
        <v>0.26488058793287189</v>
      </c>
      <c r="R433" t="s">
        <v>510</v>
      </c>
      <c r="S433" s="11">
        <v>-2.0336250361467298</v>
      </c>
      <c r="T433" s="3">
        <v>0.25219406014368551</v>
      </c>
      <c r="U433" t="s">
        <v>536</v>
      </c>
    </row>
    <row r="434" spans="1:21" x14ac:dyDescent="0.25">
      <c r="A434" t="s">
        <v>514</v>
      </c>
      <c r="B434" s="11">
        <v>6.2043676731075124</v>
      </c>
      <c r="C434" s="3">
        <v>0.84362216814941771</v>
      </c>
      <c r="R434" t="s">
        <v>510</v>
      </c>
      <c r="S434" s="11">
        <v>-2.056983559712164</v>
      </c>
      <c r="T434" s="3">
        <v>0.24155574839601629</v>
      </c>
      <c r="U434" t="s">
        <v>536</v>
      </c>
    </row>
    <row r="435" spans="1:21" x14ac:dyDescent="0.25">
      <c r="A435" t="s">
        <v>514</v>
      </c>
      <c r="B435" s="11">
        <v>5.9597465098419313</v>
      </c>
      <c r="C435" s="3">
        <v>0.78980888511177938</v>
      </c>
      <c r="R435" t="s">
        <v>510</v>
      </c>
      <c r="S435" s="11">
        <v>-1.8277207479290849</v>
      </c>
      <c r="T435" s="3">
        <v>0.31548093049619752</v>
      </c>
      <c r="U435" t="s">
        <v>536</v>
      </c>
    </row>
    <row r="436" spans="1:21" x14ac:dyDescent="0.25">
      <c r="A436" t="s">
        <v>514</v>
      </c>
      <c r="B436" s="11">
        <v>-3.0739901205946292</v>
      </c>
      <c r="C436" s="3">
        <v>0.756197264055957</v>
      </c>
      <c r="R436" t="s">
        <v>510</v>
      </c>
      <c r="S436" s="11">
        <v>-1.278315834400336</v>
      </c>
      <c r="T436" s="3">
        <v>0.76150808817919846</v>
      </c>
      <c r="U436" t="s">
        <v>536</v>
      </c>
    </row>
    <row r="437" spans="1:21" x14ac:dyDescent="0.25">
      <c r="A437" t="s">
        <v>514</v>
      </c>
      <c r="B437" s="11">
        <v>0.97753148467450646</v>
      </c>
      <c r="C437" s="3">
        <v>0.59667636451878903</v>
      </c>
      <c r="R437" t="s">
        <v>510</v>
      </c>
      <c r="S437" s="11">
        <v>-0.90093467472811217</v>
      </c>
      <c r="T437" s="3">
        <v>0.35397557954965891</v>
      </c>
      <c r="U437" t="s">
        <v>536</v>
      </c>
    </row>
    <row r="438" spans="1:21" x14ac:dyDescent="0.25">
      <c r="A438" t="s">
        <v>514</v>
      </c>
      <c r="B438" s="11">
        <v>1.7820160169415951</v>
      </c>
      <c r="C438" s="3">
        <v>0.22522084232072309</v>
      </c>
      <c r="R438" t="s">
        <v>510</v>
      </c>
      <c r="S438" s="11">
        <v>-2.486823972775313</v>
      </c>
      <c r="T438" s="3">
        <v>0.70283952218119539</v>
      </c>
      <c r="U438" t="s">
        <v>536</v>
      </c>
    </row>
    <row r="439" spans="1:21" x14ac:dyDescent="0.25">
      <c r="A439" t="s">
        <v>514</v>
      </c>
      <c r="B439" s="11">
        <v>-4.6156937103161484</v>
      </c>
      <c r="C439" s="3">
        <v>0.1079884377822322</v>
      </c>
      <c r="R439" t="s">
        <v>510</v>
      </c>
      <c r="S439" s="11">
        <v>-3.1435229582389241</v>
      </c>
      <c r="T439" s="3">
        <v>0.67250802584224512</v>
      </c>
      <c r="U439" t="s">
        <v>536</v>
      </c>
    </row>
    <row r="440" spans="1:21" x14ac:dyDescent="0.25">
      <c r="A440" t="s">
        <v>514</v>
      </c>
      <c r="B440" s="11">
        <v>-2.0037270651334129</v>
      </c>
      <c r="C440" s="3">
        <v>0.23641414744620209</v>
      </c>
      <c r="R440" t="s">
        <v>510</v>
      </c>
      <c r="S440" s="11">
        <v>1.5676701182677539</v>
      </c>
      <c r="T440" s="3">
        <v>0.92366180927910158</v>
      </c>
      <c r="U440" t="s">
        <v>536</v>
      </c>
    </row>
    <row r="441" spans="1:21" x14ac:dyDescent="0.25">
      <c r="A441" t="s">
        <v>514</v>
      </c>
      <c r="B441" s="11">
        <v>-0.89482236305720586</v>
      </c>
      <c r="C441" s="3">
        <v>0.63601653754895393</v>
      </c>
      <c r="R441" t="s">
        <v>510</v>
      </c>
      <c r="S441" s="11">
        <v>-1.2375822724402219</v>
      </c>
      <c r="T441" s="3">
        <v>0.41291969695462732</v>
      </c>
      <c r="U441" t="s">
        <v>536</v>
      </c>
    </row>
    <row r="442" spans="1:21" x14ac:dyDescent="0.25">
      <c r="A442" t="s">
        <v>514</v>
      </c>
      <c r="B442" s="11">
        <v>4.5083678965988074</v>
      </c>
      <c r="C442" s="3">
        <v>0.1200003797312796</v>
      </c>
      <c r="R442" t="s">
        <v>510</v>
      </c>
      <c r="S442" s="11">
        <v>-2.0612478245125581</v>
      </c>
      <c r="T442" s="3">
        <v>0.1322829447055649</v>
      </c>
      <c r="U442" t="s">
        <v>536</v>
      </c>
    </row>
    <row r="443" spans="1:21" x14ac:dyDescent="0.25">
      <c r="A443" t="s">
        <v>514</v>
      </c>
      <c r="B443" s="11">
        <v>-2.7637772729551551</v>
      </c>
      <c r="C443" s="3">
        <v>0.32853801032222513</v>
      </c>
      <c r="R443" t="s">
        <v>510</v>
      </c>
      <c r="S443" s="11">
        <v>-1.2982486574328489</v>
      </c>
      <c r="T443" s="3">
        <v>0.60240763309890277</v>
      </c>
      <c r="U443" t="s">
        <v>536</v>
      </c>
    </row>
    <row r="444" spans="1:21" x14ac:dyDescent="0.25">
      <c r="A444" t="s">
        <v>514</v>
      </c>
      <c r="B444" s="11">
        <v>-2.8347903831453269</v>
      </c>
      <c r="C444" s="3">
        <v>0.96724011899471685</v>
      </c>
      <c r="R444" t="s">
        <v>510</v>
      </c>
      <c r="S444" s="11">
        <v>0.70286967341414297</v>
      </c>
      <c r="T444" s="3">
        <v>0.20949723418173821</v>
      </c>
      <c r="U444" t="s">
        <v>536</v>
      </c>
    </row>
    <row r="445" spans="1:21" x14ac:dyDescent="0.25">
      <c r="A445" t="s">
        <v>514</v>
      </c>
      <c r="B445" s="11">
        <v>2.2157160726498861</v>
      </c>
      <c r="C445" s="3">
        <v>0.99142877280429653</v>
      </c>
      <c r="R445" t="s">
        <v>510</v>
      </c>
      <c r="S445" s="11">
        <v>0.67448176685802352</v>
      </c>
      <c r="T445" s="3">
        <v>0.7506286660757433</v>
      </c>
      <c r="U445" t="s">
        <v>536</v>
      </c>
    </row>
    <row r="446" spans="1:21" x14ac:dyDescent="0.25">
      <c r="A446" t="s">
        <v>514</v>
      </c>
      <c r="B446" s="11">
        <v>-3.0458407714993498</v>
      </c>
      <c r="C446" s="3">
        <v>0.99035256236056901</v>
      </c>
      <c r="R446" t="s">
        <v>510</v>
      </c>
      <c r="S446" s="11">
        <v>-2.0140094470209808</v>
      </c>
      <c r="T446" s="3">
        <v>0.98296832098831999</v>
      </c>
      <c r="U446" t="s">
        <v>536</v>
      </c>
    </row>
    <row r="447" spans="1:21" x14ac:dyDescent="0.25">
      <c r="A447" t="s">
        <v>514</v>
      </c>
      <c r="B447" s="11">
        <v>0.81278543007098603</v>
      </c>
      <c r="C447" s="3">
        <v>0.1073546372966605</v>
      </c>
      <c r="R447" t="s">
        <v>510</v>
      </c>
      <c r="S447" s="11">
        <v>0.67853873014918065</v>
      </c>
      <c r="T447" s="3">
        <v>0.20400464726331169</v>
      </c>
      <c r="U447" t="s">
        <v>536</v>
      </c>
    </row>
    <row r="448" spans="1:21" x14ac:dyDescent="0.25">
      <c r="A448" t="s">
        <v>514</v>
      </c>
      <c r="B448" s="11">
        <v>2.3818903552689461</v>
      </c>
      <c r="C448" s="3">
        <v>0.96690021995709474</v>
      </c>
      <c r="R448" t="s">
        <v>510</v>
      </c>
      <c r="S448" s="11">
        <v>-1.782431618095883</v>
      </c>
      <c r="T448" s="3">
        <v>0.50267152671410242</v>
      </c>
      <c r="U448" t="s">
        <v>536</v>
      </c>
    </row>
    <row r="449" spans="1:21" x14ac:dyDescent="0.25">
      <c r="A449" t="s">
        <v>514</v>
      </c>
      <c r="B449" s="11">
        <v>4.9038310821157696</v>
      </c>
      <c r="C449" s="3">
        <v>0.68064192853901861</v>
      </c>
      <c r="R449" t="s">
        <v>510</v>
      </c>
      <c r="S449" s="11">
        <v>-2.4989999814530601</v>
      </c>
      <c r="T449" s="3">
        <v>0.77288106209373775</v>
      </c>
      <c r="U449" t="s">
        <v>536</v>
      </c>
    </row>
    <row r="450" spans="1:21" x14ac:dyDescent="0.25">
      <c r="A450" t="s">
        <v>514</v>
      </c>
      <c r="B450" s="11">
        <v>-1.645986644176781</v>
      </c>
      <c r="C450" s="3">
        <v>0.84735875113702974</v>
      </c>
      <c r="R450" t="s">
        <v>510</v>
      </c>
      <c r="S450" s="11">
        <v>0.5862119769804871</v>
      </c>
      <c r="T450" s="3">
        <v>0.19526767279405</v>
      </c>
      <c r="U450" t="s">
        <v>536</v>
      </c>
    </row>
    <row r="451" spans="1:21" x14ac:dyDescent="0.25">
      <c r="A451" t="s">
        <v>514</v>
      </c>
      <c r="B451" s="11">
        <v>-0.86743505966503698</v>
      </c>
      <c r="C451" s="3">
        <v>0.67582937002005616</v>
      </c>
      <c r="R451" t="s">
        <v>510</v>
      </c>
      <c r="S451" s="11">
        <v>-1.992817647870246</v>
      </c>
      <c r="T451" s="3">
        <v>0.42773429932738999</v>
      </c>
      <c r="U451" t="s">
        <v>536</v>
      </c>
    </row>
    <row r="452" spans="1:21" x14ac:dyDescent="0.25">
      <c r="A452" t="s">
        <v>514</v>
      </c>
      <c r="B452" s="11">
        <v>-2.9325941145249641</v>
      </c>
      <c r="C452" s="3">
        <v>0.71871414594590854</v>
      </c>
      <c r="R452" t="s">
        <v>510</v>
      </c>
      <c r="S452" s="11">
        <v>-2.4485270721194499</v>
      </c>
      <c r="T452" s="3">
        <v>0.61717013705295098</v>
      </c>
      <c r="U452" t="s">
        <v>536</v>
      </c>
    </row>
    <row r="453" spans="1:21" x14ac:dyDescent="0.25">
      <c r="A453" t="s">
        <v>514</v>
      </c>
      <c r="B453" s="11">
        <v>-1.4892148595936261</v>
      </c>
      <c r="C453" s="3">
        <v>0.92867123352724268</v>
      </c>
      <c r="R453" t="s">
        <v>510</v>
      </c>
      <c r="S453" s="11">
        <v>-3.1425392474715532</v>
      </c>
      <c r="T453" s="3">
        <v>0.26821316439900922</v>
      </c>
      <c r="U453" t="s">
        <v>536</v>
      </c>
    </row>
    <row r="454" spans="1:21" x14ac:dyDescent="0.25">
      <c r="A454" t="s">
        <v>515</v>
      </c>
      <c r="B454" s="11">
        <v>3.027895043816923</v>
      </c>
      <c r="C454" s="3">
        <v>0.99696668917794118</v>
      </c>
      <c r="R454" t="s">
        <v>510</v>
      </c>
      <c r="S454" s="11">
        <v>-1.4793565064624199</v>
      </c>
      <c r="T454" s="3">
        <v>0.19513326784232321</v>
      </c>
      <c r="U454" t="s">
        <v>536</v>
      </c>
    </row>
    <row r="455" spans="1:21" x14ac:dyDescent="0.25">
      <c r="A455" t="s">
        <v>515</v>
      </c>
      <c r="B455" s="11">
        <v>-1.4279103745033179</v>
      </c>
      <c r="C455" s="3">
        <v>0.3056650509059145</v>
      </c>
      <c r="R455" t="s">
        <v>510</v>
      </c>
      <c r="S455" s="11">
        <v>-0.77633519941327678</v>
      </c>
      <c r="T455" s="3">
        <v>0.1978391265072644</v>
      </c>
      <c r="U455" t="s">
        <v>536</v>
      </c>
    </row>
    <row r="456" spans="1:21" x14ac:dyDescent="0.25">
      <c r="A456" t="s">
        <v>515</v>
      </c>
      <c r="B456" s="11">
        <v>0.97612179714258906</v>
      </c>
      <c r="C456" s="3">
        <v>0.41318683633122649</v>
      </c>
      <c r="R456" t="s">
        <v>510</v>
      </c>
      <c r="S456" s="11">
        <v>-2.61397835874256</v>
      </c>
      <c r="T456" s="3">
        <v>0.1000450754234999</v>
      </c>
      <c r="U456" t="s">
        <v>536</v>
      </c>
    </row>
    <row r="457" spans="1:21" x14ac:dyDescent="0.25">
      <c r="A457" t="s">
        <v>515</v>
      </c>
      <c r="B457" s="11">
        <v>-1.3649401393591409</v>
      </c>
      <c r="C457" s="3">
        <v>0.38861666717650928</v>
      </c>
      <c r="R457" t="s">
        <v>510</v>
      </c>
      <c r="S457" s="11">
        <v>-2.0035498212688112</v>
      </c>
      <c r="T457" s="3">
        <v>0.74244149323312658</v>
      </c>
      <c r="U457" t="s">
        <v>536</v>
      </c>
    </row>
    <row r="458" spans="1:21" x14ac:dyDescent="0.25">
      <c r="A458" t="s">
        <v>515</v>
      </c>
      <c r="B458" s="11">
        <v>2.4067440019626538</v>
      </c>
      <c r="C458" s="3">
        <v>0.52528544664079668</v>
      </c>
      <c r="R458" t="s">
        <v>510</v>
      </c>
      <c r="S458" s="11">
        <v>0.69742061884220874</v>
      </c>
      <c r="T458" s="3">
        <v>0.80244896685013978</v>
      </c>
      <c r="U458" t="s">
        <v>536</v>
      </c>
    </row>
    <row r="459" spans="1:21" x14ac:dyDescent="0.25">
      <c r="A459" t="s">
        <v>515</v>
      </c>
      <c r="B459" s="11">
        <v>-1.228084811350366</v>
      </c>
      <c r="C459" s="3">
        <v>0.45483383074542522</v>
      </c>
      <c r="R459" t="s">
        <v>510</v>
      </c>
      <c r="S459" s="11">
        <v>0.74463539930373235</v>
      </c>
      <c r="T459" s="3">
        <v>0.1089686379392189</v>
      </c>
      <c r="U459" t="s">
        <v>536</v>
      </c>
    </row>
    <row r="460" spans="1:21" x14ac:dyDescent="0.25">
      <c r="A460" t="s">
        <v>515</v>
      </c>
      <c r="B460" s="11">
        <v>-1.4048866553675461</v>
      </c>
      <c r="C460" s="3">
        <v>0.59529622921894798</v>
      </c>
      <c r="R460" t="s">
        <v>510</v>
      </c>
      <c r="S460" s="11">
        <v>-2.229852260695095</v>
      </c>
      <c r="T460" s="3">
        <v>0.93008937672037084</v>
      </c>
      <c r="U460" t="s">
        <v>536</v>
      </c>
    </row>
    <row r="461" spans="1:21" x14ac:dyDescent="0.25">
      <c r="A461" t="s">
        <v>515</v>
      </c>
      <c r="B461" s="11">
        <v>1.541442802781857</v>
      </c>
      <c r="C461" s="3">
        <v>0.1899297237265645</v>
      </c>
      <c r="R461" t="s">
        <v>510</v>
      </c>
      <c r="S461" s="11">
        <v>-0.80560401933906567</v>
      </c>
      <c r="T461" s="3">
        <v>0.87576732752300213</v>
      </c>
      <c r="U461" t="s">
        <v>536</v>
      </c>
    </row>
    <row r="462" spans="1:21" x14ac:dyDescent="0.25">
      <c r="A462" t="s">
        <v>515</v>
      </c>
      <c r="B462" s="11">
        <v>-1.70524204254713</v>
      </c>
      <c r="C462" s="3">
        <v>0.71053418806234436</v>
      </c>
      <c r="R462" t="s">
        <v>510</v>
      </c>
      <c r="S462" s="11">
        <v>0.83723372929280637</v>
      </c>
      <c r="T462" s="3">
        <v>0.2583057538052474</v>
      </c>
      <c r="U462" t="s">
        <v>536</v>
      </c>
    </row>
    <row r="463" spans="1:21" x14ac:dyDescent="0.25">
      <c r="A463" t="s">
        <v>515</v>
      </c>
      <c r="B463" s="11">
        <v>2.111281252782597</v>
      </c>
      <c r="C463" s="3">
        <v>0.7960755495187013</v>
      </c>
      <c r="R463" t="s">
        <v>510</v>
      </c>
      <c r="S463" s="11">
        <v>-2.0949185545414521</v>
      </c>
      <c r="T463" s="3">
        <v>0.48663727550552088</v>
      </c>
      <c r="U463" t="s">
        <v>536</v>
      </c>
    </row>
    <row r="464" spans="1:21" x14ac:dyDescent="0.25">
      <c r="A464" t="s">
        <v>515</v>
      </c>
      <c r="B464" s="11">
        <v>-3.601884332604151</v>
      </c>
      <c r="C464" s="3">
        <v>0.21869162198824671</v>
      </c>
      <c r="R464" t="s">
        <v>510</v>
      </c>
      <c r="S464" s="11">
        <v>-2.0724133176784858</v>
      </c>
      <c r="T464" s="3">
        <v>0.68096930218422058</v>
      </c>
      <c r="U464" t="s">
        <v>536</v>
      </c>
    </row>
    <row r="465" spans="1:21" x14ac:dyDescent="0.25">
      <c r="A465" t="s">
        <v>515</v>
      </c>
      <c r="B465" s="11">
        <v>0.90521508836895459</v>
      </c>
      <c r="C465" s="3">
        <v>0.25219406014368551</v>
      </c>
      <c r="R465" t="s">
        <v>510</v>
      </c>
      <c r="S465" s="11">
        <v>-0.84609035318214598</v>
      </c>
      <c r="T465" s="3">
        <v>0.51882396988385682</v>
      </c>
      <c r="U465" t="s">
        <v>536</v>
      </c>
    </row>
    <row r="466" spans="1:21" x14ac:dyDescent="0.25">
      <c r="A466" t="s">
        <v>515</v>
      </c>
      <c r="B466" s="11">
        <v>0.95595086808616825</v>
      </c>
      <c r="C466" s="3">
        <v>0.31548093049619752</v>
      </c>
      <c r="R466" t="s">
        <v>510</v>
      </c>
      <c r="S466" s="11">
        <v>-2.1814224288676329</v>
      </c>
      <c r="T466" s="3">
        <v>0.26488058793287189</v>
      </c>
      <c r="U466" t="s">
        <v>536</v>
      </c>
    </row>
    <row r="467" spans="1:21" x14ac:dyDescent="0.25">
      <c r="A467" t="s">
        <v>515</v>
      </c>
      <c r="B467" s="11">
        <v>1.957506674704691</v>
      </c>
      <c r="C467" s="3">
        <v>0.76150808817919846</v>
      </c>
      <c r="R467" t="s">
        <v>510</v>
      </c>
      <c r="S467" s="11">
        <v>-1.3905662846404701</v>
      </c>
      <c r="T467" s="3">
        <v>0.72306967803544064</v>
      </c>
      <c r="U467" t="s">
        <v>536</v>
      </c>
    </row>
    <row r="468" spans="1:21" x14ac:dyDescent="0.25">
      <c r="A468" t="s">
        <v>515</v>
      </c>
      <c r="B468" s="11">
        <v>-3.569380229196748</v>
      </c>
      <c r="C468" s="3">
        <v>0.20296775667489009</v>
      </c>
      <c r="R468" t="s">
        <v>510</v>
      </c>
      <c r="S468" s="11">
        <v>4.2867321612888798</v>
      </c>
      <c r="T468" s="3">
        <v>0.84362216814941771</v>
      </c>
      <c r="U468" t="s">
        <v>536</v>
      </c>
    </row>
    <row r="469" spans="1:21" x14ac:dyDescent="0.25">
      <c r="A469" t="s">
        <v>515</v>
      </c>
      <c r="B469" s="11">
        <v>-1.466259228665149</v>
      </c>
      <c r="C469" s="3">
        <v>0.20779136981902099</v>
      </c>
      <c r="R469" t="s">
        <v>510</v>
      </c>
      <c r="S469" s="11">
        <v>-1.7925614148491971</v>
      </c>
      <c r="T469" s="3">
        <v>0.756197264055957</v>
      </c>
      <c r="U469" t="s">
        <v>536</v>
      </c>
    </row>
    <row r="470" spans="1:21" x14ac:dyDescent="0.25">
      <c r="A470" t="s">
        <v>515</v>
      </c>
      <c r="B470" s="11">
        <v>1.7674540055336601</v>
      </c>
      <c r="C470" s="3">
        <v>0.35471954646808929</v>
      </c>
      <c r="R470" t="s">
        <v>510</v>
      </c>
      <c r="S470" s="11">
        <v>-0.95806926571439166</v>
      </c>
      <c r="T470" s="3">
        <v>0.59667636451878903</v>
      </c>
      <c r="U470" t="s">
        <v>536</v>
      </c>
    </row>
    <row r="471" spans="1:21" x14ac:dyDescent="0.25">
      <c r="A471" t="s">
        <v>515</v>
      </c>
      <c r="B471" s="11">
        <v>-1.2467727503342529</v>
      </c>
      <c r="C471" s="3">
        <v>0.40433955316321268</v>
      </c>
      <c r="R471" t="s">
        <v>510</v>
      </c>
      <c r="S471" s="11">
        <v>-0.92241106591437605</v>
      </c>
      <c r="T471" s="3">
        <v>0.93273414114997388</v>
      </c>
      <c r="U471" t="s">
        <v>536</v>
      </c>
    </row>
    <row r="472" spans="1:21" x14ac:dyDescent="0.25">
      <c r="A472" t="s">
        <v>515</v>
      </c>
      <c r="B472" s="11">
        <v>2.1465497631064498</v>
      </c>
      <c r="C472" s="3">
        <v>0.92948158652986834</v>
      </c>
      <c r="R472" t="s">
        <v>510</v>
      </c>
      <c r="S472" s="11">
        <v>-1.431110210410508</v>
      </c>
      <c r="T472" s="3">
        <v>0.1079884377822322</v>
      </c>
      <c r="U472" t="s">
        <v>536</v>
      </c>
    </row>
    <row r="473" spans="1:21" x14ac:dyDescent="0.25">
      <c r="A473" t="s">
        <v>515</v>
      </c>
      <c r="B473" s="11">
        <v>2.3418118111130179</v>
      </c>
      <c r="C473" s="3">
        <v>0.3885011523872004</v>
      </c>
      <c r="R473" t="s">
        <v>510</v>
      </c>
      <c r="S473" s="11">
        <v>-2.1252218283772981</v>
      </c>
      <c r="T473" s="3">
        <v>0.23641414744620209</v>
      </c>
      <c r="U473" t="s">
        <v>536</v>
      </c>
    </row>
    <row r="474" spans="1:21" x14ac:dyDescent="0.25">
      <c r="A474" t="s">
        <v>515</v>
      </c>
      <c r="B474" s="11">
        <v>0.92794735973057674</v>
      </c>
      <c r="C474" s="3">
        <v>0.35397557954965891</v>
      </c>
      <c r="R474" t="s">
        <v>510</v>
      </c>
      <c r="S474" s="11">
        <v>-1.9319494418404699</v>
      </c>
      <c r="T474" s="3">
        <v>0.63601653754895393</v>
      </c>
      <c r="U474" t="s">
        <v>536</v>
      </c>
    </row>
    <row r="475" spans="1:21" x14ac:dyDescent="0.25">
      <c r="A475" t="s">
        <v>515</v>
      </c>
      <c r="B475" s="11">
        <v>2.2984117854619841</v>
      </c>
      <c r="C475" s="3">
        <v>0.92366180927910158</v>
      </c>
      <c r="R475" t="s">
        <v>510</v>
      </c>
      <c r="S475" s="11">
        <v>-1.899903329892541</v>
      </c>
      <c r="T475" s="3">
        <v>0.32853801032222513</v>
      </c>
      <c r="U475" t="s">
        <v>536</v>
      </c>
    </row>
    <row r="476" spans="1:21" x14ac:dyDescent="0.25">
      <c r="A476" t="s">
        <v>515</v>
      </c>
      <c r="B476" s="11">
        <v>1.5738110794135181</v>
      </c>
      <c r="C476" s="3">
        <v>0.44835388907017598</v>
      </c>
      <c r="R476" t="s">
        <v>510</v>
      </c>
      <c r="S476" s="11">
        <v>-2.9583634717612179</v>
      </c>
      <c r="T476" s="3">
        <v>0.76946225597381357</v>
      </c>
      <c r="U476" t="s">
        <v>536</v>
      </c>
    </row>
    <row r="477" spans="1:21" x14ac:dyDescent="0.25">
      <c r="A477" t="s">
        <v>515</v>
      </c>
      <c r="B477" s="11">
        <v>-1.2091351932073</v>
      </c>
      <c r="C477" s="3">
        <v>0.1322829447055649</v>
      </c>
      <c r="R477" t="s">
        <v>510</v>
      </c>
      <c r="S477" s="11">
        <v>-1.791327799475132</v>
      </c>
      <c r="T477" s="3">
        <v>0.99142877280429653</v>
      </c>
      <c r="U477" t="s">
        <v>536</v>
      </c>
    </row>
    <row r="478" spans="1:21" x14ac:dyDescent="0.25">
      <c r="A478" t="s">
        <v>515</v>
      </c>
      <c r="B478" s="11">
        <v>3.3060535291409718</v>
      </c>
      <c r="C478" s="3">
        <v>0.60240763309890277</v>
      </c>
      <c r="R478" t="s">
        <v>510</v>
      </c>
      <c r="S478" s="11">
        <v>1.244060229565215</v>
      </c>
      <c r="T478" s="3">
        <v>0.57852574224514441</v>
      </c>
      <c r="U478" t="s">
        <v>536</v>
      </c>
    </row>
    <row r="479" spans="1:21" x14ac:dyDescent="0.25">
      <c r="A479" t="s">
        <v>515</v>
      </c>
      <c r="B479" s="11">
        <v>0.79754736305857676</v>
      </c>
      <c r="C479" s="3">
        <v>0.85070183091983609</v>
      </c>
      <c r="R479" t="s">
        <v>510</v>
      </c>
      <c r="S479" s="11">
        <v>-1.049491194013203</v>
      </c>
      <c r="T479" s="3">
        <v>0.96526539046505389</v>
      </c>
      <c r="U479" t="s">
        <v>536</v>
      </c>
    </row>
    <row r="480" spans="1:21" x14ac:dyDescent="0.25">
      <c r="A480" t="s">
        <v>515</v>
      </c>
      <c r="B480" s="11">
        <v>2.5158000051623879</v>
      </c>
      <c r="C480" s="3">
        <v>0.3924030271803659</v>
      </c>
      <c r="R480" t="s">
        <v>510</v>
      </c>
      <c r="S480" s="11">
        <v>-1.746466027597096</v>
      </c>
      <c r="T480" s="3">
        <v>0.17383620142765499</v>
      </c>
      <c r="U480" t="s">
        <v>536</v>
      </c>
    </row>
    <row r="481" spans="1:21" x14ac:dyDescent="0.25">
      <c r="A481" t="s">
        <v>515</v>
      </c>
      <c r="B481" s="11">
        <v>-1.3995799144225149</v>
      </c>
      <c r="C481" s="3">
        <v>0.22935240254124639</v>
      </c>
      <c r="R481" t="s">
        <v>510</v>
      </c>
      <c r="S481" s="11">
        <v>0.72750270892301927</v>
      </c>
      <c r="T481" s="3">
        <v>0.1850378219080894</v>
      </c>
      <c r="U481" t="s">
        <v>536</v>
      </c>
    </row>
    <row r="482" spans="1:21" x14ac:dyDescent="0.25">
      <c r="A482" t="s">
        <v>515</v>
      </c>
      <c r="B482" s="11">
        <v>1.400105364595452</v>
      </c>
      <c r="C482" s="3">
        <v>0.20949723418173821</v>
      </c>
      <c r="R482" t="s">
        <v>510</v>
      </c>
      <c r="S482" s="11">
        <v>-1.8411024182976721</v>
      </c>
      <c r="T482" s="3">
        <v>0.67582937002005616</v>
      </c>
      <c r="U482" t="s">
        <v>536</v>
      </c>
    </row>
    <row r="483" spans="1:21" x14ac:dyDescent="0.25">
      <c r="A483" t="s">
        <v>515</v>
      </c>
      <c r="B483" s="11">
        <v>1.191343592476984</v>
      </c>
      <c r="C483" s="3">
        <v>0.7506286660757433</v>
      </c>
      <c r="R483" t="s">
        <v>510</v>
      </c>
      <c r="S483" s="11">
        <v>-1.6883080517394231</v>
      </c>
      <c r="T483" s="3">
        <v>0.71871414594590854</v>
      </c>
      <c r="U483" t="s">
        <v>536</v>
      </c>
    </row>
    <row r="484" spans="1:21" x14ac:dyDescent="0.25">
      <c r="A484" t="s">
        <v>515</v>
      </c>
      <c r="B484" s="11">
        <v>5.3779634491501076</v>
      </c>
      <c r="C484" s="3">
        <v>0.98296832098831999</v>
      </c>
      <c r="R484" t="s">
        <v>510</v>
      </c>
      <c r="S484" s="11">
        <v>-2.399770964031402</v>
      </c>
      <c r="T484" s="3">
        <v>0.84972860740667733</v>
      </c>
      <c r="U484" t="s">
        <v>536</v>
      </c>
    </row>
    <row r="485" spans="1:21" x14ac:dyDescent="0.25">
      <c r="A485" t="s">
        <v>515</v>
      </c>
      <c r="B485" s="11">
        <v>1.2449408257617081</v>
      </c>
      <c r="C485" s="3">
        <v>0.20400464726331169</v>
      </c>
      <c r="R485" t="s">
        <v>515</v>
      </c>
      <c r="S485" s="11">
        <v>3.027895043816923</v>
      </c>
      <c r="T485" s="3">
        <v>0.99696668917794118</v>
      </c>
      <c r="U485" t="s">
        <v>537</v>
      </c>
    </row>
    <row r="486" spans="1:21" x14ac:dyDescent="0.25">
      <c r="A486" t="s">
        <v>515</v>
      </c>
      <c r="B486" s="11">
        <v>1.4801071066238149</v>
      </c>
      <c r="C486" s="3">
        <v>0.2364424124269455</v>
      </c>
      <c r="R486" t="s">
        <v>515</v>
      </c>
      <c r="S486" s="11">
        <v>-1.4279103745033179</v>
      </c>
      <c r="T486" s="3">
        <v>0.3056650509059145</v>
      </c>
      <c r="U486" t="s">
        <v>537</v>
      </c>
    </row>
    <row r="487" spans="1:21" x14ac:dyDescent="0.25">
      <c r="A487" t="s">
        <v>515</v>
      </c>
      <c r="B487" s="11">
        <v>3.7497859274602598</v>
      </c>
      <c r="C487" s="3">
        <v>0.42773429932738999</v>
      </c>
      <c r="R487" t="s">
        <v>515</v>
      </c>
      <c r="S487" s="11">
        <v>0.97612179714258906</v>
      </c>
      <c r="T487" s="3">
        <v>0.41318683633122649</v>
      </c>
      <c r="U487" t="s">
        <v>537</v>
      </c>
    </row>
    <row r="488" spans="1:21" x14ac:dyDescent="0.25">
      <c r="A488" t="s">
        <v>515</v>
      </c>
      <c r="B488" s="11">
        <v>0.65166039549449772</v>
      </c>
      <c r="C488" s="3">
        <v>0.61717013705295098</v>
      </c>
      <c r="R488" t="s">
        <v>515</v>
      </c>
      <c r="S488" s="11">
        <v>-1.3649401393591409</v>
      </c>
      <c r="T488" s="3">
        <v>0.38861666717650928</v>
      </c>
      <c r="U488" t="s">
        <v>537</v>
      </c>
    </row>
    <row r="489" spans="1:21" x14ac:dyDescent="0.25">
      <c r="A489" t="s">
        <v>515</v>
      </c>
      <c r="B489" s="11">
        <v>-1.1344672831837139</v>
      </c>
      <c r="C489" s="3">
        <v>0.26821316439900922</v>
      </c>
      <c r="R489" t="s">
        <v>515</v>
      </c>
      <c r="S489" s="11">
        <v>2.4067440019626538</v>
      </c>
      <c r="T489" s="3">
        <v>0.52528544664079668</v>
      </c>
      <c r="U489" t="s">
        <v>537</v>
      </c>
    </row>
    <row r="490" spans="1:21" x14ac:dyDescent="0.25">
      <c r="A490" t="s">
        <v>515</v>
      </c>
      <c r="B490" s="11">
        <v>1.655651700324279</v>
      </c>
      <c r="C490" s="3">
        <v>0.19513326784232321</v>
      </c>
      <c r="R490" t="s">
        <v>515</v>
      </c>
      <c r="S490" s="11">
        <v>-1.228084811350366</v>
      </c>
      <c r="T490" s="3">
        <v>0.45483383074542522</v>
      </c>
      <c r="U490" t="s">
        <v>537</v>
      </c>
    </row>
    <row r="491" spans="1:21" x14ac:dyDescent="0.25">
      <c r="A491" t="s">
        <v>515</v>
      </c>
      <c r="B491" s="11">
        <v>-2.157348934664773</v>
      </c>
      <c r="C491" s="3">
        <v>0.1000450754234999</v>
      </c>
      <c r="R491" t="s">
        <v>515</v>
      </c>
      <c r="S491" s="11">
        <v>-1.4048866553675461</v>
      </c>
      <c r="T491" s="3">
        <v>0.59529622921894798</v>
      </c>
      <c r="U491" t="s">
        <v>537</v>
      </c>
    </row>
    <row r="492" spans="1:21" x14ac:dyDescent="0.25">
      <c r="A492" t="s">
        <v>515</v>
      </c>
      <c r="B492" s="11">
        <v>2.3128227093848399</v>
      </c>
      <c r="C492" s="3">
        <v>0.68576777898227115</v>
      </c>
      <c r="R492" t="s">
        <v>515</v>
      </c>
      <c r="S492" s="11">
        <v>1.541442802781857</v>
      </c>
      <c r="T492" s="3">
        <v>0.1899297237265645</v>
      </c>
      <c r="U492" t="s">
        <v>537</v>
      </c>
    </row>
    <row r="493" spans="1:21" x14ac:dyDescent="0.25">
      <c r="A493" t="s">
        <v>515</v>
      </c>
      <c r="B493" s="11">
        <v>-3.6114253000889369</v>
      </c>
      <c r="C493" s="3">
        <v>0.1638220643998623</v>
      </c>
      <c r="R493" t="s">
        <v>515</v>
      </c>
      <c r="S493" s="11">
        <v>-1.70524204254713</v>
      </c>
      <c r="T493" s="3">
        <v>0.71053418806234436</v>
      </c>
      <c r="U493" t="s">
        <v>537</v>
      </c>
    </row>
    <row r="494" spans="1:21" x14ac:dyDescent="0.25">
      <c r="A494" t="s">
        <v>515</v>
      </c>
      <c r="B494" s="11">
        <v>1.2670722198883531</v>
      </c>
      <c r="C494" s="3">
        <v>0.86655857869174824</v>
      </c>
      <c r="R494" t="s">
        <v>515</v>
      </c>
      <c r="S494" s="11">
        <v>2.111281252782597</v>
      </c>
      <c r="T494" s="3">
        <v>0.7960755495187013</v>
      </c>
      <c r="U494" t="s">
        <v>537</v>
      </c>
    </row>
    <row r="495" spans="1:21" x14ac:dyDescent="0.25">
      <c r="A495" t="s">
        <v>515</v>
      </c>
      <c r="B495" s="11">
        <v>1.3429726275456839</v>
      </c>
      <c r="C495" s="3">
        <v>0.80244896685013978</v>
      </c>
      <c r="R495" t="s">
        <v>515</v>
      </c>
      <c r="S495" s="11">
        <v>-3.601884332604151</v>
      </c>
      <c r="T495" s="3">
        <v>0.21869162198824671</v>
      </c>
      <c r="U495" t="s">
        <v>537</v>
      </c>
    </row>
    <row r="496" spans="1:21" x14ac:dyDescent="0.25">
      <c r="A496" t="s">
        <v>515</v>
      </c>
      <c r="B496" s="11">
        <v>-1.0394991208626549</v>
      </c>
      <c r="C496" s="3">
        <v>0.1089686379392189</v>
      </c>
      <c r="R496" t="s">
        <v>515</v>
      </c>
      <c r="S496" s="11">
        <v>0.90521508836895459</v>
      </c>
      <c r="T496" s="3">
        <v>0.25219406014368551</v>
      </c>
      <c r="U496" t="s">
        <v>537</v>
      </c>
    </row>
    <row r="497" spans="1:21" x14ac:dyDescent="0.25">
      <c r="A497" t="s">
        <v>515</v>
      </c>
      <c r="B497" s="11">
        <v>3.5200304194460852</v>
      </c>
      <c r="C497" s="3">
        <v>0.93008937672037084</v>
      </c>
      <c r="R497" t="s">
        <v>515</v>
      </c>
      <c r="S497" s="11">
        <v>0.95595086808616825</v>
      </c>
      <c r="T497" s="3">
        <v>0.31548093049619752</v>
      </c>
      <c r="U497" t="s">
        <v>537</v>
      </c>
    </row>
    <row r="498" spans="1:21" x14ac:dyDescent="0.25">
      <c r="A498" t="s">
        <v>515</v>
      </c>
      <c r="B498" s="11">
        <v>1.321370033003173</v>
      </c>
      <c r="C498" s="3">
        <v>0.51882396988385682</v>
      </c>
      <c r="R498" t="s">
        <v>515</v>
      </c>
      <c r="S498" s="11">
        <v>1.957506674704691</v>
      </c>
      <c r="T498" s="3">
        <v>0.76150808817919846</v>
      </c>
      <c r="U498" t="s">
        <v>537</v>
      </c>
    </row>
    <row r="499" spans="1:21" x14ac:dyDescent="0.25">
      <c r="A499" t="s">
        <v>515</v>
      </c>
      <c r="B499" s="11">
        <v>4.2131709565250031</v>
      </c>
      <c r="C499" s="3">
        <v>0.72306967803544064</v>
      </c>
      <c r="R499" t="s">
        <v>515</v>
      </c>
      <c r="S499" s="11">
        <v>-3.569380229196748</v>
      </c>
      <c r="T499" s="3">
        <v>0.20296775667489009</v>
      </c>
      <c r="U499" t="s">
        <v>537</v>
      </c>
    </row>
    <row r="500" spans="1:21" x14ac:dyDescent="0.25">
      <c r="A500" t="s">
        <v>515</v>
      </c>
      <c r="B500" s="11">
        <v>1.500985602958101</v>
      </c>
      <c r="C500" s="3">
        <v>0.59667636451878903</v>
      </c>
      <c r="R500" t="s">
        <v>515</v>
      </c>
      <c r="S500" s="11">
        <v>-1.466259228665149</v>
      </c>
      <c r="T500" s="3">
        <v>0.20779136981902099</v>
      </c>
      <c r="U500" t="s">
        <v>537</v>
      </c>
    </row>
    <row r="501" spans="1:21" x14ac:dyDescent="0.25">
      <c r="A501" t="s">
        <v>515</v>
      </c>
      <c r="B501" s="11">
        <v>1.2737032781306989</v>
      </c>
      <c r="C501" s="3">
        <v>0.22522084232072309</v>
      </c>
      <c r="R501" t="s">
        <v>515</v>
      </c>
      <c r="S501" s="11">
        <v>1.7674540055336601</v>
      </c>
      <c r="T501" s="3">
        <v>0.35471954646808929</v>
      </c>
      <c r="U501" t="s">
        <v>537</v>
      </c>
    </row>
    <row r="502" spans="1:21" x14ac:dyDescent="0.25">
      <c r="A502" t="s">
        <v>515</v>
      </c>
      <c r="B502" s="11">
        <v>3.2209295792421262</v>
      </c>
      <c r="C502" s="3">
        <v>0.99475080767461654</v>
      </c>
      <c r="R502" t="s">
        <v>515</v>
      </c>
      <c r="S502" s="11">
        <v>-1.2467727503342529</v>
      </c>
      <c r="T502" s="3">
        <v>0.40433955316321268</v>
      </c>
      <c r="U502" t="s">
        <v>537</v>
      </c>
    </row>
    <row r="503" spans="1:21" x14ac:dyDescent="0.25">
      <c r="A503" t="s">
        <v>515</v>
      </c>
      <c r="B503" s="11">
        <v>1.011493611075871</v>
      </c>
      <c r="C503" s="3">
        <v>0.32853801032222513</v>
      </c>
      <c r="R503" t="s">
        <v>515</v>
      </c>
      <c r="S503" s="11">
        <v>2.1465497631064498</v>
      </c>
      <c r="T503" s="3">
        <v>0.92948158652986834</v>
      </c>
      <c r="U503" t="s">
        <v>537</v>
      </c>
    </row>
    <row r="504" spans="1:21" x14ac:dyDescent="0.25">
      <c r="A504" t="s">
        <v>515</v>
      </c>
      <c r="B504" s="11">
        <v>2.173506726738748</v>
      </c>
      <c r="C504" s="3">
        <v>0.96724011899471685</v>
      </c>
      <c r="R504" t="s">
        <v>515</v>
      </c>
      <c r="S504" s="11">
        <v>2.3418118111130179</v>
      </c>
      <c r="T504" s="3">
        <v>0.3885011523872004</v>
      </c>
      <c r="U504" t="s">
        <v>537</v>
      </c>
    </row>
    <row r="505" spans="1:21" x14ac:dyDescent="0.25">
      <c r="A505" t="s">
        <v>515</v>
      </c>
      <c r="B505" s="11">
        <v>-2.5629953364310758</v>
      </c>
      <c r="C505" s="3">
        <v>0.76946225597381357</v>
      </c>
      <c r="R505" t="s">
        <v>515</v>
      </c>
      <c r="S505" s="11">
        <v>0.92794735973057674</v>
      </c>
      <c r="T505" s="3">
        <v>0.35397557954965891</v>
      </c>
      <c r="U505" t="s">
        <v>537</v>
      </c>
    </row>
    <row r="506" spans="1:21" x14ac:dyDescent="0.25">
      <c r="A506" t="s">
        <v>515</v>
      </c>
      <c r="B506" s="11">
        <v>7.3893931669528206</v>
      </c>
      <c r="C506" s="3">
        <v>0.99142877280429653</v>
      </c>
      <c r="R506" t="s">
        <v>515</v>
      </c>
      <c r="S506" s="11">
        <v>2.2984117854619841</v>
      </c>
      <c r="T506" s="3">
        <v>0.92366180927910158</v>
      </c>
      <c r="U506" t="s">
        <v>537</v>
      </c>
    </row>
    <row r="507" spans="1:21" x14ac:dyDescent="0.25">
      <c r="A507" t="s">
        <v>515</v>
      </c>
      <c r="B507" s="11">
        <v>2.0644200499947809</v>
      </c>
      <c r="C507" s="3">
        <v>0.57852574224514441</v>
      </c>
      <c r="R507" t="s">
        <v>515</v>
      </c>
      <c r="S507" s="11">
        <v>1.5738110794135181</v>
      </c>
      <c r="T507" s="3">
        <v>0.44835388907017598</v>
      </c>
      <c r="U507" t="s">
        <v>537</v>
      </c>
    </row>
    <row r="508" spans="1:21" x14ac:dyDescent="0.25">
      <c r="A508" t="s">
        <v>515</v>
      </c>
      <c r="B508" s="11">
        <v>-1.761794199652803</v>
      </c>
      <c r="C508" s="3">
        <v>0.59400519878475677</v>
      </c>
      <c r="R508" t="s">
        <v>515</v>
      </c>
      <c r="S508" s="11">
        <v>-1.2091351932073</v>
      </c>
      <c r="T508" s="3">
        <v>0.1322829447055649</v>
      </c>
      <c r="U508" t="s">
        <v>537</v>
      </c>
    </row>
    <row r="509" spans="1:21" x14ac:dyDescent="0.25">
      <c r="A509" t="s">
        <v>515</v>
      </c>
      <c r="B509" s="11">
        <v>4.5361586050482199</v>
      </c>
      <c r="C509" s="3">
        <v>0.96526539046505389</v>
      </c>
      <c r="R509" t="s">
        <v>515</v>
      </c>
      <c r="S509" s="11">
        <v>3.3060535291409718</v>
      </c>
      <c r="T509" s="3">
        <v>0.60240763309890277</v>
      </c>
      <c r="U509" t="s">
        <v>537</v>
      </c>
    </row>
    <row r="510" spans="1:21" x14ac:dyDescent="0.25">
      <c r="A510" t="s">
        <v>515</v>
      </c>
      <c r="B510" s="11">
        <v>2.3335692514935902</v>
      </c>
      <c r="C510" s="3">
        <v>0.99035256236056901</v>
      </c>
      <c r="R510" t="s">
        <v>515</v>
      </c>
      <c r="S510" s="11">
        <v>0.79754736305857676</v>
      </c>
      <c r="T510" s="3">
        <v>0.85070183091983609</v>
      </c>
      <c r="U510" t="s">
        <v>537</v>
      </c>
    </row>
    <row r="511" spans="1:21" x14ac:dyDescent="0.25">
      <c r="A511" t="s">
        <v>515</v>
      </c>
      <c r="B511" s="11">
        <v>-3.6412835687649689</v>
      </c>
      <c r="C511" s="3">
        <v>0.181922126752776</v>
      </c>
      <c r="R511" t="s">
        <v>515</v>
      </c>
      <c r="S511" s="11">
        <v>2.5158000051623879</v>
      </c>
      <c r="T511" s="3">
        <v>0.3924030271803659</v>
      </c>
      <c r="U511" t="s">
        <v>537</v>
      </c>
    </row>
    <row r="512" spans="1:21" x14ac:dyDescent="0.25">
      <c r="A512" t="s">
        <v>515</v>
      </c>
      <c r="B512" s="11">
        <v>1.4949518308740919</v>
      </c>
      <c r="C512" s="3">
        <v>0.96690021995709474</v>
      </c>
      <c r="R512" t="s">
        <v>515</v>
      </c>
      <c r="S512" s="11">
        <v>-1.3995799144225149</v>
      </c>
      <c r="T512" s="3">
        <v>0.22935240254124639</v>
      </c>
      <c r="U512" t="s">
        <v>537</v>
      </c>
    </row>
    <row r="513" spans="1:21" x14ac:dyDescent="0.25">
      <c r="A513" t="s">
        <v>515</v>
      </c>
      <c r="B513" s="11">
        <v>-2.1223877766152839</v>
      </c>
      <c r="C513" s="3">
        <v>0.17383620142765499</v>
      </c>
      <c r="R513" t="s">
        <v>515</v>
      </c>
      <c r="S513" s="11">
        <v>1.400105364595452</v>
      </c>
      <c r="T513" s="3">
        <v>0.20949723418173821</v>
      </c>
      <c r="U513" t="s">
        <v>537</v>
      </c>
    </row>
    <row r="514" spans="1:21" x14ac:dyDescent="0.25">
      <c r="A514" t="s">
        <v>515</v>
      </c>
      <c r="B514" s="11">
        <v>-0.98055729718203322</v>
      </c>
      <c r="C514" s="3">
        <v>0.1850378219080894</v>
      </c>
      <c r="R514" t="s">
        <v>515</v>
      </c>
      <c r="S514" s="11">
        <v>1.191343592476984</v>
      </c>
      <c r="T514" s="3">
        <v>0.7506286660757433</v>
      </c>
      <c r="U514" t="s">
        <v>537</v>
      </c>
    </row>
    <row r="515" spans="1:21" x14ac:dyDescent="0.25">
      <c r="A515" t="s">
        <v>515</v>
      </c>
      <c r="B515" s="11">
        <v>-0.72911203510825306</v>
      </c>
      <c r="C515" s="3">
        <v>0.84972860740667733</v>
      </c>
      <c r="R515" t="s">
        <v>515</v>
      </c>
      <c r="S515" s="11">
        <v>5.3779634491501076</v>
      </c>
      <c r="T515" s="3">
        <v>0.98296832098831999</v>
      </c>
      <c r="U515" t="s">
        <v>537</v>
      </c>
    </row>
    <row r="516" spans="1:21" x14ac:dyDescent="0.25">
      <c r="A516" t="s">
        <v>515</v>
      </c>
      <c r="B516" s="11">
        <v>0.96009794132486714</v>
      </c>
      <c r="C516" s="3">
        <v>0.92867123352724268</v>
      </c>
      <c r="R516" t="s">
        <v>515</v>
      </c>
      <c r="S516" s="11">
        <v>1.2449408257617081</v>
      </c>
      <c r="T516" s="3">
        <v>0.20400464726331169</v>
      </c>
      <c r="U516" t="s">
        <v>537</v>
      </c>
    </row>
    <row r="517" spans="1:21" x14ac:dyDescent="0.25">
      <c r="A517" t="s">
        <v>516</v>
      </c>
      <c r="B517" s="11">
        <v>3.5885753933825688</v>
      </c>
      <c r="C517" s="3">
        <v>0.99696668917794118</v>
      </c>
      <c r="R517" t="s">
        <v>515</v>
      </c>
      <c r="S517" s="11">
        <v>1.4801071066238149</v>
      </c>
      <c r="T517" s="3">
        <v>0.2364424124269455</v>
      </c>
      <c r="U517" t="s">
        <v>537</v>
      </c>
    </row>
    <row r="518" spans="1:21" x14ac:dyDescent="0.25">
      <c r="A518" t="s">
        <v>516</v>
      </c>
      <c r="B518" s="11">
        <v>-2.35420734255933</v>
      </c>
      <c r="C518" s="3">
        <v>0.22870846034528461</v>
      </c>
      <c r="R518" t="s">
        <v>515</v>
      </c>
      <c r="S518" s="11">
        <v>3.7497859274602598</v>
      </c>
      <c r="T518" s="3">
        <v>0.42773429932738999</v>
      </c>
      <c r="U518" t="s">
        <v>537</v>
      </c>
    </row>
    <row r="519" spans="1:21" x14ac:dyDescent="0.25">
      <c r="A519" t="s">
        <v>516</v>
      </c>
      <c r="B519" s="11">
        <v>-2.5946221247782688</v>
      </c>
      <c r="C519" s="3">
        <v>0.17826894991460529</v>
      </c>
      <c r="R519" t="s">
        <v>515</v>
      </c>
      <c r="S519" s="11">
        <v>0.65166039549449772</v>
      </c>
      <c r="T519" s="3">
        <v>0.61717013705295098</v>
      </c>
      <c r="U519" t="s">
        <v>537</v>
      </c>
    </row>
    <row r="520" spans="1:21" x14ac:dyDescent="0.25">
      <c r="A520" t="s">
        <v>516</v>
      </c>
      <c r="B520" s="11">
        <v>1.1384375600764041</v>
      </c>
      <c r="C520" s="3">
        <v>0.54644476446835677</v>
      </c>
      <c r="R520" t="s">
        <v>515</v>
      </c>
      <c r="S520" s="11">
        <v>-1.1344672831837139</v>
      </c>
      <c r="T520" s="3">
        <v>0.26821316439900922</v>
      </c>
      <c r="U520" t="s">
        <v>537</v>
      </c>
    </row>
    <row r="521" spans="1:21" x14ac:dyDescent="0.25">
      <c r="A521" t="s">
        <v>516</v>
      </c>
      <c r="B521" s="11">
        <v>-2.0450744340448379</v>
      </c>
      <c r="C521" s="3">
        <v>0.45541967084629342</v>
      </c>
      <c r="R521" t="s">
        <v>515</v>
      </c>
      <c r="S521" s="11">
        <v>1.655651700324279</v>
      </c>
      <c r="T521" s="3">
        <v>0.19513326784232321</v>
      </c>
      <c r="U521" t="s">
        <v>537</v>
      </c>
    </row>
    <row r="522" spans="1:21" x14ac:dyDescent="0.25">
      <c r="A522" t="s">
        <v>516</v>
      </c>
      <c r="B522" s="11">
        <v>-2.4999934196170162</v>
      </c>
      <c r="C522" s="3">
        <v>0.49507328748030371</v>
      </c>
      <c r="R522" t="s">
        <v>515</v>
      </c>
      <c r="S522" s="11">
        <v>-2.157348934664773</v>
      </c>
      <c r="T522" s="3">
        <v>0.1000450754234999</v>
      </c>
      <c r="U522" t="s">
        <v>537</v>
      </c>
    </row>
    <row r="523" spans="1:21" x14ac:dyDescent="0.25">
      <c r="A523" t="s">
        <v>516</v>
      </c>
      <c r="B523" s="11">
        <v>2.5207870672035368</v>
      </c>
      <c r="C523" s="3">
        <v>0.52528544664079668</v>
      </c>
      <c r="R523" t="s">
        <v>515</v>
      </c>
      <c r="S523" s="11">
        <v>2.3128227093848399</v>
      </c>
      <c r="T523" s="3">
        <v>0.68576777898227115</v>
      </c>
      <c r="U523" t="s">
        <v>537</v>
      </c>
    </row>
    <row r="524" spans="1:21" x14ac:dyDescent="0.25">
      <c r="A524" t="s">
        <v>516</v>
      </c>
      <c r="B524" s="11">
        <v>-2.372677319630569</v>
      </c>
      <c r="C524" s="3">
        <v>0.13939834915146149</v>
      </c>
      <c r="R524" t="s">
        <v>515</v>
      </c>
      <c r="S524" s="11">
        <v>-3.6114253000889369</v>
      </c>
      <c r="T524" s="3">
        <v>0.1638220643998623</v>
      </c>
      <c r="U524" t="s">
        <v>537</v>
      </c>
    </row>
    <row r="525" spans="1:21" x14ac:dyDescent="0.25">
      <c r="A525" t="s">
        <v>516</v>
      </c>
      <c r="B525" s="11">
        <v>0.80512602415322365</v>
      </c>
      <c r="C525" s="3">
        <v>0.24638540345356849</v>
      </c>
      <c r="R525" t="s">
        <v>515</v>
      </c>
      <c r="S525" s="11">
        <v>1.2670722198883531</v>
      </c>
      <c r="T525" s="3">
        <v>0.86655857869174824</v>
      </c>
      <c r="U525" t="s">
        <v>537</v>
      </c>
    </row>
    <row r="526" spans="1:21" x14ac:dyDescent="0.25">
      <c r="A526" t="s">
        <v>516</v>
      </c>
      <c r="B526" s="11">
        <v>-2.658774561154289</v>
      </c>
      <c r="C526" s="3">
        <v>0.56996931103138504</v>
      </c>
      <c r="R526" t="s">
        <v>515</v>
      </c>
      <c r="S526" s="11">
        <v>1.3429726275456839</v>
      </c>
      <c r="T526" s="3">
        <v>0.80244896685013978</v>
      </c>
      <c r="U526" t="s">
        <v>537</v>
      </c>
    </row>
    <row r="527" spans="1:21" x14ac:dyDescent="0.25">
      <c r="A527" t="s">
        <v>516</v>
      </c>
      <c r="B527" s="11">
        <v>-5.510845123921702</v>
      </c>
      <c r="C527" s="3">
        <v>0.93425399770073236</v>
      </c>
      <c r="R527" t="s">
        <v>515</v>
      </c>
      <c r="S527" s="11">
        <v>-1.0394991208626549</v>
      </c>
      <c r="T527" s="3">
        <v>0.1089686379392189</v>
      </c>
      <c r="U527" t="s">
        <v>537</v>
      </c>
    </row>
    <row r="528" spans="1:21" x14ac:dyDescent="0.25">
      <c r="A528" t="s">
        <v>516</v>
      </c>
      <c r="B528" s="11">
        <v>2.771611635050065</v>
      </c>
      <c r="C528" s="3">
        <v>0.7960755495187013</v>
      </c>
      <c r="R528" t="s">
        <v>515</v>
      </c>
      <c r="S528" s="11">
        <v>3.5200304194460852</v>
      </c>
      <c r="T528" s="3">
        <v>0.93008937672037084</v>
      </c>
      <c r="U528" t="s">
        <v>537</v>
      </c>
    </row>
    <row r="529" spans="1:21" x14ac:dyDescent="0.25">
      <c r="A529" t="s">
        <v>516</v>
      </c>
      <c r="B529" s="11">
        <v>-1.873183257526883</v>
      </c>
      <c r="C529" s="3">
        <v>0.25494149402139399</v>
      </c>
      <c r="R529" t="s">
        <v>515</v>
      </c>
      <c r="S529" s="11">
        <v>1.321370033003173</v>
      </c>
      <c r="T529" s="3">
        <v>0.51882396988385682</v>
      </c>
      <c r="U529" t="s">
        <v>537</v>
      </c>
    </row>
    <row r="530" spans="1:21" x14ac:dyDescent="0.25">
      <c r="A530" t="s">
        <v>516</v>
      </c>
      <c r="B530" s="11">
        <v>-3.2551188328708118</v>
      </c>
      <c r="C530" s="3">
        <v>0.46643423991917787</v>
      </c>
      <c r="R530" t="s">
        <v>515</v>
      </c>
      <c r="S530" s="11">
        <v>4.2131709565250031</v>
      </c>
      <c r="T530" s="3">
        <v>0.72306967803544064</v>
      </c>
      <c r="U530" t="s">
        <v>537</v>
      </c>
    </row>
    <row r="531" spans="1:21" x14ac:dyDescent="0.25">
      <c r="A531" t="s">
        <v>516</v>
      </c>
      <c r="B531" s="11">
        <v>-2.2086709541321712</v>
      </c>
      <c r="C531" s="3">
        <v>0.21869162198824671</v>
      </c>
      <c r="R531" t="s">
        <v>515</v>
      </c>
      <c r="S531" s="11">
        <v>1.500985602958101</v>
      </c>
      <c r="T531" s="3">
        <v>0.59667636451878903</v>
      </c>
      <c r="U531" t="s">
        <v>537</v>
      </c>
    </row>
    <row r="532" spans="1:21" x14ac:dyDescent="0.25">
      <c r="A532" t="s">
        <v>516</v>
      </c>
      <c r="B532" s="11">
        <v>-1.644301265285673</v>
      </c>
      <c r="C532" s="3">
        <v>0.79241537964468156</v>
      </c>
      <c r="R532" t="s">
        <v>515</v>
      </c>
      <c r="S532" s="11">
        <v>1.2737032781306989</v>
      </c>
      <c r="T532" s="3">
        <v>0.22522084232072309</v>
      </c>
      <c r="U532" t="s">
        <v>537</v>
      </c>
    </row>
    <row r="533" spans="1:21" x14ac:dyDescent="0.25">
      <c r="A533" t="s">
        <v>516</v>
      </c>
      <c r="B533" s="11">
        <v>-1.0601096578564271</v>
      </c>
      <c r="C533" s="3">
        <v>0.21844847365283029</v>
      </c>
      <c r="R533" t="s">
        <v>515</v>
      </c>
      <c r="S533" s="11">
        <v>3.2209295792421262</v>
      </c>
      <c r="T533" s="3">
        <v>0.99475080767461654</v>
      </c>
      <c r="U533" t="s">
        <v>537</v>
      </c>
    </row>
    <row r="534" spans="1:21" x14ac:dyDescent="0.25">
      <c r="A534" t="s">
        <v>516</v>
      </c>
      <c r="B534" s="11">
        <v>-2.1955847564244468</v>
      </c>
      <c r="C534" s="3">
        <v>0.1304210889068497</v>
      </c>
      <c r="R534" t="s">
        <v>515</v>
      </c>
      <c r="S534" s="11">
        <v>1.011493611075871</v>
      </c>
      <c r="T534" s="3">
        <v>0.32853801032222513</v>
      </c>
      <c r="U534" t="s">
        <v>537</v>
      </c>
    </row>
    <row r="535" spans="1:21" x14ac:dyDescent="0.25">
      <c r="A535" t="s">
        <v>516</v>
      </c>
      <c r="B535" s="11">
        <v>-1.650710180813753</v>
      </c>
      <c r="C535" s="3">
        <v>0.24155574839601629</v>
      </c>
      <c r="R535" t="s">
        <v>515</v>
      </c>
      <c r="S535" s="11">
        <v>2.173506726738748</v>
      </c>
      <c r="T535" s="3">
        <v>0.96724011899471685</v>
      </c>
      <c r="U535" t="s">
        <v>537</v>
      </c>
    </row>
    <row r="536" spans="1:21" x14ac:dyDescent="0.25">
      <c r="A536" t="s">
        <v>516</v>
      </c>
      <c r="B536" s="11">
        <v>-2.0100822810442902</v>
      </c>
      <c r="C536" s="3">
        <v>0.1158538748540241</v>
      </c>
      <c r="R536" t="s">
        <v>515</v>
      </c>
      <c r="S536" s="11">
        <v>-2.5629953364310758</v>
      </c>
      <c r="T536" s="3">
        <v>0.76946225597381357</v>
      </c>
      <c r="U536" t="s">
        <v>537</v>
      </c>
    </row>
    <row r="537" spans="1:21" x14ac:dyDescent="0.25">
      <c r="A537" t="s">
        <v>516</v>
      </c>
      <c r="B537" s="11">
        <v>1.118769237513398</v>
      </c>
      <c r="C537" s="3">
        <v>0.30349608001371869</v>
      </c>
      <c r="R537" t="s">
        <v>515</v>
      </c>
      <c r="S537" s="11">
        <v>7.3893931669528206</v>
      </c>
      <c r="T537" s="3">
        <v>0.99142877280429653</v>
      </c>
      <c r="U537" t="s">
        <v>537</v>
      </c>
    </row>
    <row r="538" spans="1:21" x14ac:dyDescent="0.25">
      <c r="A538" t="s">
        <v>516</v>
      </c>
      <c r="B538" s="11">
        <v>2.8273040203171722</v>
      </c>
      <c r="C538" s="3">
        <v>0.76150808817919846</v>
      </c>
      <c r="R538" t="s">
        <v>515</v>
      </c>
      <c r="S538" s="11">
        <v>2.0644200499947809</v>
      </c>
      <c r="T538" s="3">
        <v>0.57852574224514441</v>
      </c>
      <c r="U538" t="s">
        <v>537</v>
      </c>
    </row>
    <row r="539" spans="1:21" x14ac:dyDescent="0.25">
      <c r="A539" t="s">
        <v>516</v>
      </c>
      <c r="B539" s="11">
        <v>-2.1791662750212581</v>
      </c>
      <c r="C539" s="3">
        <v>0.20296775667489009</v>
      </c>
      <c r="R539" t="s">
        <v>515</v>
      </c>
      <c r="S539" s="11">
        <v>-1.761794199652803</v>
      </c>
      <c r="T539" s="3">
        <v>0.59400519878475677</v>
      </c>
      <c r="U539" t="s">
        <v>537</v>
      </c>
    </row>
    <row r="540" spans="1:21" x14ac:dyDescent="0.25">
      <c r="A540" t="s">
        <v>516</v>
      </c>
      <c r="B540" s="11">
        <v>3.0413249359702381</v>
      </c>
      <c r="C540" s="3">
        <v>0.35471954646808929</v>
      </c>
      <c r="R540" t="s">
        <v>515</v>
      </c>
      <c r="S540" s="11">
        <v>4.5361586050482199</v>
      </c>
      <c r="T540" s="3">
        <v>0.96526539046505389</v>
      </c>
      <c r="U540" t="s">
        <v>537</v>
      </c>
    </row>
    <row r="541" spans="1:21" x14ac:dyDescent="0.25">
      <c r="A541" t="s">
        <v>516</v>
      </c>
      <c r="B541" s="11">
        <v>2.1027194739648771</v>
      </c>
      <c r="C541" s="3">
        <v>0.92948158652986834</v>
      </c>
      <c r="R541" t="s">
        <v>515</v>
      </c>
      <c r="S541" s="11">
        <v>2.3335692514935902</v>
      </c>
      <c r="T541" s="3">
        <v>0.99035256236056901</v>
      </c>
      <c r="U541" t="s">
        <v>537</v>
      </c>
    </row>
    <row r="542" spans="1:21" x14ac:dyDescent="0.25">
      <c r="A542" t="s">
        <v>516</v>
      </c>
      <c r="B542" s="11">
        <v>2.5893478890830091</v>
      </c>
      <c r="C542" s="3">
        <v>0.3885011523872004</v>
      </c>
      <c r="R542" t="s">
        <v>515</v>
      </c>
      <c r="S542" s="11">
        <v>-3.6412835687649689</v>
      </c>
      <c r="T542" s="3">
        <v>0.181922126752776</v>
      </c>
      <c r="U542" t="s">
        <v>537</v>
      </c>
    </row>
    <row r="543" spans="1:21" x14ac:dyDescent="0.25">
      <c r="A543" t="s">
        <v>516</v>
      </c>
      <c r="B543" s="11">
        <v>-4.5626886846769423</v>
      </c>
      <c r="C543" s="3">
        <v>0.70283952218119539</v>
      </c>
      <c r="R543" t="s">
        <v>515</v>
      </c>
      <c r="S543" s="11">
        <v>1.4949518308740919</v>
      </c>
      <c r="T543" s="3">
        <v>0.96690021995709474</v>
      </c>
      <c r="U543" t="s">
        <v>537</v>
      </c>
    </row>
    <row r="544" spans="1:21" x14ac:dyDescent="0.25">
      <c r="A544" t="s">
        <v>516</v>
      </c>
      <c r="B544" s="11">
        <v>-2.2191618855721842</v>
      </c>
      <c r="C544" s="3">
        <v>0.1705724192823794</v>
      </c>
      <c r="R544" t="s">
        <v>515</v>
      </c>
      <c r="S544" s="11">
        <v>-2.1223877766152839</v>
      </c>
      <c r="T544" s="3">
        <v>0.17383620142765499</v>
      </c>
      <c r="U544" t="s">
        <v>537</v>
      </c>
    </row>
    <row r="545" spans="1:21" x14ac:dyDescent="0.25">
      <c r="A545" t="s">
        <v>516</v>
      </c>
      <c r="B545" s="11">
        <v>-3.5637210517804299</v>
      </c>
      <c r="C545" s="3">
        <v>0.67250802584224512</v>
      </c>
      <c r="R545" t="s">
        <v>515</v>
      </c>
      <c r="S545" s="11">
        <v>-0.98055729718203322</v>
      </c>
      <c r="T545" s="3">
        <v>0.1850378219080894</v>
      </c>
      <c r="U545" t="s">
        <v>537</v>
      </c>
    </row>
    <row r="546" spans="1:21" x14ac:dyDescent="0.25">
      <c r="A546" t="s">
        <v>516</v>
      </c>
      <c r="B546" s="11">
        <v>1.971062601610565</v>
      </c>
      <c r="C546" s="3">
        <v>0.92366180927910158</v>
      </c>
      <c r="R546" t="s">
        <v>515</v>
      </c>
      <c r="S546" s="11">
        <v>-0.72911203510825306</v>
      </c>
      <c r="T546" s="3">
        <v>0.84972860740667733</v>
      </c>
      <c r="U546" t="s">
        <v>537</v>
      </c>
    </row>
    <row r="547" spans="1:21" x14ac:dyDescent="0.25">
      <c r="A547" t="s">
        <v>516</v>
      </c>
      <c r="B547" s="11">
        <v>2.2181882511610622</v>
      </c>
      <c r="C547" s="3">
        <v>0.44835388907017598</v>
      </c>
      <c r="R547" t="s">
        <v>515</v>
      </c>
      <c r="S547" s="11">
        <v>0.96009794132486714</v>
      </c>
      <c r="T547" s="3">
        <v>0.92867123352724268</v>
      </c>
      <c r="U547" t="s">
        <v>537</v>
      </c>
    </row>
    <row r="548" spans="1:21" x14ac:dyDescent="0.25">
      <c r="A548" t="s">
        <v>516</v>
      </c>
      <c r="B548" s="11">
        <v>1.591873501980986</v>
      </c>
      <c r="C548" s="3">
        <v>0.41291969695462732</v>
      </c>
      <c r="R548" t="s">
        <v>520</v>
      </c>
      <c r="S548" s="11">
        <v>2.2208090005790879</v>
      </c>
      <c r="T548" s="3">
        <v>0.3056650509059145</v>
      </c>
      <c r="U548" t="s">
        <v>538</v>
      </c>
    </row>
    <row r="549" spans="1:21" x14ac:dyDescent="0.25">
      <c r="A549" t="s">
        <v>516</v>
      </c>
      <c r="B549" s="11">
        <v>-3.30523354964566</v>
      </c>
      <c r="C549" s="3">
        <v>0.1322829447055649</v>
      </c>
      <c r="R549" t="s">
        <v>520</v>
      </c>
      <c r="S549" s="11">
        <v>1.0804123012190749</v>
      </c>
      <c r="T549" s="3">
        <v>0.1184825353029758</v>
      </c>
      <c r="U549" t="s">
        <v>538</v>
      </c>
    </row>
    <row r="550" spans="1:21" x14ac:dyDescent="0.25">
      <c r="A550" t="s">
        <v>516</v>
      </c>
      <c r="B550" s="11">
        <v>2.7751278147843359</v>
      </c>
      <c r="C550" s="3">
        <v>0.3924030271803659</v>
      </c>
      <c r="R550" t="s">
        <v>520</v>
      </c>
      <c r="S550" s="11">
        <v>1.3632180028209699</v>
      </c>
      <c r="T550" s="3">
        <v>0.54644476446835677</v>
      </c>
      <c r="U550" t="s">
        <v>538</v>
      </c>
    </row>
    <row r="551" spans="1:21" x14ac:dyDescent="0.25">
      <c r="A551" t="s">
        <v>516</v>
      </c>
      <c r="B551" s="11">
        <v>-1.9312549263099179</v>
      </c>
      <c r="C551" s="3">
        <v>0.54298250440673823</v>
      </c>
      <c r="R551" t="s">
        <v>520</v>
      </c>
      <c r="S551" s="11">
        <v>2.102020932463005</v>
      </c>
      <c r="T551" s="3">
        <v>0.38861666717650928</v>
      </c>
      <c r="U551" t="s">
        <v>538</v>
      </c>
    </row>
    <row r="552" spans="1:21" x14ac:dyDescent="0.25">
      <c r="A552" t="s">
        <v>516</v>
      </c>
      <c r="B552" s="11">
        <v>-1.998229514994738</v>
      </c>
      <c r="C552" s="3">
        <v>0.8951374050705958</v>
      </c>
      <c r="R552" t="s">
        <v>520</v>
      </c>
      <c r="S552" s="11">
        <v>2.2828353761119691</v>
      </c>
      <c r="T552" s="3">
        <v>0.45483383074542522</v>
      </c>
      <c r="U552" t="s">
        <v>538</v>
      </c>
    </row>
    <row r="553" spans="1:21" x14ac:dyDescent="0.25">
      <c r="A553" t="s">
        <v>516</v>
      </c>
      <c r="B553" s="11">
        <v>1.1294706782686541</v>
      </c>
      <c r="C553" s="3">
        <v>0.1010331424755098</v>
      </c>
      <c r="R553" t="s">
        <v>520</v>
      </c>
      <c r="S553" s="11">
        <v>2.1907385501412668</v>
      </c>
      <c r="T553" s="3">
        <v>0.59529622921894798</v>
      </c>
      <c r="U553" t="s">
        <v>538</v>
      </c>
    </row>
    <row r="554" spans="1:21" x14ac:dyDescent="0.25">
      <c r="A554" t="s">
        <v>516</v>
      </c>
      <c r="B554" s="11">
        <v>0.87445351246940628</v>
      </c>
      <c r="C554" s="3">
        <v>0.50267152671410242</v>
      </c>
      <c r="R554" t="s">
        <v>520</v>
      </c>
      <c r="S554" s="11">
        <v>1.338559804520558</v>
      </c>
      <c r="T554" s="3">
        <v>0.81618489217664858</v>
      </c>
      <c r="U554" t="s">
        <v>538</v>
      </c>
    </row>
    <row r="555" spans="1:21" x14ac:dyDescent="0.25">
      <c r="A555" t="s">
        <v>516</v>
      </c>
      <c r="B555" s="11">
        <v>0.89868083630225193</v>
      </c>
      <c r="C555" s="3">
        <v>0.83440471082587475</v>
      </c>
      <c r="R555" t="s">
        <v>520</v>
      </c>
      <c r="S555" s="11">
        <v>1.4224295926250989</v>
      </c>
      <c r="T555" s="3">
        <v>0.24638540345356849</v>
      </c>
      <c r="U555" t="s">
        <v>538</v>
      </c>
    </row>
    <row r="556" spans="1:21" x14ac:dyDescent="0.25">
      <c r="A556" t="s">
        <v>516</v>
      </c>
      <c r="B556" s="11">
        <v>-4.0655531222762944</v>
      </c>
      <c r="C556" s="3">
        <v>0.26821316439900922</v>
      </c>
      <c r="R556" t="s">
        <v>520</v>
      </c>
      <c r="S556" s="11">
        <v>-1.730827700761195</v>
      </c>
      <c r="T556" s="3">
        <v>0.93425399770073236</v>
      </c>
      <c r="U556" t="s">
        <v>538</v>
      </c>
    </row>
    <row r="557" spans="1:21" x14ac:dyDescent="0.25">
      <c r="A557" t="s">
        <v>516</v>
      </c>
      <c r="B557" s="11">
        <v>-2.2027429210855249</v>
      </c>
      <c r="C557" s="3">
        <v>0.43627892152177872</v>
      </c>
      <c r="R557" t="s">
        <v>520</v>
      </c>
      <c r="S557" s="11">
        <v>2.8694395366465528</v>
      </c>
      <c r="T557" s="3">
        <v>0.71053418806234436</v>
      </c>
      <c r="U557" t="s">
        <v>538</v>
      </c>
    </row>
    <row r="558" spans="1:21" x14ac:dyDescent="0.25">
      <c r="A558" t="s">
        <v>516</v>
      </c>
      <c r="B558" s="11">
        <v>1.5405186137800171</v>
      </c>
      <c r="C558" s="3">
        <v>0.19513326784232321</v>
      </c>
      <c r="R558" t="s">
        <v>520</v>
      </c>
      <c r="S558" s="11">
        <v>-0.92485938447402027</v>
      </c>
      <c r="T558" s="3">
        <v>0.46643423991917787</v>
      </c>
      <c r="U558" t="s">
        <v>538</v>
      </c>
    </row>
    <row r="559" spans="1:21" x14ac:dyDescent="0.25">
      <c r="A559" t="s">
        <v>516</v>
      </c>
      <c r="B559" s="11">
        <v>-2.135437859565728</v>
      </c>
      <c r="C559" s="3">
        <v>0.1978391265072644</v>
      </c>
      <c r="R559" t="s">
        <v>520</v>
      </c>
      <c r="S559" s="11">
        <v>3.4238420025469019</v>
      </c>
      <c r="T559" s="3">
        <v>0.21869162198824671</v>
      </c>
      <c r="U559" t="s">
        <v>538</v>
      </c>
    </row>
    <row r="560" spans="1:21" x14ac:dyDescent="0.25">
      <c r="A560" t="s">
        <v>516</v>
      </c>
      <c r="B560" s="11">
        <v>-5.4682309669090436</v>
      </c>
      <c r="C560" s="3">
        <v>0.1000450754234999</v>
      </c>
      <c r="R560" t="s">
        <v>520</v>
      </c>
      <c r="S560" s="11">
        <v>1.421776440482361</v>
      </c>
      <c r="T560" s="3">
        <v>0.16241031752135329</v>
      </c>
      <c r="U560" t="s">
        <v>538</v>
      </c>
    </row>
    <row r="561" spans="1:21" x14ac:dyDescent="0.25">
      <c r="A561" t="s">
        <v>516</v>
      </c>
      <c r="B561" s="11">
        <v>-1.617296425855224</v>
      </c>
      <c r="C561" s="3">
        <v>0.74244149323312658</v>
      </c>
      <c r="R561" t="s">
        <v>520</v>
      </c>
      <c r="S561" s="11">
        <v>1.1452502299902649</v>
      </c>
      <c r="T561" s="3">
        <v>0.20311040955114479</v>
      </c>
      <c r="U561" t="s">
        <v>538</v>
      </c>
    </row>
    <row r="562" spans="1:21" x14ac:dyDescent="0.25">
      <c r="A562" t="s">
        <v>516</v>
      </c>
      <c r="B562" s="11">
        <v>-2.1050522367290929</v>
      </c>
      <c r="C562" s="3">
        <v>0.18887930360487901</v>
      </c>
      <c r="R562" t="s">
        <v>520</v>
      </c>
      <c r="S562" s="11">
        <v>0.84173382419129172</v>
      </c>
      <c r="T562" s="3">
        <v>0.21844847365283029</v>
      </c>
      <c r="U562" t="s">
        <v>538</v>
      </c>
    </row>
    <row r="563" spans="1:21" x14ac:dyDescent="0.25">
      <c r="A563" t="s">
        <v>516</v>
      </c>
      <c r="B563" s="11">
        <v>2.0837164872305531</v>
      </c>
      <c r="C563" s="3">
        <v>0.68576777898227115</v>
      </c>
      <c r="R563" t="s">
        <v>520</v>
      </c>
      <c r="S563" s="11">
        <v>1.3002021675015241</v>
      </c>
      <c r="T563" s="3">
        <v>0.15383559011563189</v>
      </c>
      <c r="U563" t="s">
        <v>538</v>
      </c>
    </row>
    <row r="564" spans="1:21" x14ac:dyDescent="0.25">
      <c r="A564" t="s">
        <v>516</v>
      </c>
      <c r="B564" s="11">
        <v>-2.1968798874685258</v>
      </c>
      <c r="C564" s="3">
        <v>0.1638220643998623</v>
      </c>
      <c r="R564" t="s">
        <v>520</v>
      </c>
      <c r="S564" s="11">
        <v>1.4582030197845499</v>
      </c>
      <c r="T564" s="3">
        <v>0.30349608001371869</v>
      </c>
      <c r="U564" t="s">
        <v>538</v>
      </c>
    </row>
    <row r="565" spans="1:21" x14ac:dyDescent="0.25">
      <c r="A565" t="s">
        <v>516</v>
      </c>
      <c r="B565" s="11">
        <v>-1.856648489250704</v>
      </c>
      <c r="C565" s="3">
        <v>0.65469998820211983</v>
      </c>
      <c r="R565" t="s">
        <v>520</v>
      </c>
      <c r="S565" s="11">
        <v>1.0699701661494689</v>
      </c>
      <c r="T565" s="3">
        <v>0.1192093376137723</v>
      </c>
      <c r="U565" t="s">
        <v>538</v>
      </c>
    </row>
    <row r="566" spans="1:21" x14ac:dyDescent="0.25">
      <c r="A566" t="s">
        <v>516</v>
      </c>
      <c r="B566" s="11">
        <v>-1.6636720351787311</v>
      </c>
      <c r="C566" s="3">
        <v>0.68096930218422058</v>
      </c>
      <c r="R566" t="s">
        <v>520</v>
      </c>
      <c r="S566" s="11">
        <v>3.3737577428200449</v>
      </c>
      <c r="T566" s="3">
        <v>0.20296775667489009</v>
      </c>
      <c r="U566" t="s">
        <v>538</v>
      </c>
    </row>
    <row r="567" spans="1:21" x14ac:dyDescent="0.25">
      <c r="A567" t="s">
        <v>516</v>
      </c>
      <c r="B567" s="11">
        <v>-2.9607066014470762</v>
      </c>
      <c r="C567" s="3">
        <v>0.78980888511177938</v>
      </c>
      <c r="R567" t="s">
        <v>520</v>
      </c>
      <c r="S567" s="11">
        <v>2.311620212573283</v>
      </c>
      <c r="T567" s="3">
        <v>0.20779136981902099</v>
      </c>
      <c r="U567" t="s">
        <v>538</v>
      </c>
    </row>
    <row r="568" spans="1:21" x14ac:dyDescent="0.25">
      <c r="A568" t="s">
        <v>516</v>
      </c>
      <c r="B568" s="11">
        <v>3.7742479030274509</v>
      </c>
      <c r="C568" s="3">
        <v>0.99475080767461654</v>
      </c>
      <c r="R568" t="s">
        <v>520</v>
      </c>
      <c r="S568" s="11">
        <v>1.30709786264368</v>
      </c>
      <c r="T568" s="3">
        <v>0.28070261930077622</v>
      </c>
      <c r="U568" t="s">
        <v>538</v>
      </c>
    </row>
    <row r="569" spans="1:21" x14ac:dyDescent="0.25">
      <c r="A569" t="s">
        <v>516</v>
      </c>
      <c r="B569" s="11">
        <v>-1.695231727327142</v>
      </c>
      <c r="C569" s="3">
        <v>0.23641414744620209</v>
      </c>
      <c r="R569" t="s">
        <v>520</v>
      </c>
      <c r="S569" s="11">
        <v>2.4464158535423182</v>
      </c>
      <c r="T569" s="3">
        <v>0.40433955316321268</v>
      </c>
      <c r="U569" t="s">
        <v>538</v>
      </c>
    </row>
    <row r="570" spans="1:21" x14ac:dyDescent="0.25">
      <c r="A570" t="s">
        <v>516</v>
      </c>
      <c r="B570" s="11">
        <v>-2.2420375551886589</v>
      </c>
      <c r="C570" s="3">
        <v>0.63601653754895393</v>
      </c>
      <c r="R570" t="s">
        <v>520</v>
      </c>
      <c r="S570" s="11">
        <v>-1.7547124815194539</v>
      </c>
      <c r="T570" s="3">
        <v>0.70283952218119539</v>
      </c>
      <c r="U570" t="s">
        <v>538</v>
      </c>
    </row>
    <row r="571" spans="1:21" x14ac:dyDescent="0.25">
      <c r="A571" t="s">
        <v>516</v>
      </c>
      <c r="B571" s="11">
        <v>-2.4666828095300288</v>
      </c>
      <c r="C571" s="3">
        <v>0.1200003797312796</v>
      </c>
      <c r="R571" t="s">
        <v>520</v>
      </c>
      <c r="S571" s="11">
        <v>-0.78612954221469089</v>
      </c>
      <c r="T571" s="3">
        <v>0.67250802584224512</v>
      </c>
      <c r="U571" t="s">
        <v>538</v>
      </c>
    </row>
    <row r="572" spans="1:21" x14ac:dyDescent="0.25">
      <c r="A572" t="s">
        <v>516</v>
      </c>
      <c r="B572" s="11">
        <v>2.510024995788934</v>
      </c>
      <c r="C572" s="3">
        <v>0.96724011899471685</v>
      </c>
      <c r="R572" t="s">
        <v>520</v>
      </c>
      <c r="S572" s="11">
        <v>1.058440350411739</v>
      </c>
      <c r="T572" s="3">
        <v>0.41291969695462732</v>
      </c>
      <c r="U572" t="s">
        <v>538</v>
      </c>
    </row>
    <row r="573" spans="1:21" x14ac:dyDescent="0.25">
      <c r="A573" t="s">
        <v>516</v>
      </c>
      <c r="B573" s="11">
        <v>-6.1170460512076534</v>
      </c>
      <c r="C573" s="3">
        <v>0.76946225597381357</v>
      </c>
      <c r="R573" t="s">
        <v>520</v>
      </c>
      <c r="S573" s="11">
        <v>-2.177170305609192</v>
      </c>
      <c r="T573" s="3">
        <v>0.60240763309890277</v>
      </c>
      <c r="U573" t="s">
        <v>538</v>
      </c>
    </row>
    <row r="574" spans="1:21" x14ac:dyDescent="0.25">
      <c r="A574" t="s">
        <v>516</v>
      </c>
      <c r="B574" s="11">
        <v>2.2477393035365778</v>
      </c>
      <c r="C574" s="3">
        <v>0.57852574224514441</v>
      </c>
      <c r="R574" t="s">
        <v>520</v>
      </c>
      <c r="S574" s="11">
        <v>0.94706885983687272</v>
      </c>
      <c r="T574" s="3">
        <v>0.72601770791125975</v>
      </c>
      <c r="U574" t="s">
        <v>538</v>
      </c>
    </row>
    <row r="575" spans="1:21" x14ac:dyDescent="0.25">
      <c r="A575" t="s">
        <v>516</v>
      </c>
      <c r="B575" s="11">
        <v>2.689787086175218</v>
      </c>
      <c r="C575" s="3">
        <v>0.99035256236056901</v>
      </c>
      <c r="R575" t="s">
        <v>520</v>
      </c>
      <c r="S575" s="11">
        <v>2.1728830832507868</v>
      </c>
      <c r="T575" s="3">
        <v>0.22935240254124639</v>
      </c>
      <c r="U575" t="s">
        <v>538</v>
      </c>
    </row>
    <row r="576" spans="1:21" x14ac:dyDescent="0.25">
      <c r="A576" t="s">
        <v>516</v>
      </c>
      <c r="B576" s="11">
        <v>-2.2278169207116192</v>
      </c>
      <c r="C576" s="3">
        <v>0.181922126752776</v>
      </c>
      <c r="R576" t="s">
        <v>520</v>
      </c>
      <c r="S576" s="11">
        <v>-4.2072738553350284</v>
      </c>
      <c r="T576" s="3">
        <v>0.98296832098831999</v>
      </c>
      <c r="U576" t="s">
        <v>538</v>
      </c>
    </row>
    <row r="577" spans="1:21" x14ac:dyDescent="0.25">
      <c r="A577" t="s">
        <v>516</v>
      </c>
      <c r="B577" s="11">
        <v>-2.1330864018397988</v>
      </c>
      <c r="C577" s="3">
        <v>0.1073546372966605</v>
      </c>
      <c r="R577" t="s">
        <v>520</v>
      </c>
      <c r="S577" s="11">
        <v>0.78427791305035599</v>
      </c>
      <c r="T577" s="3">
        <v>0.1010331424755098</v>
      </c>
      <c r="U577" t="s">
        <v>538</v>
      </c>
    </row>
    <row r="578" spans="1:21" x14ac:dyDescent="0.25">
      <c r="A578" t="s">
        <v>516</v>
      </c>
      <c r="B578" s="11">
        <v>-4.5002722082727651</v>
      </c>
      <c r="C578" s="3">
        <v>0.17383620142765499</v>
      </c>
      <c r="R578" t="s">
        <v>520</v>
      </c>
      <c r="S578" s="11">
        <v>1.1716791826616531</v>
      </c>
      <c r="T578" s="3">
        <v>0.50267152671410242</v>
      </c>
      <c r="U578" t="s">
        <v>538</v>
      </c>
    </row>
    <row r="579" spans="1:21" x14ac:dyDescent="0.25">
      <c r="A579" t="s">
        <v>516</v>
      </c>
      <c r="B579" s="11">
        <v>-3.2150975702835431</v>
      </c>
      <c r="C579" s="3">
        <v>0.68064192853901861</v>
      </c>
      <c r="R579" t="s">
        <v>520</v>
      </c>
      <c r="S579" s="11">
        <v>0.57449617928635355</v>
      </c>
      <c r="T579" s="3">
        <v>0.77288106209373775</v>
      </c>
      <c r="U579" t="s">
        <v>538</v>
      </c>
    </row>
    <row r="580" spans="1:21" x14ac:dyDescent="0.25">
      <c r="A580" t="s">
        <v>516</v>
      </c>
      <c r="B580" s="11">
        <v>-2.1539581733519539</v>
      </c>
      <c r="C580" s="3">
        <v>0.67582937002005616</v>
      </c>
      <c r="R580" t="s">
        <v>520</v>
      </c>
      <c r="S580" s="11">
        <v>1.4141915815403989</v>
      </c>
      <c r="T580" s="3">
        <v>0.19526767279405</v>
      </c>
      <c r="U580" t="s">
        <v>538</v>
      </c>
    </row>
    <row r="581" spans="1:21" x14ac:dyDescent="0.25">
      <c r="A581" t="s">
        <v>516</v>
      </c>
      <c r="B581" s="11">
        <v>-3.5799803053485082</v>
      </c>
      <c r="C581" s="3">
        <v>0.84972860740667733</v>
      </c>
      <c r="R581" t="s">
        <v>520</v>
      </c>
      <c r="S581" s="11">
        <v>1.1597026836384361</v>
      </c>
      <c r="T581" s="3">
        <v>0.83440471082587475</v>
      </c>
      <c r="U581" t="s">
        <v>538</v>
      </c>
    </row>
    <row r="582" spans="1:21" x14ac:dyDescent="0.25">
      <c r="A582" t="s">
        <v>516</v>
      </c>
      <c r="B582" s="11">
        <v>-1.0987968494390721</v>
      </c>
      <c r="C582" s="3">
        <v>0.6507664077012254</v>
      </c>
      <c r="R582" t="s">
        <v>520</v>
      </c>
      <c r="S582" s="11">
        <v>-2.645041506014445</v>
      </c>
      <c r="T582" s="3">
        <v>0.42773429932738999</v>
      </c>
      <c r="U582" t="s">
        <v>538</v>
      </c>
    </row>
    <row r="583" spans="1:21" x14ac:dyDescent="0.25">
      <c r="A583" t="s">
        <v>517</v>
      </c>
      <c r="B583" s="11">
        <v>-1.0974496881624889</v>
      </c>
      <c r="C583" s="3">
        <v>0.22870846034528461</v>
      </c>
      <c r="R583" t="s">
        <v>520</v>
      </c>
      <c r="S583" s="11">
        <v>1.096241208902059</v>
      </c>
      <c r="T583" s="3">
        <v>0.1749443239595754</v>
      </c>
      <c r="U583" t="s">
        <v>538</v>
      </c>
    </row>
    <row r="584" spans="1:21" x14ac:dyDescent="0.25">
      <c r="A584" t="s">
        <v>517</v>
      </c>
      <c r="B584" s="11">
        <v>-0.91230769523204946</v>
      </c>
      <c r="C584" s="3">
        <v>0.17826894991460529</v>
      </c>
      <c r="R584" t="s">
        <v>520</v>
      </c>
      <c r="S584" s="11">
        <v>3.4252977580511779</v>
      </c>
      <c r="T584" s="3">
        <v>0.1638220643998623</v>
      </c>
      <c r="U584" t="s">
        <v>538</v>
      </c>
    </row>
    <row r="585" spans="1:21" x14ac:dyDescent="0.25">
      <c r="A585" t="s">
        <v>517</v>
      </c>
      <c r="B585" s="11">
        <v>-1.5474770374231761</v>
      </c>
      <c r="C585" s="3">
        <v>0.54644476446835677</v>
      </c>
      <c r="R585" t="s">
        <v>520</v>
      </c>
      <c r="S585" s="11">
        <v>0.96974039381912314</v>
      </c>
      <c r="T585" s="3">
        <v>0.34793509357718172</v>
      </c>
      <c r="U585" t="s">
        <v>538</v>
      </c>
    </row>
    <row r="586" spans="1:21" x14ac:dyDescent="0.25">
      <c r="A586" t="s">
        <v>517</v>
      </c>
      <c r="B586" s="11">
        <v>-1.4771265743058939</v>
      </c>
      <c r="C586" s="3">
        <v>0.41318683633122649</v>
      </c>
      <c r="R586" t="s">
        <v>520</v>
      </c>
      <c r="S586" s="11">
        <v>2.036903623607992</v>
      </c>
      <c r="T586" s="3">
        <v>0.1089686379392189</v>
      </c>
      <c r="U586" t="s">
        <v>538</v>
      </c>
    </row>
    <row r="587" spans="1:21" x14ac:dyDescent="0.25">
      <c r="A587" t="s">
        <v>517</v>
      </c>
      <c r="B587" s="11">
        <v>-2.289757017921167</v>
      </c>
      <c r="C587" s="3">
        <v>0.52528544664079668</v>
      </c>
      <c r="R587" t="s">
        <v>520</v>
      </c>
      <c r="S587" s="11">
        <v>-2.566548336257032</v>
      </c>
      <c r="T587" s="3">
        <v>0.93008937672037084</v>
      </c>
      <c r="U587" t="s">
        <v>538</v>
      </c>
    </row>
    <row r="588" spans="1:21" x14ac:dyDescent="0.25">
      <c r="A588" t="s">
        <v>517</v>
      </c>
      <c r="B588" s="11">
        <v>-1.430372237191464</v>
      </c>
      <c r="C588" s="3">
        <v>0.1899297237265645</v>
      </c>
      <c r="R588" t="s">
        <v>520</v>
      </c>
      <c r="S588" s="11">
        <v>1.240367924162723</v>
      </c>
      <c r="T588" s="3">
        <v>0.87576732752300213</v>
      </c>
      <c r="U588" t="s">
        <v>538</v>
      </c>
    </row>
    <row r="589" spans="1:21" x14ac:dyDescent="0.25">
      <c r="A589" t="s">
        <v>517</v>
      </c>
      <c r="B589" s="11">
        <v>-2.2407267316790609</v>
      </c>
      <c r="C589" s="3">
        <v>0.24638540345356849</v>
      </c>
      <c r="R589" t="s">
        <v>520</v>
      </c>
      <c r="S589" s="11">
        <v>1.116578150372372</v>
      </c>
      <c r="T589" s="3">
        <v>0.2583057538052474</v>
      </c>
      <c r="U589" t="s">
        <v>538</v>
      </c>
    </row>
    <row r="590" spans="1:21" x14ac:dyDescent="0.25">
      <c r="A590" t="s">
        <v>517</v>
      </c>
      <c r="B590" s="11">
        <v>-1.6754513607867321</v>
      </c>
      <c r="C590" s="3">
        <v>0.16241031752135329</v>
      </c>
      <c r="R590" t="s">
        <v>520</v>
      </c>
      <c r="S590" s="11">
        <v>0.81170314477862626</v>
      </c>
      <c r="T590" s="3">
        <v>0.48663727550552088</v>
      </c>
      <c r="U590" t="s">
        <v>538</v>
      </c>
    </row>
    <row r="591" spans="1:21" x14ac:dyDescent="0.25">
      <c r="A591" t="s">
        <v>517</v>
      </c>
      <c r="B591" s="11">
        <v>-1.342422074640107</v>
      </c>
      <c r="C591" s="3">
        <v>0.20311040955114479</v>
      </c>
      <c r="R591" t="s">
        <v>520</v>
      </c>
      <c r="S591" s="11">
        <v>0.92880420874570546</v>
      </c>
      <c r="T591" s="3">
        <v>0.70372975816672356</v>
      </c>
      <c r="U591" t="s">
        <v>538</v>
      </c>
    </row>
    <row r="592" spans="1:21" x14ac:dyDescent="0.25">
      <c r="A592" t="s">
        <v>517</v>
      </c>
      <c r="B592" s="11">
        <v>-1.5053305904204459</v>
      </c>
      <c r="C592" s="3">
        <v>0.21844847365283029</v>
      </c>
      <c r="R592" t="s">
        <v>520</v>
      </c>
      <c r="S592" s="11">
        <v>1.154909129616156</v>
      </c>
      <c r="T592" s="3">
        <v>0.1236564146965753</v>
      </c>
      <c r="U592" t="s">
        <v>538</v>
      </c>
    </row>
    <row r="593" spans="1:21" x14ac:dyDescent="0.25">
      <c r="A593" t="s">
        <v>517</v>
      </c>
      <c r="B593" s="11">
        <v>-0.41780856773318448</v>
      </c>
      <c r="C593" s="3">
        <v>0.1304210889068497</v>
      </c>
      <c r="R593" t="s">
        <v>520</v>
      </c>
      <c r="S593" s="11">
        <v>-3.0317311904490478</v>
      </c>
      <c r="T593" s="3">
        <v>0.72306967803544064</v>
      </c>
      <c r="U593" t="s">
        <v>538</v>
      </c>
    </row>
    <row r="594" spans="1:21" x14ac:dyDescent="0.25">
      <c r="A594" t="s">
        <v>517</v>
      </c>
      <c r="B594" s="11">
        <v>-2.2806107104968198</v>
      </c>
      <c r="C594" s="3">
        <v>0.15383559011563189</v>
      </c>
      <c r="R594" t="s">
        <v>520</v>
      </c>
      <c r="S594" s="11">
        <v>1.37352250531691</v>
      </c>
      <c r="T594" s="3">
        <v>0.84362216814941771</v>
      </c>
      <c r="U594" t="s">
        <v>538</v>
      </c>
    </row>
    <row r="595" spans="1:21" x14ac:dyDescent="0.25">
      <c r="A595" t="s">
        <v>517</v>
      </c>
      <c r="B595" s="11">
        <v>-1.618757416401309</v>
      </c>
      <c r="C595" s="3">
        <v>0.30349608001371869</v>
      </c>
      <c r="R595" t="s">
        <v>520</v>
      </c>
      <c r="S595" s="11">
        <v>1.0860179320829639</v>
      </c>
      <c r="T595" s="3">
        <v>0.756197264055957</v>
      </c>
      <c r="U595" t="s">
        <v>538</v>
      </c>
    </row>
    <row r="596" spans="1:21" x14ac:dyDescent="0.25">
      <c r="A596" t="s">
        <v>517</v>
      </c>
      <c r="B596" s="11">
        <v>-1.6255195757471821</v>
      </c>
      <c r="C596" s="3">
        <v>0.20779136981902099</v>
      </c>
      <c r="R596" t="s">
        <v>520</v>
      </c>
      <c r="S596" s="11">
        <v>1.41625636515027</v>
      </c>
      <c r="T596" s="3">
        <v>0.93273414114997388</v>
      </c>
      <c r="U596" t="s">
        <v>538</v>
      </c>
    </row>
    <row r="597" spans="1:21" x14ac:dyDescent="0.25">
      <c r="A597" t="s">
        <v>517</v>
      </c>
      <c r="B597" s="11">
        <v>-1.527729352059825</v>
      </c>
      <c r="C597" s="3">
        <v>0.40433955316321268</v>
      </c>
      <c r="R597" t="s">
        <v>520</v>
      </c>
      <c r="S597" s="11">
        <v>0.42723531896055938</v>
      </c>
      <c r="T597" s="3">
        <v>0.1079884377822322</v>
      </c>
      <c r="U597" t="s">
        <v>538</v>
      </c>
    </row>
    <row r="598" spans="1:21" x14ac:dyDescent="0.25">
      <c r="A598" t="s">
        <v>517</v>
      </c>
      <c r="B598" s="11">
        <v>-1.087069619297562</v>
      </c>
      <c r="C598" s="3">
        <v>0.1705724192823794</v>
      </c>
      <c r="R598" t="s">
        <v>520</v>
      </c>
      <c r="S598" s="11">
        <v>-5.9801367690983893</v>
      </c>
      <c r="T598" s="3">
        <v>0.99142877280429653</v>
      </c>
      <c r="U598" t="s">
        <v>538</v>
      </c>
    </row>
    <row r="599" spans="1:21" x14ac:dyDescent="0.25">
      <c r="A599" t="s">
        <v>517</v>
      </c>
      <c r="B599" s="11">
        <v>-1.9254692964147031</v>
      </c>
      <c r="C599" s="3">
        <v>0.72601770791125975</v>
      </c>
      <c r="R599" t="s">
        <v>520</v>
      </c>
      <c r="S599" s="11">
        <v>3.020799034709023</v>
      </c>
      <c r="T599" s="3">
        <v>0.59400519878475677</v>
      </c>
      <c r="U599" t="s">
        <v>538</v>
      </c>
    </row>
    <row r="600" spans="1:21" x14ac:dyDescent="0.25">
      <c r="A600" t="s">
        <v>517</v>
      </c>
      <c r="B600" s="11">
        <v>-1.6330950280561709</v>
      </c>
      <c r="C600" s="3">
        <v>0.3924030271803659</v>
      </c>
      <c r="R600" t="s">
        <v>520</v>
      </c>
      <c r="S600" s="11">
        <v>-3.299572780226125</v>
      </c>
      <c r="T600" s="3">
        <v>0.96526539046505389</v>
      </c>
      <c r="U600" t="s">
        <v>538</v>
      </c>
    </row>
    <row r="601" spans="1:21" x14ac:dyDescent="0.25">
      <c r="A601" t="s">
        <v>517</v>
      </c>
      <c r="B601" s="11">
        <v>-1.5557157298582329</v>
      </c>
      <c r="C601" s="3">
        <v>0.22935240254124639</v>
      </c>
      <c r="R601" t="s">
        <v>520</v>
      </c>
      <c r="S601" s="11">
        <v>3.486335274539607</v>
      </c>
      <c r="T601" s="3">
        <v>0.181922126752776</v>
      </c>
      <c r="U601" t="s">
        <v>538</v>
      </c>
    </row>
    <row r="602" spans="1:21" x14ac:dyDescent="0.25">
      <c r="A602" t="s">
        <v>517</v>
      </c>
      <c r="B602" s="11">
        <v>-1.358271247057645</v>
      </c>
      <c r="C602" s="3">
        <v>0.20949723418173821</v>
      </c>
      <c r="R602" t="s">
        <v>520</v>
      </c>
      <c r="S602" s="11">
        <v>1.149707048593114</v>
      </c>
      <c r="T602" s="3">
        <v>0.42578094499293179</v>
      </c>
      <c r="U602" t="s">
        <v>538</v>
      </c>
    </row>
    <row r="603" spans="1:21" x14ac:dyDescent="0.25">
      <c r="A603" t="s">
        <v>517</v>
      </c>
      <c r="B603" s="11">
        <v>-1.5363650465700609</v>
      </c>
      <c r="C603" s="3">
        <v>0.54298250440673823</v>
      </c>
      <c r="R603" t="s">
        <v>520</v>
      </c>
      <c r="S603" s="11">
        <v>0.79510638111332044</v>
      </c>
      <c r="T603" s="3">
        <v>0.84735875113702974</v>
      </c>
      <c r="U603" t="s">
        <v>538</v>
      </c>
    </row>
    <row r="604" spans="1:21" x14ac:dyDescent="0.25">
      <c r="A604" t="s">
        <v>517</v>
      </c>
      <c r="B604" s="11">
        <v>-2.081104535778135</v>
      </c>
      <c r="C604" s="3">
        <v>0.8951374050705958</v>
      </c>
      <c r="R604" t="s">
        <v>520</v>
      </c>
      <c r="S604" s="11">
        <v>1.8497594074844601</v>
      </c>
      <c r="T604" s="3">
        <v>0.1850378219080894</v>
      </c>
      <c r="U604" t="s">
        <v>538</v>
      </c>
    </row>
    <row r="605" spans="1:21" x14ac:dyDescent="0.25">
      <c r="A605" t="s">
        <v>517</v>
      </c>
      <c r="B605" s="11">
        <v>-1.882465875265199</v>
      </c>
      <c r="C605" s="3">
        <v>0.2364424124269455</v>
      </c>
      <c r="R605" t="s">
        <v>520</v>
      </c>
      <c r="S605" s="11">
        <v>0.9986061731015432</v>
      </c>
      <c r="T605" s="3">
        <v>0.71871414594590854</v>
      </c>
      <c r="U605" t="s">
        <v>538</v>
      </c>
    </row>
    <row r="606" spans="1:21" x14ac:dyDescent="0.25">
      <c r="A606" t="s">
        <v>517</v>
      </c>
      <c r="B606" s="11">
        <v>-1.6771730843449231</v>
      </c>
      <c r="C606" s="3">
        <v>0.19526767279405</v>
      </c>
      <c r="R606" t="s">
        <v>520</v>
      </c>
      <c r="S606" s="11">
        <v>0.74312421776213999</v>
      </c>
      <c r="T606" s="3">
        <v>0.6507664077012254</v>
      </c>
      <c r="U606" t="s">
        <v>538</v>
      </c>
    </row>
    <row r="607" spans="1:21" x14ac:dyDescent="0.25">
      <c r="A607" t="s">
        <v>517</v>
      </c>
      <c r="B607" s="11">
        <v>-1.0898799176862819</v>
      </c>
      <c r="C607" s="3">
        <v>0.43627892152177872</v>
      </c>
      <c r="R607" t="s">
        <v>513</v>
      </c>
      <c r="S607" s="11">
        <v>-3.67659214588044</v>
      </c>
      <c r="T607" s="3">
        <v>0.99696668917794118</v>
      </c>
      <c r="U607" t="s">
        <v>539</v>
      </c>
    </row>
    <row r="608" spans="1:21" x14ac:dyDescent="0.25">
      <c r="A608" t="s">
        <v>517</v>
      </c>
      <c r="B608" s="11">
        <v>-1.588376558964691</v>
      </c>
      <c r="C608" s="3">
        <v>0.1638220643998623</v>
      </c>
      <c r="R608" t="s">
        <v>513</v>
      </c>
      <c r="S608" s="11">
        <v>-0.75233803455089909</v>
      </c>
      <c r="T608" s="3">
        <v>0.17826894991460529</v>
      </c>
      <c r="U608" t="s">
        <v>539</v>
      </c>
    </row>
    <row r="609" spans="1:21" x14ac:dyDescent="0.25">
      <c r="A609" t="s">
        <v>517</v>
      </c>
      <c r="B609" s="11">
        <v>-1.3117608546468491</v>
      </c>
      <c r="C609" s="3">
        <v>0.80244896685013978</v>
      </c>
      <c r="R609" t="s">
        <v>513</v>
      </c>
      <c r="S609" s="11">
        <v>-1.7129890925390709</v>
      </c>
      <c r="T609" s="3">
        <v>0.1184825353029758</v>
      </c>
      <c r="U609" t="s">
        <v>539</v>
      </c>
    </row>
    <row r="610" spans="1:21" x14ac:dyDescent="0.25">
      <c r="A610" t="s">
        <v>517</v>
      </c>
      <c r="B610" s="11">
        <v>-1.323994948879949</v>
      </c>
      <c r="C610" s="3">
        <v>0.2583057538052474</v>
      </c>
      <c r="R610" t="s">
        <v>513</v>
      </c>
      <c r="S610" s="11">
        <v>-1.5687975156010661</v>
      </c>
      <c r="T610" s="3">
        <v>0.41318683633122649</v>
      </c>
      <c r="U610" t="s">
        <v>539</v>
      </c>
    </row>
    <row r="611" spans="1:21" x14ac:dyDescent="0.25">
      <c r="A611" t="s">
        <v>517</v>
      </c>
      <c r="B611" s="11">
        <v>-0.55352382402112255</v>
      </c>
      <c r="C611" s="3">
        <v>0.68096930218422058</v>
      </c>
      <c r="R611" t="s">
        <v>513</v>
      </c>
      <c r="S611" s="11">
        <v>-1.9975704633239439</v>
      </c>
      <c r="T611" s="3">
        <v>0.52528544664079668</v>
      </c>
      <c r="U611" t="s">
        <v>539</v>
      </c>
    </row>
    <row r="612" spans="1:21" x14ac:dyDescent="0.25">
      <c r="A612" t="s">
        <v>517</v>
      </c>
      <c r="B612" s="11">
        <v>-1.3718464661703731</v>
      </c>
      <c r="C612" s="3">
        <v>0.1236564146965753</v>
      </c>
      <c r="R612" t="s">
        <v>513</v>
      </c>
      <c r="S612" s="11">
        <v>0.80291245765880781</v>
      </c>
      <c r="T612" s="3">
        <v>0.45483383074542522</v>
      </c>
      <c r="U612" t="s">
        <v>539</v>
      </c>
    </row>
    <row r="613" spans="1:21" x14ac:dyDescent="0.25">
      <c r="A613" t="s">
        <v>517</v>
      </c>
      <c r="B613" s="11">
        <v>0.68219792658801559</v>
      </c>
      <c r="C613" s="3">
        <v>0.26488058793287189</v>
      </c>
      <c r="R613" t="s">
        <v>513</v>
      </c>
      <c r="S613" s="11">
        <v>2.4494442411844868</v>
      </c>
      <c r="T613" s="3">
        <v>0.81618489217664858</v>
      </c>
      <c r="U613" t="s">
        <v>539</v>
      </c>
    </row>
    <row r="614" spans="1:21" x14ac:dyDescent="0.25">
      <c r="A614" t="s">
        <v>517</v>
      </c>
      <c r="B614" s="11">
        <v>-0.96903017080281861</v>
      </c>
      <c r="C614" s="3">
        <v>0.756197264055957</v>
      </c>
      <c r="R614" t="s">
        <v>513</v>
      </c>
      <c r="S614" s="11">
        <v>-0.68184134347409908</v>
      </c>
      <c r="T614" s="3">
        <v>0.13939834915146149</v>
      </c>
      <c r="U614" t="s">
        <v>539</v>
      </c>
    </row>
    <row r="615" spans="1:21" x14ac:dyDescent="0.25">
      <c r="A615" t="s">
        <v>517</v>
      </c>
      <c r="B615" s="11">
        <v>-1.484414693075065</v>
      </c>
      <c r="C615" s="3">
        <v>0.59667636451878903</v>
      </c>
      <c r="R615" t="s">
        <v>513</v>
      </c>
      <c r="S615" s="11">
        <v>-1.5868430017176789</v>
      </c>
      <c r="T615" s="3">
        <v>0.24638540345356849</v>
      </c>
      <c r="U615" t="s">
        <v>539</v>
      </c>
    </row>
    <row r="616" spans="1:21" x14ac:dyDescent="0.25">
      <c r="A616" t="s">
        <v>517</v>
      </c>
      <c r="B616" s="11">
        <v>-1.677935867221215</v>
      </c>
      <c r="C616" s="3">
        <v>0.93273414114997388</v>
      </c>
      <c r="R616" t="s">
        <v>513</v>
      </c>
      <c r="S616" s="11">
        <v>-3.3971217230658199</v>
      </c>
      <c r="T616" s="3">
        <v>0.56996931103138504</v>
      </c>
      <c r="U616" t="s">
        <v>539</v>
      </c>
    </row>
    <row r="617" spans="1:21" x14ac:dyDescent="0.25">
      <c r="A617" t="s">
        <v>517</v>
      </c>
      <c r="B617" s="11">
        <v>-1.230157576539584</v>
      </c>
      <c r="C617" s="3">
        <v>0.99475080767461654</v>
      </c>
      <c r="R617" t="s">
        <v>513</v>
      </c>
      <c r="S617" s="11">
        <v>-2.3139624241295889</v>
      </c>
      <c r="T617" s="3">
        <v>0.71053418806234436</v>
      </c>
      <c r="U617" t="s">
        <v>539</v>
      </c>
    </row>
    <row r="618" spans="1:21" x14ac:dyDescent="0.25">
      <c r="A618" t="s">
        <v>517</v>
      </c>
      <c r="B618" s="11">
        <v>-0.52550089711801917</v>
      </c>
      <c r="C618" s="3">
        <v>0.23641414744620209</v>
      </c>
      <c r="R618" t="s">
        <v>513</v>
      </c>
      <c r="S618" s="11">
        <v>-0.98274913440982825</v>
      </c>
      <c r="T618" s="3">
        <v>0.46643423991917787</v>
      </c>
      <c r="U618" t="s">
        <v>539</v>
      </c>
    </row>
    <row r="619" spans="1:21" x14ac:dyDescent="0.25">
      <c r="A619" t="s">
        <v>517</v>
      </c>
      <c r="B619" s="11">
        <v>-0.48165201761595139</v>
      </c>
      <c r="C619" s="3">
        <v>0.63601653754895393</v>
      </c>
      <c r="R619" t="s">
        <v>513</v>
      </c>
      <c r="S619" s="11">
        <v>-1.887508952129956</v>
      </c>
      <c r="T619" s="3">
        <v>0.20311040955114479</v>
      </c>
      <c r="U619" t="s">
        <v>539</v>
      </c>
    </row>
    <row r="620" spans="1:21" x14ac:dyDescent="0.25">
      <c r="A620" t="s">
        <v>517</v>
      </c>
      <c r="B620" s="11">
        <v>-0.61902379625556936</v>
      </c>
      <c r="C620" s="3">
        <v>0.32853801032222513</v>
      </c>
      <c r="R620" t="s">
        <v>513</v>
      </c>
      <c r="S620" s="11">
        <v>-1.8971068269744671</v>
      </c>
      <c r="T620" s="3">
        <v>0.15383559011563189</v>
      </c>
      <c r="U620" t="s">
        <v>539</v>
      </c>
    </row>
    <row r="621" spans="1:21" x14ac:dyDescent="0.25">
      <c r="A621" t="s">
        <v>517</v>
      </c>
      <c r="B621" s="11">
        <v>-1.918681058644661</v>
      </c>
      <c r="C621" s="3">
        <v>0.59400519878475677</v>
      </c>
      <c r="R621" t="s">
        <v>513</v>
      </c>
      <c r="S621" s="11">
        <v>2.131185271553715</v>
      </c>
      <c r="T621" s="3">
        <v>0.1192093376137723</v>
      </c>
      <c r="U621" t="s">
        <v>539</v>
      </c>
    </row>
    <row r="622" spans="1:21" x14ac:dyDescent="0.25">
      <c r="A622" t="s">
        <v>517</v>
      </c>
      <c r="B622" s="11">
        <v>-1.5583513617724549</v>
      </c>
      <c r="C622" s="3">
        <v>0.99035256236056901</v>
      </c>
      <c r="R622" t="s">
        <v>513</v>
      </c>
      <c r="S622" s="11">
        <v>-2.8547383922917069</v>
      </c>
      <c r="T622" s="3">
        <v>0.35471954646808929</v>
      </c>
      <c r="U622" t="s">
        <v>539</v>
      </c>
    </row>
    <row r="623" spans="1:21" x14ac:dyDescent="0.25">
      <c r="A623" t="s">
        <v>517</v>
      </c>
      <c r="B623" s="11">
        <v>-1.632047850432462</v>
      </c>
      <c r="C623" s="3">
        <v>0.181922126752776</v>
      </c>
      <c r="R623" t="s">
        <v>513</v>
      </c>
      <c r="S623" s="11">
        <v>0.78398315001304442</v>
      </c>
      <c r="T623" s="3">
        <v>0.40433955316321268</v>
      </c>
      <c r="U623" t="s">
        <v>539</v>
      </c>
    </row>
    <row r="624" spans="1:21" x14ac:dyDescent="0.25">
      <c r="A624" t="s">
        <v>517</v>
      </c>
      <c r="B624" s="11">
        <v>-2.1056771566676491</v>
      </c>
      <c r="C624" s="3">
        <v>0.42578094499293179</v>
      </c>
      <c r="R624" t="s">
        <v>513</v>
      </c>
      <c r="S624" s="11">
        <v>2.6243257885800322</v>
      </c>
      <c r="T624" s="3">
        <v>0.92948158652986834</v>
      </c>
      <c r="U624" t="s">
        <v>539</v>
      </c>
    </row>
    <row r="625" spans="1:21" x14ac:dyDescent="0.25">
      <c r="A625" t="s">
        <v>517</v>
      </c>
      <c r="B625" s="11">
        <v>-1.0242315849636621</v>
      </c>
      <c r="C625" s="3">
        <v>0.1073546372966605</v>
      </c>
      <c r="R625" t="s">
        <v>513</v>
      </c>
      <c r="S625" s="11">
        <v>1.457838700303298</v>
      </c>
      <c r="T625" s="3">
        <v>0.35397557954965891</v>
      </c>
      <c r="U625" t="s">
        <v>539</v>
      </c>
    </row>
    <row r="626" spans="1:21" x14ac:dyDescent="0.25">
      <c r="A626" t="s">
        <v>517</v>
      </c>
      <c r="B626" s="11">
        <v>-1.9803603690131639</v>
      </c>
      <c r="C626" s="3">
        <v>0.96690021995709474</v>
      </c>
      <c r="R626" t="s">
        <v>513</v>
      </c>
      <c r="S626" s="11">
        <v>1.7790576048985629</v>
      </c>
      <c r="T626" s="3">
        <v>0.92366180927910158</v>
      </c>
      <c r="U626" t="s">
        <v>539</v>
      </c>
    </row>
    <row r="627" spans="1:21" x14ac:dyDescent="0.25">
      <c r="A627" t="s">
        <v>517</v>
      </c>
      <c r="B627" s="11">
        <v>-1.987727853356257</v>
      </c>
      <c r="C627" s="3">
        <v>0.68064192853901861</v>
      </c>
      <c r="R627" t="s">
        <v>513</v>
      </c>
      <c r="S627" s="11">
        <v>1.6992493701738289</v>
      </c>
      <c r="T627" s="3">
        <v>0.44835388907017598</v>
      </c>
      <c r="U627" t="s">
        <v>539</v>
      </c>
    </row>
    <row r="628" spans="1:21" x14ac:dyDescent="0.25">
      <c r="A628" t="s">
        <v>517</v>
      </c>
      <c r="B628" s="11">
        <v>-1.415302180733955</v>
      </c>
      <c r="C628" s="3">
        <v>0.6507664077012254</v>
      </c>
      <c r="R628" t="s">
        <v>513</v>
      </c>
      <c r="S628" s="11">
        <v>-0.87713752912501552</v>
      </c>
      <c r="T628" s="3">
        <v>0.1322829447055649</v>
      </c>
      <c r="U628" t="s">
        <v>539</v>
      </c>
    </row>
    <row r="629" spans="1:21" x14ac:dyDescent="0.25">
      <c r="A629" t="s">
        <v>517</v>
      </c>
      <c r="B629" s="11">
        <v>-1.8483404018130101</v>
      </c>
      <c r="C629" s="3">
        <v>0.92867123352724268</v>
      </c>
      <c r="R629" t="s">
        <v>513</v>
      </c>
      <c r="S629" s="11">
        <v>-3.071232862873968</v>
      </c>
      <c r="T629" s="3">
        <v>0.54298250440673823</v>
      </c>
      <c r="U629" t="s">
        <v>539</v>
      </c>
    </row>
    <row r="630" spans="1:21" x14ac:dyDescent="0.25">
      <c r="A630" t="s">
        <v>518</v>
      </c>
      <c r="B630" s="11">
        <v>-0.2357474246101339</v>
      </c>
      <c r="C630" s="3">
        <v>0.22870846034528461</v>
      </c>
      <c r="R630" t="s">
        <v>513</v>
      </c>
      <c r="S630" s="11">
        <v>-1.4163890424090451</v>
      </c>
      <c r="T630" s="3">
        <v>0.98296832098831999</v>
      </c>
      <c r="U630" t="s">
        <v>539</v>
      </c>
    </row>
    <row r="631" spans="1:21" x14ac:dyDescent="0.25">
      <c r="A631" t="s">
        <v>518</v>
      </c>
      <c r="B631" s="11">
        <v>-0.21854313999542949</v>
      </c>
      <c r="C631" s="3">
        <v>0.17826894991460529</v>
      </c>
      <c r="R631" t="s">
        <v>513</v>
      </c>
      <c r="S631" s="11">
        <v>-3.73363461626065</v>
      </c>
      <c r="T631" s="3">
        <v>0.2364424124269455</v>
      </c>
      <c r="U631" t="s">
        <v>539</v>
      </c>
    </row>
    <row r="632" spans="1:21" x14ac:dyDescent="0.25">
      <c r="A632" t="s">
        <v>518</v>
      </c>
      <c r="B632" s="11">
        <v>-0.21832103798777139</v>
      </c>
      <c r="C632" s="3">
        <v>0.13939834915146149</v>
      </c>
      <c r="R632" t="s">
        <v>513</v>
      </c>
      <c r="S632" s="11">
        <v>1.519387790181109</v>
      </c>
      <c r="T632" s="3">
        <v>0.1010331424755098</v>
      </c>
      <c r="U632" t="s">
        <v>539</v>
      </c>
    </row>
    <row r="633" spans="1:21" x14ac:dyDescent="0.25">
      <c r="A633" t="s">
        <v>518</v>
      </c>
      <c r="B633" s="11">
        <v>-0.44706341626981078</v>
      </c>
      <c r="C633" s="3">
        <v>0.93425399770073236</v>
      </c>
      <c r="R633" t="s">
        <v>513</v>
      </c>
      <c r="S633" s="11">
        <v>2.6063924597651611</v>
      </c>
      <c r="T633" s="3">
        <v>0.77288106209373775</v>
      </c>
      <c r="U633" t="s">
        <v>539</v>
      </c>
    </row>
    <row r="634" spans="1:21" x14ac:dyDescent="0.25">
      <c r="A634" t="s">
        <v>518</v>
      </c>
      <c r="B634" s="11">
        <v>-0.30240703826270532</v>
      </c>
      <c r="C634" s="3">
        <v>0.46643423991917787</v>
      </c>
      <c r="R634" t="s">
        <v>513</v>
      </c>
      <c r="S634" s="11">
        <v>2.3511753135305038</v>
      </c>
      <c r="T634" s="3">
        <v>0.83440471082587475</v>
      </c>
      <c r="U634" t="s">
        <v>539</v>
      </c>
    </row>
    <row r="635" spans="1:21" x14ac:dyDescent="0.25">
      <c r="A635" t="s">
        <v>518</v>
      </c>
      <c r="B635" s="11">
        <v>-0.45956762010466029</v>
      </c>
      <c r="C635" s="3">
        <v>0.70283952218119539</v>
      </c>
      <c r="R635" t="s">
        <v>513</v>
      </c>
      <c r="S635" s="11">
        <v>-1.839364613331046</v>
      </c>
      <c r="T635" s="3">
        <v>0.42773429932738999</v>
      </c>
      <c r="U635" t="s">
        <v>539</v>
      </c>
    </row>
    <row r="636" spans="1:21" x14ac:dyDescent="0.25">
      <c r="A636" t="s">
        <v>518</v>
      </c>
      <c r="B636" s="11">
        <v>-0.213065450692945</v>
      </c>
      <c r="C636" s="3">
        <v>0.1705724192823794</v>
      </c>
      <c r="R636" t="s">
        <v>513</v>
      </c>
      <c r="S636" s="11">
        <v>2.1302915643808591</v>
      </c>
      <c r="T636" s="3">
        <v>0.61717013705295098</v>
      </c>
      <c r="U636" t="s">
        <v>539</v>
      </c>
    </row>
    <row r="637" spans="1:21" x14ac:dyDescent="0.25">
      <c r="A637" t="s">
        <v>518</v>
      </c>
      <c r="B637" s="11">
        <v>-0.30884379477084989</v>
      </c>
      <c r="C637" s="3">
        <v>0.67250802584224512</v>
      </c>
      <c r="R637" t="s">
        <v>513</v>
      </c>
      <c r="S637" s="11">
        <v>-2.0316330743377549</v>
      </c>
      <c r="T637" s="3">
        <v>0.1749443239595754</v>
      </c>
      <c r="U637" t="s">
        <v>539</v>
      </c>
    </row>
    <row r="638" spans="1:21" x14ac:dyDescent="0.25">
      <c r="A638" t="s">
        <v>518</v>
      </c>
      <c r="B638" s="11">
        <v>-0.25379337006433289</v>
      </c>
      <c r="C638" s="3">
        <v>0.1322829447055649</v>
      </c>
      <c r="R638" t="s">
        <v>513</v>
      </c>
      <c r="S638" s="11">
        <v>-3.5345529869705552</v>
      </c>
      <c r="T638" s="3">
        <v>0.86655857869174824</v>
      </c>
      <c r="U638" t="s">
        <v>539</v>
      </c>
    </row>
    <row r="639" spans="1:21" x14ac:dyDescent="0.25">
      <c r="A639" t="s">
        <v>518</v>
      </c>
      <c r="B639" s="11">
        <v>-0.28779546337066719</v>
      </c>
      <c r="C639" s="3">
        <v>0.60240763309890277</v>
      </c>
      <c r="R639" t="s">
        <v>513</v>
      </c>
      <c r="S639" s="11">
        <v>-2.9817457107622021</v>
      </c>
      <c r="T639" s="3">
        <v>0.65469998820211983</v>
      </c>
      <c r="U639" t="s">
        <v>539</v>
      </c>
    </row>
    <row r="640" spans="1:21" x14ac:dyDescent="0.25">
      <c r="A640" t="s">
        <v>518</v>
      </c>
      <c r="B640" s="11">
        <v>-0.45385839496753949</v>
      </c>
      <c r="C640" s="3">
        <v>0.98296832098831999</v>
      </c>
      <c r="R640" t="s">
        <v>513</v>
      </c>
      <c r="S640" s="11">
        <v>-1.6459143377110059</v>
      </c>
      <c r="T640" s="3">
        <v>0.34793509357718172</v>
      </c>
      <c r="U640" t="s">
        <v>539</v>
      </c>
    </row>
    <row r="641" spans="1:21" x14ac:dyDescent="0.25">
      <c r="A641" t="s">
        <v>518</v>
      </c>
      <c r="B641" s="11">
        <v>-0.31025289764972819</v>
      </c>
      <c r="C641" s="3">
        <v>0.42773429932738999</v>
      </c>
      <c r="R641" t="s">
        <v>513</v>
      </c>
      <c r="S641" s="11">
        <v>-1.3343012070466791</v>
      </c>
      <c r="T641" s="3">
        <v>0.1089686379392189</v>
      </c>
      <c r="U641" t="s">
        <v>539</v>
      </c>
    </row>
    <row r="642" spans="1:21" x14ac:dyDescent="0.25">
      <c r="A642" t="s">
        <v>518</v>
      </c>
      <c r="B642" s="11">
        <v>-0.22812127442205099</v>
      </c>
      <c r="C642" s="3">
        <v>0.1978391265072644</v>
      </c>
      <c r="R642" t="s">
        <v>513</v>
      </c>
      <c r="S642" s="11">
        <v>-2.483819302921678</v>
      </c>
      <c r="T642" s="3">
        <v>0.87576732752300213</v>
      </c>
      <c r="U642" t="s">
        <v>539</v>
      </c>
    </row>
    <row r="643" spans="1:21" x14ac:dyDescent="0.25">
      <c r="A643" t="s">
        <v>518</v>
      </c>
      <c r="B643" s="11">
        <v>-0.21827705970027511</v>
      </c>
      <c r="C643" s="3">
        <v>0.74244149323312658</v>
      </c>
      <c r="R643" t="s">
        <v>513</v>
      </c>
      <c r="S643" s="11">
        <v>-3.0507237884645639</v>
      </c>
      <c r="T643" s="3">
        <v>0.51882396988385682</v>
      </c>
      <c r="U643" t="s">
        <v>539</v>
      </c>
    </row>
    <row r="644" spans="1:21" x14ac:dyDescent="0.25">
      <c r="A644" t="s">
        <v>518</v>
      </c>
      <c r="B644" s="11">
        <v>-0.20946287149178611</v>
      </c>
      <c r="C644" s="3">
        <v>0.18887930360487901</v>
      </c>
      <c r="R644" t="s">
        <v>513</v>
      </c>
      <c r="S644" s="11">
        <v>-2.134654388387986</v>
      </c>
      <c r="T644" s="3">
        <v>0.1236564146965753</v>
      </c>
      <c r="U644" t="s">
        <v>539</v>
      </c>
    </row>
    <row r="645" spans="1:21" x14ac:dyDescent="0.25">
      <c r="A645" t="s">
        <v>518</v>
      </c>
      <c r="B645" s="11">
        <v>-0.35411937455045239</v>
      </c>
      <c r="C645" s="3">
        <v>0.93008937672037084</v>
      </c>
      <c r="R645" t="s">
        <v>513</v>
      </c>
      <c r="S645" s="11">
        <v>2.7151484083429129</v>
      </c>
      <c r="T645" s="3">
        <v>0.26488058793287189</v>
      </c>
      <c r="U645" t="s">
        <v>539</v>
      </c>
    </row>
    <row r="646" spans="1:21" x14ac:dyDescent="0.25">
      <c r="A646" t="s">
        <v>518</v>
      </c>
      <c r="B646" s="11">
        <v>-0.21846709896690511</v>
      </c>
      <c r="C646" s="3">
        <v>0.68096930218422058</v>
      </c>
      <c r="R646" t="s">
        <v>513</v>
      </c>
      <c r="S646" s="11">
        <v>-0.70456406784123515</v>
      </c>
      <c r="T646" s="3">
        <v>0.72306967803544064</v>
      </c>
      <c r="U646" t="s">
        <v>539</v>
      </c>
    </row>
    <row r="647" spans="1:21" x14ac:dyDescent="0.25">
      <c r="A647" t="s">
        <v>518</v>
      </c>
      <c r="B647" s="11">
        <v>-0.34728058023226732</v>
      </c>
      <c r="C647" s="3">
        <v>0.72306967803544064</v>
      </c>
      <c r="R647" t="s">
        <v>513</v>
      </c>
      <c r="S647" s="11">
        <v>-5.7829556296621742</v>
      </c>
      <c r="T647" s="3">
        <v>0.78980888511177938</v>
      </c>
      <c r="U647" t="s">
        <v>539</v>
      </c>
    </row>
    <row r="648" spans="1:21" x14ac:dyDescent="0.25">
      <c r="A648" t="s">
        <v>518</v>
      </c>
      <c r="B648" s="11">
        <v>-0.20608812183672059</v>
      </c>
      <c r="C648" s="3">
        <v>0.63601653754895393</v>
      </c>
      <c r="R648" t="s">
        <v>513</v>
      </c>
      <c r="S648" s="11">
        <v>-3.322085199315179</v>
      </c>
      <c r="T648" s="3">
        <v>0.59667636451878903</v>
      </c>
      <c r="U648" t="s">
        <v>539</v>
      </c>
    </row>
    <row r="649" spans="1:21" x14ac:dyDescent="0.25">
      <c r="A649" t="s">
        <v>518</v>
      </c>
      <c r="B649" s="11">
        <v>-0.26709523250466949</v>
      </c>
      <c r="C649" s="3">
        <v>0.1200003797312796</v>
      </c>
      <c r="R649" t="s">
        <v>513</v>
      </c>
      <c r="S649" s="11">
        <v>-3.3568277979685321</v>
      </c>
      <c r="T649" s="3">
        <v>0.22522084232072309</v>
      </c>
      <c r="U649" t="s">
        <v>539</v>
      </c>
    </row>
    <row r="650" spans="1:21" x14ac:dyDescent="0.25">
      <c r="A650" t="s">
        <v>518</v>
      </c>
      <c r="B650" s="11">
        <v>-0.36015393358388192</v>
      </c>
      <c r="C650" s="3">
        <v>0.76946225597381357</v>
      </c>
      <c r="R650" t="s">
        <v>513</v>
      </c>
      <c r="S650" s="11">
        <v>-2.711690424912633</v>
      </c>
      <c r="T650" s="3">
        <v>0.93273414114997388</v>
      </c>
      <c r="U650" t="s">
        <v>539</v>
      </c>
    </row>
    <row r="651" spans="1:21" x14ac:dyDescent="0.25">
      <c r="A651" t="s">
        <v>518</v>
      </c>
      <c r="B651" s="11">
        <v>-0.56575731660484163</v>
      </c>
      <c r="C651" s="3">
        <v>0.99142877280429653</v>
      </c>
      <c r="R651" t="s">
        <v>513</v>
      </c>
      <c r="S651" s="11">
        <v>2.7675681642708989</v>
      </c>
      <c r="T651" s="3">
        <v>0.1079884377822322</v>
      </c>
      <c r="U651" t="s">
        <v>539</v>
      </c>
    </row>
    <row r="652" spans="1:21" x14ac:dyDescent="0.25">
      <c r="A652" t="s">
        <v>518</v>
      </c>
      <c r="B652" s="11">
        <v>-0.37706060046454049</v>
      </c>
      <c r="C652" s="3">
        <v>0.96526539046505389</v>
      </c>
      <c r="R652" t="s">
        <v>513</v>
      </c>
      <c r="S652" s="11">
        <v>-3.8774023670226239</v>
      </c>
      <c r="T652" s="3">
        <v>0.99475080767461654</v>
      </c>
      <c r="U652" t="s">
        <v>539</v>
      </c>
    </row>
    <row r="653" spans="1:21" x14ac:dyDescent="0.25">
      <c r="A653" t="s">
        <v>518</v>
      </c>
      <c r="B653" s="11">
        <v>-0.3485099936262781</v>
      </c>
      <c r="C653" s="3">
        <v>0.17383620142765499</v>
      </c>
      <c r="R653" t="s">
        <v>513</v>
      </c>
      <c r="S653" s="11">
        <v>-4.6237463375664074</v>
      </c>
      <c r="T653" s="3">
        <v>0.1200003797312796</v>
      </c>
      <c r="U653" t="s">
        <v>539</v>
      </c>
    </row>
    <row r="654" spans="1:21" x14ac:dyDescent="0.25">
      <c r="A654" t="s">
        <v>518</v>
      </c>
      <c r="B654" s="11">
        <v>-0.20491190142881599</v>
      </c>
      <c r="C654" s="3">
        <v>0.67582937002005616</v>
      </c>
      <c r="R654" t="s">
        <v>513</v>
      </c>
      <c r="S654" s="11">
        <v>-2.9011474490714049</v>
      </c>
      <c r="T654" s="3">
        <v>0.99142877280429653</v>
      </c>
      <c r="U654" t="s">
        <v>539</v>
      </c>
    </row>
    <row r="655" spans="1:21" x14ac:dyDescent="0.25">
      <c r="A655" t="s">
        <v>518</v>
      </c>
      <c r="B655" s="11">
        <v>-0.24813344676963059</v>
      </c>
      <c r="C655" s="3">
        <v>0.84972860740667733</v>
      </c>
      <c r="R655" t="s">
        <v>513</v>
      </c>
      <c r="S655" s="11">
        <v>-1.776864754107673</v>
      </c>
      <c r="T655" s="3">
        <v>0.57852574224514441</v>
      </c>
      <c r="U655" t="s">
        <v>539</v>
      </c>
    </row>
    <row r="656" spans="1:21" x14ac:dyDescent="0.25">
      <c r="A656" t="s">
        <v>519</v>
      </c>
      <c r="B656" s="11">
        <v>1.057062595641554</v>
      </c>
      <c r="C656" s="3">
        <v>0.22870846034528461</v>
      </c>
      <c r="R656" t="s">
        <v>513</v>
      </c>
      <c r="S656" s="11">
        <v>-2.446767602336235</v>
      </c>
      <c r="T656" s="3">
        <v>0.59400519878475677</v>
      </c>
      <c r="U656" t="s">
        <v>539</v>
      </c>
    </row>
    <row r="657" spans="1:21" x14ac:dyDescent="0.25">
      <c r="A657" t="s">
        <v>519</v>
      </c>
      <c r="B657" s="11">
        <v>4.2117000407472931</v>
      </c>
      <c r="C657" s="3">
        <v>0.3056650509059145</v>
      </c>
      <c r="R657" t="s">
        <v>513</v>
      </c>
      <c r="S657" s="11">
        <v>-1.8071652371020051</v>
      </c>
      <c r="T657" s="3">
        <v>0.42578094499293179</v>
      </c>
      <c r="U657" t="s">
        <v>539</v>
      </c>
    </row>
    <row r="658" spans="1:21" x14ac:dyDescent="0.25">
      <c r="A658" t="s">
        <v>519</v>
      </c>
      <c r="B658" s="11">
        <v>3.575261251577063</v>
      </c>
      <c r="C658" s="3">
        <v>0.1184825353029758</v>
      </c>
      <c r="R658" t="s">
        <v>513</v>
      </c>
      <c r="S658" s="11">
        <v>-3.991185691620772</v>
      </c>
      <c r="T658" s="3">
        <v>0.96690021995709474</v>
      </c>
      <c r="U658" t="s">
        <v>539</v>
      </c>
    </row>
    <row r="659" spans="1:21" x14ac:dyDescent="0.25">
      <c r="A659" t="s">
        <v>519</v>
      </c>
      <c r="B659" s="11">
        <v>5.7153887864091262</v>
      </c>
      <c r="C659" s="3">
        <v>0.54644476446835677</v>
      </c>
      <c r="R659" t="s">
        <v>513</v>
      </c>
      <c r="S659" s="11">
        <v>-4.1776959938453304</v>
      </c>
      <c r="T659" s="3">
        <v>0.68064192853901861</v>
      </c>
      <c r="U659" t="s">
        <v>539</v>
      </c>
    </row>
    <row r="660" spans="1:21" x14ac:dyDescent="0.25">
      <c r="A660" t="s">
        <v>519</v>
      </c>
      <c r="B660" s="11">
        <v>2.919188381079183</v>
      </c>
      <c r="C660" s="3">
        <v>0.41318683633122649</v>
      </c>
      <c r="R660" t="s">
        <v>513</v>
      </c>
      <c r="S660" s="11">
        <v>-1.2209094869000181</v>
      </c>
      <c r="T660" s="3">
        <v>0.1850378219080894</v>
      </c>
      <c r="U660" t="s">
        <v>539</v>
      </c>
    </row>
    <row r="661" spans="1:21" x14ac:dyDescent="0.25">
      <c r="A661" t="s">
        <v>519</v>
      </c>
      <c r="B661" s="11">
        <v>-7.984914733646443</v>
      </c>
      <c r="C661" s="3">
        <v>0.49507328748030371</v>
      </c>
      <c r="R661" t="s">
        <v>513</v>
      </c>
      <c r="S661" s="11">
        <v>-1.0232208618729219</v>
      </c>
      <c r="T661" s="3">
        <v>0.84972860740667733</v>
      </c>
      <c r="U661" t="s">
        <v>539</v>
      </c>
    </row>
    <row r="662" spans="1:21" x14ac:dyDescent="0.25">
      <c r="A662" t="s">
        <v>519</v>
      </c>
      <c r="B662" s="11">
        <v>4.1523168535088768</v>
      </c>
      <c r="C662" s="3">
        <v>0.38861666717650928</v>
      </c>
      <c r="R662" t="s">
        <v>508</v>
      </c>
      <c r="S662" s="11">
        <v>-0.45696206949352802</v>
      </c>
      <c r="T662" s="3">
        <v>0.22870846034528461</v>
      </c>
      <c r="U662" t="s">
        <v>540</v>
      </c>
    </row>
    <row r="663" spans="1:21" x14ac:dyDescent="0.25">
      <c r="A663" t="s">
        <v>519</v>
      </c>
      <c r="B663" s="11">
        <v>5.2734506064755804</v>
      </c>
      <c r="C663" s="3">
        <v>0.52528544664079668</v>
      </c>
      <c r="R663" t="s">
        <v>508</v>
      </c>
      <c r="S663" s="11">
        <v>-0.74749899254574081</v>
      </c>
      <c r="T663" s="3">
        <v>0.45541967084629342</v>
      </c>
      <c r="U663" t="s">
        <v>540</v>
      </c>
    </row>
    <row r="664" spans="1:21" x14ac:dyDescent="0.25">
      <c r="A664" t="s">
        <v>519</v>
      </c>
      <c r="B664" s="11">
        <v>1.9453612397871569</v>
      </c>
      <c r="C664" s="3">
        <v>0.45483383074542522</v>
      </c>
      <c r="R664" t="s">
        <v>508</v>
      </c>
      <c r="S664" s="11">
        <v>-1.5581219972256539</v>
      </c>
      <c r="T664" s="3">
        <v>0.49507328748030371</v>
      </c>
      <c r="U664" t="s">
        <v>540</v>
      </c>
    </row>
    <row r="665" spans="1:21" x14ac:dyDescent="0.25">
      <c r="A665" t="s">
        <v>519</v>
      </c>
      <c r="B665" s="11">
        <v>-5.2808386260393974</v>
      </c>
      <c r="C665" s="3">
        <v>0.59529622921894798</v>
      </c>
      <c r="R665" t="s">
        <v>508</v>
      </c>
      <c r="S665" s="11">
        <v>-0.59896323234112292</v>
      </c>
      <c r="T665" s="3">
        <v>0.45483383074542522</v>
      </c>
      <c r="U665" t="s">
        <v>540</v>
      </c>
    </row>
    <row r="666" spans="1:21" x14ac:dyDescent="0.25">
      <c r="A666" t="s">
        <v>519</v>
      </c>
      <c r="B666" s="11">
        <v>-7.1591617925057598</v>
      </c>
      <c r="C666" s="3">
        <v>0.81618489217664858</v>
      </c>
      <c r="R666" t="s">
        <v>508</v>
      </c>
      <c r="S666" s="11">
        <v>-1.1487812989509181</v>
      </c>
      <c r="T666" s="3">
        <v>0.59529622921894798</v>
      </c>
      <c r="U666" t="s">
        <v>540</v>
      </c>
    </row>
    <row r="667" spans="1:21" x14ac:dyDescent="0.25">
      <c r="A667" t="s">
        <v>519</v>
      </c>
      <c r="B667" s="11">
        <v>0.71080044440910073</v>
      </c>
      <c r="C667" s="3">
        <v>0.1899297237265645</v>
      </c>
      <c r="R667" t="s">
        <v>508</v>
      </c>
      <c r="S667" s="11">
        <v>-2.2374106342486999</v>
      </c>
      <c r="T667" s="3">
        <v>0.81618489217664858</v>
      </c>
      <c r="U667" t="s">
        <v>540</v>
      </c>
    </row>
    <row r="668" spans="1:21" x14ac:dyDescent="0.25">
      <c r="A668" t="s">
        <v>519</v>
      </c>
      <c r="B668" s="11">
        <v>3.9976075479904152</v>
      </c>
      <c r="C668" s="3">
        <v>0.24638540345356849</v>
      </c>
      <c r="R668" t="s">
        <v>508</v>
      </c>
      <c r="S668" s="11">
        <v>-0.83667616101502773</v>
      </c>
      <c r="T668" s="3">
        <v>0.1899297237265645</v>
      </c>
      <c r="U668" t="s">
        <v>540</v>
      </c>
    </row>
    <row r="669" spans="1:21" x14ac:dyDescent="0.25">
      <c r="A669" t="s">
        <v>519</v>
      </c>
      <c r="B669" s="11">
        <v>-2.7301119852740601</v>
      </c>
      <c r="C669" s="3">
        <v>0.56996931103138504</v>
      </c>
      <c r="R669" t="s">
        <v>508</v>
      </c>
      <c r="S669" s="11">
        <v>-0.31102325633392558</v>
      </c>
      <c r="T669" s="3">
        <v>0.56996931103138504</v>
      </c>
      <c r="U669" t="s">
        <v>540</v>
      </c>
    </row>
    <row r="670" spans="1:21" x14ac:dyDescent="0.25">
      <c r="A670" t="s">
        <v>519</v>
      </c>
      <c r="B670" s="11">
        <v>4.6858643701682272</v>
      </c>
      <c r="C670" s="3">
        <v>0.79241537964468156</v>
      </c>
      <c r="R670" t="s">
        <v>508</v>
      </c>
      <c r="S670" s="11">
        <v>-0.76490813049210404</v>
      </c>
      <c r="T670" s="3">
        <v>0.7960755495187013</v>
      </c>
      <c r="U670" t="s">
        <v>540</v>
      </c>
    </row>
    <row r="671" spans="1:21" x14ac:dyDescent="0.25">
      <c r="A671" t="s">
        <v>519</v>
      </c>
      <c r="B671" s="11">
        <v>0.61150493903829528</v>
      </c>
      <c r="C671" s="3">
        <v>0.21844847365283029</v>
      </c>
      <c r="R671" t="s">
        <v>508</v>
      </c>
      <c r="S671" s="11">
        <v>-0.3256959593048952</v>
      </c>
      <c r="T671" s="3">
        <v>0.21869162198824671</v>
      </c>
      <c r="U671" t="s">
        <v>540</v>
      </c>
    </row>
    <row r="672" spans="1:21" x14ac:dyDescent="0.25">
      <c r="A672" t="s">
        <v>519</v>
      </c>
      <c r="B672" s="11">
        <v>2.8932450074439311</v>
      </c>
      <c r="C672" s="3">
        <v>0.24155574839601629</v>
      </c>
      <c r="R672" t="s">
        <v>508</v>
      </c>
      <c r="S672" s="11">
        <v>-0.66187798820525734</v>
      </c>
      <c r="T672" s="3">
        <v>0.16241031752135329</v>
      </c>
      <c r="U672" t="s">
        <v>540</v>
      </c>
    </row>
    <row r="673" spans="1:21" x14ac:dyDescent="0.25">
      <c r="A673" t="s">
        <v>519</v>
      </c>
      <c r="B673" s="11">
        <v>3.3807099689686742</v>
      </c>
      <c r="C673" s="3">
        <v>0.31548093049619752</v>
      </c>
      <c r="R673" t="s">
        <v>508</v>
      </c>
      <c r="S673" s="11">
        <v>-0.2407050269126508</v>
      </c>
      <c r="T673" s="3">
        <v>0.20311040955114479</v>
      </c>
      <c r="U673" t="s">
        <v>540</v>
      </c>
    </row>
    <row r="674" spans="1:21" x14ac:dyDescent="0.25">
      <c r="A674" t="s">
        <v>519</v>
      </c>
      <c r="B674" s="11">
        <v>3.9179060677760531</v>
      </c>
      <c r="C674" s="3">
        <v>0.15383559011563189</v>
      </c>
      <c r="R674" t="s">
        <v>508</v>
      </c>
      <c r="S674" s="11">
        <v>-0.76521965285913018</v>
      </c>
      <c r="T674" s="3">
        <v>0.21844847365283029</v>
      </c>
      <c r="U674" t="s">
        <v>540</v>
      </c>
    </row>
    <row r="675" spans="1:21" x14ac:dyDescent="0.25">
      <c r="A675" t="s">
        <v>519</v>
      </c>
      <c r="B675" s="11">
        <v>5.6419120778594136</v>
      </c>
      <c r="C675" s="3">
        <v>0.30349608001371869</v>
      </c>
      <c r="R675" t="s">
        <v>508</v>
      </c>
      <c r="S675" s="11">
        <v>-0.41123220716338388</v>
      </c>
      <c r="T675" s="3">
        <v>0.1304210889068497</v>
      </c>
      <c r="U675" t="s">
        <v>540</v>
      </c>
    </row>
    <row r="676" spans="1:21" x14ac:dyDescent="0.25">
      <c r="A676" t="s">
        <v>519</v>
      </c>
      <c r="B676" s="11">
        <v>3.761541070965396</v>
      </c>
      <c r="C676" s="3">
        <v>0.76150808817919846</v>
      </c>
      <c r="R676" t="s">
        <v>508</v>
      </c>
      <c r="S676" s="11">
        <v>-0.73037351008144613</v>
      </c>
      <c r="T676" s="3">
        <v>0.1158538748540241</v>
      </c>
      <c r="U676" t="s">
        <v>540</v>
      </c>
    </row>
    <row r="677" spans="1:21" x14ac:dyDescent="0.25">
      <c r="A677" t="s">
        <v>519</v>
      </c>
      <c r="B677" s="11">
        <v>-4.1115075869756863</v>
      </c>
      <c r="C677" s="3">
        <v>0.1192093376137723</v>
      </c>
      <c r="R677" t="s">
        <v>508</v>
      </c>
      <c r="S677" s="11">
        <v>-1.647159436597311</v>
      </c>
      <c r="T677" s="3">
        <v>0.1192093376137723</v>
      </c>
      <c r="U677" t="s">
        <v>540</v>
      </c>
    </row>
    <row r="678" spans="1:21" x14ac:dyDescent="0.25">
      <c r="A678" t="s">
        <v>519</v>
      </c>
      <c r="B678" s="11">
        <v>4.3375304583240659</v>
      </c>
      <c r="C678" s="3">
        <v>0.20779136981902099</v>
      </c>
      <c r="R678" t="s">
        <v>508</v>
      </c>
      <c r="S678" s="11">
        <v>-0.31990222524818063</v>
      </c>
      <c r="T678" s="3">
        <v>0.20296775667489009</v>
      </c>
      <c r="U678" t="s">
        <v>540</v>
      </c>
    </row>
    <row r="679" spans="1:21" x14ac:dyDescent="0.25">
      <c r="A679" t="s">
        <v>519</v>
      </c>
      <c r="B679" s="11">
        <v>-8.3309875057339227</v>
      </c>
      <c r="C679" s="3">
        <v>0.28070261930077622</v>
      </c>
      <c r="R679" t="s">
        <v>508</v>
      </c>
      <c r="S679" s="11">
        <v>-1.408426295215631</v>
      </c>
      <c r="T679" s="3">
        <v>0.28070261930077622</v>
      </c>
      <c r="U679" t="s">
        <v>540</v>
      </c>
    </row>
    <row r="680" spans="1:21" x14ac:dyDescent="0.25">
      <c r="A680" t="s">
        <v>519</v>
      </c>
      <c r="B680" s="11">
        <v>1.9894373172813471</v>
      </c>
      <c r="C680" s="3">
        <v>0.40433955316321268</v>
      </c>
      <c r="R680" t="s">
        <v>508</v>
      </c>
      <c r="S680" s="11">
        <v>-0.64954597186176577</v>
      </c>
      <c r="T680" s="3">
        <v>0.40433955316321268</v>
      </c>
      <c r="U680" t="s">
        <v>540</v>
      </c>
    </row>
    <row r="681" spans="1:21" x14ac:dyDescent="0.25">
      <c r="A681" t="s">
        <v>519</v>
      </c>
      <c r="B681" s="11">
        <v>6.7164804514002707</v>
      </c>
      <c r="C681" s="3">
        <v>0.3885011523872004</v>
      </c>
      <c r="R681" t="s">
        <v>508</v>
      </c>
      <c r="S681" s="11">
        <v>-1.3909032519785021</v>
      </c>
      <c r="T681" s="3">
        <v>0.92948158652986834</v>
      </c>
      <c r="U681" t="s">
        <v>540</v>
      </c>
    </row>
    <row r="682" spans="1:21" x14ac:dyDescent="0.25">
      <c r="A682" t="s">
        <v>519</v>
      </c>
      <c r="B682" s="11">
        <v>1.799529550716328</v>
      </c>
      <c r="C682" s="3">
        <v>0.70283952218119539</v>
      </c>
      <c r="R682" t="s">
        <v>508</v>
      </c>
      <c r="S682" s="11">
        <v>-0.87020845926520329</v>
      </c>
      <c r="T682" s="3">
        <v>0.35397557954965891</v>
      </c>
      <c r="U682" t="s">
        <v>540</v>
      </c>
    </row>
    <row r="683" spans="1:21" x14ac:dyDescent="0.25">
      <c r="A683" t="s">
        <v>519</v>
      </c>
      <c r="B683" s="11">
        <v>-5.5213332242099789</v>
      </c>
      <c r="C683" s="3">
        <v>0.92366180927910158</v>
      </c>
      <c r="R683" t="s">
        <v>508</v>
      </c>
      <c r="S683" s="11">
        <v>-0.73250849547157448</v>
      </c>
      <c r="T683" s="3">
        <v>0.1705724192823794</v>
      </c>
      <c r="U683" t="s">
        <v>540</v>
      </c>
    </row>
    <row r="684" spans="1:21" x14ac:dyDescent="0.25">
      <c r="A684" t="s">
        <v>519</v>
      </c>
      <c r="B684" s="11">
        <v>3.1322030136881529</v>
      </c>
      <c r="C684" s="3">
        <v>0.44835388907017598</v>
      </c>
      <c r="R684" t="s">
        <v>508</v>
      </c>
      <c r="S684" s="11">
        <v>-2.1866337269569249</v>
      </c>
      <c r="T684" s="3">
        <v>0.92366180927910158</v>
      </c>
      <c r="U684" t="s">
        <v>540</v>
      </c>
    </row>
    <row r="685" spans="1:21" x14ac:dyDescent="0.25">
      <c r="A685" t="s">
        <v>519</v>
      </c>
      <c r="B685" s="11">
        <v>3.2405584181098939</v>
      </c>
      <c r="C685" s="3">
        <v>0.41291969695462732</v>
      </c>
      <c r="R685" t="s">
        <v>508</v>
      </c>
      <c r="S685" s="11">
        <v>-0.73322068438001775</v>
      </c>
      <c r="T685" s="3">
        <v>0.44835388907017598</v>
      </c>
      <c r="U685" t="s">
        <v>540</v>
      </c>
    </row>
    <row r="686" spans="1:21" x14ac:dyDescent="0.25">
      <c r="A686" t="s">
        <v>519</v>
      </c>
      <c r="B686" s="11">
        <v>6.2874874367196201</v>
      </c>
      <c r="C686" s="3">
        <v>0.72601770791125975</v>
      </c>
      <c r="R686" t="s">
        <v>508</v>
      </c>
      <c r="S686" s="11">
        <v>-0.58176155556886089</v>
      </c>
      <c r="T686" s="3">
        <v>0.60240763309890277</v>
      </c>
      <c r="U686" t="s">
        <v>540</v>
      </c>
    </row>
    <row r="687" spans="1:21" x14ac:dyDescent="0.25">
      <c r="A687" t="s">
        <v>519</v>
      </c>
      <c r="B687" s="11">
        <v>5.982404616976809</v>
      </c>
      <c r="C687" s="3">
        <v>0.85070183091983609</v>
      </c>
      <c r="R687" t="s">
        <v>508</v>
      </c>
      <c r="S687" s="11">
        <v>-1.0099431466971349</v>
      </c>
      <c r="T687" s="3">
        <v>0.20949723418173821</v>
      </c>
      <c r="U687" t="s">
        <v>540</v>
      </c>
    </row>
    <row r="688" spans="1:21" x14ac:dyDescent="0.25">
      <c r="A688" t="s">
        <v>519</v>
      </c>
      <c r="B688" s="11">
        <v>7.1378200041384856</v>
      </c>
      <c r="C688" s="3">
        <v>0.3924030271803659</v>
      </c>
      <c r="R688" t="s">
        <v>508</v>
      </c>
      <c r="S688" s="11">
        <v>-0.91213094160824937</v>
      </c>
      <c r="T688" s="3">
        <v>0.7506286660757433</v>
      </c>
      <c r="U688" t="s">
        <v>540</v>
      </c>
    </row>
    <row r="689" spans="1:21" x14ac:dyDescent="0.25">
      <c r="A689" t="s">
        <v>519</v>
      </c>
      <c r="B689" s="11">
        <v>4.2695001889084132</v>
      </c>
      <c r="C689" s="3">
        <v>0.22935240254124639</v>
      </c>
      <c r="R689" t="s">
        <v>508</v>
      </c>
      <c r="S689" s="11">
        <v>-0.93140767622855969</v>
      </c>
      <c r="T689" s="3">
        <v>0.20400464726331169</v>
      </c>
      <c r="U689" t="s">
        <v>540</v>
      </c>
    </row>
    <row r="690" spans="1:21" x14ac:dyDescent="0.25">
      <c r="A690" t="s">
        <v>519</v>
      </c>
      <c r="B690" s="11">
        <v>1.731785247623727</v>
      </c>
      <c r="C690" s="3">
        <v>0.98296832098831999</v>
      </c>
      <c r="R690" t="s">
        <v>508</v>
      </c>
      <c r="S690" s="11">
        <v>-0.63903903323138711</v>
      </c>
      <c r="T690" s="3">
        <v>0.1010331424755098</v>
      </c>
      <c r="U690" t="s">
        <v>540</v>
      </c>
    </row>
    <row r="691" spans="1:21" x14ac:dyDescent="0.25">
      <c r="A691" t="s">
        <v>519</v>
      </c>
      <c r="B691" s="11">
        <v>5.7147840565179653</v>
      </c>
      <c r="C691" s="3">
        <v>0.8951374050705958</v>
      </c>
      <c r="R691" t="s">
        <v>508</v>
      </c>
      <c r="S691" s="11">
        <v>-0.66037619758483312</v>
      </c>
      <c r="T691" s="3">
        <v>0.19526767279405</v>
      </c>
      <c r="U691" t="s">
        <v>540</v>
      </c>
    </row>
    <row r="692" spans="1:21" x14ac:dyDescent="0.25">
      <c r="A692" t="s">
        <v>519</v>
      </c>
      <c r="B692" s="11">
        <v>2.5812464862393809</v>
      </c>
      <c r="C692" s="3">
        <v>0.1010331424755098</v>
      </c>
      <c r="R692" t="s">
        <v>508</v>
      </c>
      <c r="S692" s="11">
        <v>-1.190958419430141</v>
      </c>
      <c r="T692" s="3">
        <v>0.83440471082587475</v>
      </c>
      <c r="U692" t="s">
        <v>540</v>
      </c>
    </row>
    <row r="693" spans="1:21" x14ac:dyDescent="0.25">
      <c r="A693" t="s">
        <v>519</v>
      </c>
      <c r="B693" s="11">
        <v>6.1827508158226117</v>
      </c>
      <c r="C693" s="3">
        <v>0.77288106209373775</v>
      </c>
      <c r="R693" t="s">
        <v>508</v>
      </c>
      <c r="S693" s="11">
        <v>-0.79757900592470321</v>
      </c>
      <c r="T693" s="3">
        <v>0.43627892152177872</v>
      </c>
      <c r="U693" t="s">
        <v>540</v>
      </c>
    </row>
    <row r="694" spans="1:21" x14ac:dyDescent="0.25">
      <c r="A694" t="s">
        <v>519</v>
      </c>
      <c r="B694" s="11">
        <v>5.6802403728037456</v>
      </c>
      <c r="C694" s="3">
        <v>0.61717013705295098</v>
      </c>
      <c r="R694" t="s">
        <v>508</v>
      </c>
      <c r="S694" s="11">
        <v>-0.44005032982808728</v>
      </c>
      <c r="T694" s="3">
        <v>0.1978391265072644</v>
      </c>
      <c r="U694" t="s">
        <v>540</v>
      </c>
    </row>
    <row r="695" spans="1:21" x14ac:dyDescent="0.25">
      <c r="A695" t="s">
        <v>519</v>
      </c>
      <c r="B695" s="11">
        <v>0.95257834942715569</v>
      </c>
      <c r="C695" s="3">
        <v>0.1978391265072644</v>
      </c>
      <c r="R695" t="s">
        <v>508</v>
      </c>
      <c r="S695" s="11">
        <v>-0.69062507381534877</v>
      </c>
      <c r="T695" s="3">
        <v>0.18887930360487901</v>
      </c>
      <c r="U695" t="s">
        <v>540</v>
      </c>
    </row>
    <row r="696" spans="1:21" x14ac:dyDescent="0.25">
      <c r="A696" t="s">
        <v>519</v>
      </c>
      <c r="B696" s="11">
        <v>2.7988688025391482</v>
      </c>
      <c r="C696" s="3">
        <v>0.74244149323312658</v>
      </c>
      <c r="R696" t="s">
        <v>508</v>
      </c>
      <c r="S696" s="11">
        <v>-1.2415952678354829</v>
      </c>
      <c r="T696" s="3">
        <v>0.68576777898227115</v>
      </c>
      <c r="U696" t="s">
        <v>540</v>
      </c>
    </row>
    <row r="697" spans="1:21" x14ac:dyDescent="0.25">
      <c r="A697" t="s">
        <v>519</v>
      </c>
      <c r="B697" s="11">
        <v>-4.6058966764619846</v>
      </c>
      <c r="C697" s="3">
        <v>0.68576777898227115</v>
      </c>
      <c r="R697" t="s">
        <v>508</v>
      </c>
      <c r="S697" s="11">
        <v>-0.34162165533001582</v>
      </c>
      <c r="T697" s="3">
        <v>0.1638220643998623</v>
      </c>
      <c r="U697" t="s">
        <v>540</v>
      </c>
    </row>
    <row r="698" spans="1:21" x14ac:dyDescent="0.25">
      <c r="A698" t="s">
        <v>519</v>
      </c>
      <c r="B698" s="11">
        <v>3.5270917424235888</v>
      </c>
      <c r="C698" s="3">
        <v>0.34793509357718172</v>
      </c>
      <c r="R698" t="s">
        <v>508</v>
      </c>
      <c r="S698" s="11">
        <v>-0.98775579125705493</v>
      </c>
      <c r="T698" s="3">
        <v>0.80244896685013978</v>
      </c>
      <c r="U698" t="s">
        <v>540</v>
      </c>
    </row>
    <row r="699" spans="1:21" x14ac:dyDescent="0.25">
      <c r="A699" t="s">
        <v>519</v>
      </c>
      <c r="B699" s="11">
        <v>3.1227211697394068</v>
      </c>
      <c r="C699" s="3">
        <v>0.1089686379392189</v>
      </c>
      <c r="R699" t="s">
        <v>508</v>
      </c>
      <c r="S699" s="11">
        <v>-0.84155727388848134</v>
      </c>
      <c r="T699" s="3">
        <v>0.2583057538052474</v>
      </c>
      <c r="U699" t="s">
        <v>540</v>
      </c>
    </row>
    <row r="700" spans="1:21" x14ac:dyDescent="0.25">
      <c r="A700" t="s">
        <v>519</v>
      </c>
      <c r="B700" s="11">
        <v>3.3493630876447398</v>
      </c>
      <c r="C700" s="3">
        <v>0.93008937672037084</v>
      </c>
      <c r="R700" t="s">
        <v>508</v>
      </c>
      <c r="S700" s="11">
        <v>-1.206060609499769</v>
      </c>
      <c r="T700" s="3">
        <v>0.70372975816672356</v>
      </c>
      <c r="U700" t="s">
        <v>540</v>
      </c>
    </row>
    <row r="701" spans="1:21" x14ac:dyDescent="0.25">
      <c r="A701" t="s">
        <v>519</v>
      </c>
      <c r="B701" s="11">
        <v>0.56943746562461117</v>
      </c>
      <c r="C701" s="3">
        <v>0.87576732752300213</v>
      </c>
      <c r="R701" t="s">
        <v>508</v>
      </c>
      <c r="S701" s="11">
        <v>-0.45102966091577251</v>
      </c>
      <c r="T701" s="3">
        <v>0.72306967803544064</v>
      </c>
      <c r="U701" t="s">
        <v>540</v>
      </c>
    </row>
    <row r="702" spans="1:21" x14ac:dyDescent="0.25">
      <c r="A702" t="s">
        <v>519</v>
      </c>
      <c r="B702" s="11">
        <v>2.875132517818678</v>
      </c>
      <c r="C702" s="3">
        <v>0.68096930218422058</v>
      </c>
      <c r="R702" t="s">
        <v>508</v>
      </c>
      <c r="S702" s="11">
        <v>-3.446168606598135</v>
      </c>
      <c r="T702" s="3">
        <v>0.84362216814941771</v>
      </c>
      <c r="U702" t="s">
        <v>540</v>
      </c>
    </row>
    <row r="703" spans="1:21" x14ac:dyDescent="0.25">
      <c r="A703" t="s">
        <v>519</v>
      </c>
      <c r="B703" s="11">
        <v>-4.3820417974802357</v>
      </c>
      <c r="C703" s="3">
        <v>0.70372975816672356</v>
      </c>
      <c r="R703" t="s">
        <v>508</v>
      </c>
      <c r="S703" s="11">
        <v>-0.36415934192658661</v>
      </c>
      <c r="T703" s="3">
        <v>0.63601653754895393</v>
      </c>
      <c r="U703" t="s">
        <v>540</v>
      </c>
    </row>
    <row r="704" spans="1:21" x14ac:dyDescent="0.25">
      <c r="A704" t="s">
        <v>519</v>
      </c>
      <c r="B704" s="11">
        <v>5.4205504388920778</v>
      </c>
      <c r="C704" s="3">
        <v>0.26488058793287189</v>
      </c>
      <c r="R704" t="s">
        <v>508</v>
      </c>
      <c r="S704" s="11">
        <v>-0.70055464623294972</v>
      </c>
      <c r="T704" s="3">
        <v>0.96526539046505389</v>
      </c>
      <c r="U704" t="s">
        <v>540</v>
      </c>
    </row>
    <row r="705" spans="1:21" x14ac:dyDescent="0.25">
      <c r="A705" t="s">
        <v>519</v>
      </c>
      <c r="B705" s="11">
        <v>-16.38986519013347</v>
      </c>
      <c r="C705" s="3">
        <v>0.84362216814941771</v>
      </c>
      <c r="R705" t="s">
        <v>508</v>
      </c>
      <c r="S705" s="11">
        <v>-0.35021671956357597</v>
      </c>
      <c r="T705" s="3">
        <v>0.181922126752776</v>
      </c>
      <c r="U705" t="s">
        <v>540</v>
      </c>
    </row>
    <row r="706" spans="1:21" x14ac:dyDescent="0.25">
      <c r="A706" t="s">
        <v>519</v>
      </c>
      <c r="B706" s="11">
        <v>-4.5412595972753049</v>
      </c>
      <c r="C706" s="3">
        <v>0.78980888511177938</v>
      </c>
      <c r="R706" t="s">
        <v>508</v>
      </c>
      <c r="S706" s="11">
        <v>-0.77068670635682235</v>
      </c>
      <c r="T706" s="3">
        <v>0.1073546372966605</v>
      </c>
      <c r="U706" t="s">
        <v>540</v>
      </c>
    </row>
    <row r="707" spans="1:21" x14ac:dyDescent="0.25">
      <c r="A707" t="s">
        <v>519</v>
      </c>
      <c r="B707" s="11">
        <v>3.603738255866392</v>
      </c>
      <c r="C707" s="3">
        <v>0.756197264055957</v>
      </c>
      <c r="R707" t="s">
        <v>508</v>
      </c>
      <c r="S707" s="11">
        <v>-0.3260600099995602</v>
      </c>
      <c r="T707" s="3">
        <v>0.68064192853901861</v>
      </c>
      <c r="U707" t="s">
        <v>540</v>
      </c>
    </row>
    <row r="708" spans="1:21" x14ac:dyDescent="0.25">
      <c r="A708" t="s">
        <v>519</v>
      </c>
      <c r="B708" s="11">
        <v>0.64102350823563892</v>
      </c>
      <c r="C708" s="3">
        <v>0.93273414114997388</v>
      </c>
      <c r="R708" t="s">
        <v>508</v>
      </c>
      <c r="S708" s="11">
        <v>-0.36162701626899652</v>
      </c>
      <c r="T708" s="3">
        <v>0.67582937002005616</v>
      </c>
      <c r="U708" t="s">
        <v>540</v>
      </c>
    </row>
    <row r="709" spans="1:21" x14ac:dyDescent="0.25">
      <c r="A709" t="s">
        <v>519</v>
      </c>
      <c r="B709" s="11">
        <v>4.431713672176965</v>
      </c>
      <c r="C709" s="3">
        <v>0.1079884377822322</v>
      </c>
      <c r="R709" t="s">
        <v>508</v>
      </c>
      <c r="S709" s="11">
        <v>-0.74837499433096122</v>
      </c>
      <c r="T709" s="3">
        <v>0.6507664077012254</v>
      </c>
      <c r="U709" t="s">
        <v>540</v>
      </c>
    </row>
    <row r="710" spans="1:21" x14ac:dyDescent="0.25">
      <c r="A710" t="s">
        <v>519</v>
      </c>
      <c r="B710" s="11">
        <v>2.9688615073999962</v>
      </c>
      <c r="C710" s="3">
        <v>0.23641414744620209</v>
      </c>
      <c r="R710" t="s">
        <v>517</v>
      </c>
      <c r="S710" s="11">
        <v>-1.0974496881624889</v>
      </c>
      <c r="T710" s="3">
        <v>0.22870846034528461</v>
      </c>
      <c r="U710" t="s">
        <v>541</v>
      </c>
    </row>
    <row r="711" spans="1:21" x14ac:dyDescent="0.25">
      <c r="A711" t="s">
        <v>519</v>
      </c>
      <c r="B711" s="11">
        <v>-3.3883377316870611</v>
      </c>
      <c r="C711" s="3">
        <v>0.1200003797312796</v>
      </c>
      <c r="R711" t="s">
        <v>517</v>
      </c>
      <c r="S711" s="11">
        <v>-0.91230769523204946</v>
      </c>
      <c r="T711" s="3">
        <v>0.17826894991460529</v>
      </c>
      <c r="U711" t="s">
        <v>541</v>
      </c>
    </row>
    <row r="712" spans="1:21" x14ac:dyDescent="0.25">
      <c r="A712" t="s">
        <v>519</v>
      </c>
      <c r="B712" s="11">
        <v>3.488097242589816</v>
      </c>
      <c r="C712" s="3">
        <v>0.32853801032222513</v>
      </c>
      <c r="R712" t="s">
        <v>517</v>
      </c>
      <c r="S712" s="11">
        <v>-1.5474770374231761</v>
      </c>
      <c r="T712" s="3">
        <v>0.54644476446835677</v>
      </c>
      <c r="U712" t="s">
        <v>541</v>
      </c>
    </row>
    <row r="713" spans="1:21" x14ac:dyDescent="0.25">
      <c r="A713" t="s">
        <v>519</v>
      </c>
      <c r="B713" s="11">
        <v>6.7351723589370547</v>
      </c>
      <c r="C713" s="3">
        <v>0.96724011899471685</v>
      </c>
      <c r="R713" t="s">
        <v>517</v>
      </c>
      <c r="S713" s="11">
        <v>-1.4771265743058939</v>
      </c>
      <c r="T713" s="3">
        <v>0.41318683633122649</v>
      </c>
      <c r="U713" t="s">
        <v>541</v>
      </c>
    </row>
    <row r="714" spans="1:21" x14ac:dyDescent="0.25">
      <c r="A714" t="s">
        <v>519</v>
      </c>
      <c r="B714" s="11">
        <v>4.707234967181499</v>
      </c>
      <c r="C714" s="3">
        <v>0.57852574224514441</v>
      </c>
      <c r="R714" t="s">
        <v>517</v>
      </c>
      <c r="S714" s="11">
        <v>-2.289757017921167</v>
      </c>
      <c r="T714" s="3">
        <v>0.52528544664079668</v>
      </c>
      <c r="U714" t="s">
        <v>541</v>
      </c>
    </row>
    <row r="715" spans="1:21" x14ac:dyDescent="0.25">
      <c r="A715" t="s">
        <v>519</v>
      </c>
      <c r="B715" s="11">
        <v>7.16445780143939</v>
      </c>
      <c r="C715" s="3">
        <v>0.99035256236056901</v>
      </c>
      <c r="R715" t="s">
        <v>517</v>
      </c>
      <c r="S715" s="11">
        <v>-1.430372237191464</v>
      </c>
      <c r="T715" s="3">
        <v>0.1899297237265645</v>
      </c>
      <c r="U715" t="s">
        <v>541</v>
      </c>
    </row>
    <row r="716" spans="1:21" x14ac:dyDescent="0.25">
      <c r="A716" t="s">
        <v>519</v>
      </c>
      <c r="B716" s="11">
        <v>3.841432535527495</v>
      </c>
      <c r="C716" s="3">
        <v>0.42578094499293179</v>
      </c>
      <c r="R716" t="s">
        <v>517</v>
      </c>
      <c r="S716" s="11">
        <v>-2.2407267316790609</v>
      </c>
      <c r="T716" s="3">
        <v>0.24638540345356849</v>
      </c>
      <c r="U716" t="s">
        <v>541</v>
      </c>
    </row>
    <row r="717" spans="1:21" x14ac:dyDescent="0.25">
      <c r="A717" t="s">
        <v>519</v>
      </c>
      <c r="B717" s="11">
        <v>1.1699729404775061</v>
      </c>
      <c r="C717" s="3">
        <v>0.17383620142765499</v>
      </c>
      <c r="R717" t="s">
        <v>517</v>
      </c>
      <c r="S717" s="11">
        <v>-1.6754513607867321</v>
      </c>
      <c r="T717" s="3">
        <v>0.16241031752135329</v>
      </c>
      <c r="U717" t="s">
        <v>541</v>
      </c>
    </row>
    <row r="718" spans="1:21" x14ac:dyDescent="0.25">
      <c r="A718" t="s">
        <v>519</v>
      </c>
      <c r="B718" s="11">
        <v>-3.483713719559383</v>
      </c>
      <c r="C718" s="3">
        <v>0.68064192853901861</v>
      </c>
      <c r="R718" t="s">
        <v>517</v>
      </c>
      <c r="S718" s="11">
        <v>-1.342422074640107</v>
      </c>
      <c r="T718" s="3">
        <v>0.20311040955114479</v>
      </c>
      <c r="U718" t="s">
        <v>541</v>
      </c>
    </row>
    <row r="719" spans="1:21" x14ac:dyDescent="0.25">
      <c r="A719" t="s">
        <v>519</v>
      </c>
      <c r="B719" s="11">
        <v>5.6434424038592939</v>
      </c>
      <c r="C719" s="3">
        <v>0.84735875113702974</v>
      </c>
      <c r="R719" t="s">
        <v>517</v>
      </c>
      <c r="S719" s="11">
        <v>-1.5053305904204459</v>
      </c>
      <c r="T719" s="3">
        <v>0.21844847365283029</v>
      </c>
      <c r="U719" t="s">
        <v>541</v>
      </c>
    </row>
    <row r="720" spans="1:21" x14ac:dyDescent="0.25">
      <c r="A720" t="s">
        <v>519</v>
      </c>
      <c r="B720" s="11">
        <v>3.019093893929929</v>
      </c>
      <c r="C720" s="3">
        <v>0.1850378219080894</v>
      </c>
      <c r="R720" t="s">
        <v>517</v>
      </c>
      <c r="S720" s="11">
        <v>-0.41780856773318448</v>
      </c>
      <c r="T720" s="3">
        <v>0.1304210889068497</v>
      </c>
      <c r="U720" t="s">
        <v>541</v>
      </c>
    </row>
    <row r="721" spans="1:21" x14ac:dyDescent="0.25">
      <c r="A721" t="s">
        <v>519</v>
      </c>
      <c r="B721" s="11">
        <v>3.4279246744935938</v>
      </c>
      <c r="C721" s="3">
        <v>0.71871414594590854</v>
      </c>
      <c r="R721" t="s">
        <v>517</v>
      </c>
      <c r="S721" s="11">
        <v>-2.2806107104968198</v>
      </c>
      <c r="T721" s="3">
        <v>0.15383559011563189</v>
      </c>
      <c r="U721" t="s">
        <v>541</v>
      </c>
    </row>
    <row r="722" spans="1:21" x14ac:dyDescent="0.25">
      <c r="A722" t="s">
        <v>519</v>
      </c>
      <c r="B722" s="11">
        <v>0.58286574765536947</v>
      </c>
      <c r="C722" s="3">
        <v>0.6507664077012254</v>
      </c>
      <c r="R722" t="s">
        <v>517</v>
      </c>
      <c r="S722" s="11">
        <v>-1.618757416401309</v>
      </c>
      <c r="T722" s="3">
        <v>0.30349608001371869</v>
      </c>
      <c r="U722" t="s">
        <v>541</v>
      </c>
    </row>
    <row r="723" spans="1:21" x14ac:dyDescent="0.25">
      <c r="A723" t="s">
        <v>519</v>
      </c>
      <c r="B723" s="11">
        <v>6.7196220584397226</v>
      </c>
      <c r="C723" s="3">
        <v>0.92867123352724268</v>
      </c>
      <c r="R723" t="s">
        <v>517</v>
      </c>
      <c r="S723" s="11">
        <v>-1.6255195757471821</v>
      </c>
      <c r="T723" s="3">
        <v>0.20779136981902099</v>
      </c>
      <c r="U723" t="s">
        <v>541</v>
      </c>
    </row>
    <row r="724" spans="1:21" x14ac:dyDescent="0.25">
      <c r="A724" t="s">
        <v>520</v>
      </c>
      <c r="B724" s="11">
        <v>2.2208090005790879</v>
      </c>
      <c r="C724" s="3">
        <v>0.3056650509059145</v>
      </c>
      <c r="R724" t="s">
        <v>517</v>
      </c>
      <c r="S724" s="11">
        <v>-1.527729352059825</v>
      </c>
      <c r="T724" s="3">
        <v>0.40433955316321268</v>
      </c>
      <c r="U724" t="s">
        <v>541</v>
      </c>
    </row>
    <row r="725" spans="1:21" x14ac:dyDescent="0.25">
      <c r="A725" t="s">
        <v>520</v>
      </c>
      <c r="B725" s="11">
        <v>1.0804123012190749</v>
      </c>
      <c r="C725" s="3">
        <v>0.1184825353029758</v>
      </c>
      <c r="R725" t="s">
        <v>517</v>
      </c>
      <c r="S725" s="11">
        <v>-1.087069619297562</v>
      </c>
      <c r="T725" s="3">
        <v>0.1705724192823794</v>
      </c>
      <c r="U725" t="s">
        <v>541</v>
      </c>
    </row>
    <row r="726" spans="1:21" x14ac:dyDescent="0.25">
      <c r="A726" t="s">
        <v>520</v>
      </c>
      <c r="B726" s="11">
        <v>1.3632180028209699</v>
      </c>
      <c r="C726" s="3">
        <v>0.54644476446835677</v>
      </c>
      <c r="R726" t="s">
        <v>517</v>
      </c>
      <c r="S726" s="11">
        <v>-1.9254692964147031</v>
      </c>
      <c r="T726" s="3">
        <v>0.72601770791125975</v>
      </c>
      <c r="U726" t="s">
        <v>541</v>
      </c>
    </row>
    <row r="727" spans="1:21" x14ac:dyDescent="0.25">
      <c r="A727" t="s">
        <v>520</v>
      </c>
      <c r="B727" s="11">
        <v>2.102020932463005</v>
      </c>
      <c r="C727" s="3">
        <v>0.38861666717650928</v>
      </c>
      <c r="R727" t="s">
        <v>517</v>
      </c>
      <c r="S727" s="11">
        <v>-1.6330950280561709</v>
      </c>
      <c r="T727" s="3">
        <v>0.3924030271803659</v>
      </c>
      <c r="U727" t="s">
        <v>541</v>
      </c>
    </row>
    <row r="728" spans="1:21" x14ac:dyDescent="0.25">
      <c r="A728" t="s">
        <v>520</v>
      </c>
      <c r="B728" s="11">
        <v>2.2828353761119691</v>
      </c>
      <c r="C728" s="3">
        <v>0.45483383074542522</v>
      </c>
      <c r="R728" t="s">
        <v>517</v>
      </c>
      <c r="S728" s="11">
        <v>-1.5557157298582329</v>
      </c>
      <c r="T728" s="3">
        <v>0.22935240254124639</v>
      </c>
      <c r="U728" t="s">
        <v>541</v>
      </c>
    </row>
    <row r="729" spans="1:21" x14ac:dyDescent="0.25">
      <c r="A729" t="s">
        <v>520</v>
      </c>
      <c r="B729" s="11">
        <v>2.1907385501412668</v>
      </c>
      <c r="C729" s="3">
        <v>0.59529622921894798</v>
      </c>
      <c r="R729" t="s">
        <v>517</v>
      </c>
      <c r="S729" s="11">
        <v>-1.358271247057645</v>
      </c>
      <c r="T729" s="3">
        <v>0.20949723418173821</v>
      </c>
      <c r="U729" t="s">
        <v>541</v>
      </c>
    </row>
    <row r="730" spans="1:21" x14ac:dyDescent="0.25">
      <c r="A730" t="s">
        <v>520</v>
      </c>
      <c r="B730" s="11">
        <v>1.338559804520558</v>
      </c>
      <c r="C730" s="3">
        <v>0.81618489217664858</v>
      </c>
      <c r="R730" t="s">
        <v>517</v>
      </c>
      <c r="S730" s="11">
        <v>-1.5363650465700609</v>
      </c>
      <c r="T730" s="3">
        <v>0.54298250440673823</v>
      </c>
      <c r="U730" t="s">
        <v>541</v>
      </c>
    </row>
    <row r="731" spans="1:21" x14ac:dyDescent="0.25">
      <c r="A731" t="s">
        <v>520</v>
      </c>
      <c r="B731" s="11">
        <v>1.4224295926250989</v>
      </c>
      <c r="C731" s="3">
        <v>0.24638540345356849</v>
      </c>
      <c r="R731" t="s">
        <v>517</v>
      </c>
      <c r="S731" s="11">
        <v>-2.081104535778135</v>
      </c>
      <c r="T731" s="3">
        <v>0.8951374050705958</v>
      </c>
      <c r="U731" t="s">
        <v>541</v>
      </c>
    </row>
    <row r="732" spans="1:21" x14ac:dyDescent="0.25">
      <c r="A732" t="s">
        <v>520</v>
      </c>
      <c r="B732" s="11">
        <v>-1.730827700761195</v>
      </c>
      <c r="C732" s="3">
        <v>0.93425399770073236</v>
      </c>
      <c r="R732" t="s">
        <v>517</v>
      </c>
      <c r="S732" s="11">
        <v>-1.882465875265199</v>
      </c>
      <c r="T732" s="3">
        <v>0.2364424124269455</v>
      </c>
      <c r="U732" t="s">
        <v>541</v>
      </c>
    </row>
    <row r="733" spans="1:21" x14ac:dyDescent="0.25">
      <c r="A733" t="s">
        <v>520</v>
      </c>
      <c r="B733" s="11">
        <v>2.8694395366465528</v>
      </c>
      <c r="C733" s="3">
        <v>0.71053418806234436</v>
      </c>
      <c r="R733" t="s">
        <v>517</v>
      </c>
      <c r="S733" s="11">
        <v>-1.6771730843449231</v>
      </c>
      <c r="T733" s="3">
        <v>0.19526767279405</v>
      </c>
      <c r="U733" t="s">
        <v>541</v>
      </c>
    </row>
    <row r="734" spans="1:21" x14ac:dyDescent="0.25">
      <c r="A734" t="s">
        <v>520</v>
      </c>
      <c r="B734" s="11">
        <v>-0.92485938447402027</v>
      </c>
      <c r="C734" s="3">
        <v>0.46643423991917787</v>
      </c>
      <c r="R734" t="s">
        <v>517</v>
      </c>
      <c r="S734" s="11">
        <v>-1.0898799176862819</v>
      </c>
      <c r="T734" s="3">
        <v>0.43627892152177872</v>
      </c>
      <c r="U734" t="s">
        <v>541</v>
      </c>
    </row>
    <row r="735" spans="1:21" x14ac:dyDescent="0.25">
      <c r="A735" t="s">
        <v>520</v>
      </c>
      <c r="B735" s="11">
        <v>3.4238420025469019</v>
      </c>
      <c r="C735" s="3">
        <v>0.21869162198824671</v>
      </c>
      <c r="R735" t="s">
        <v>517</v>
      </c>
      <c r="S735" s="11">
        <v>-1.588376558964691</v>
      </c>
      <c r="T735" s="3">
        <v>0.1638220643998623</v>
      </c>
      <c r="U735" t="s">
        <v>541</v>
      </c>
    </row>
    <row r="736" spans="1:21" x14ac:dyDescent="0.25">
      <c r="A736" t="s">
        <v>520</v>
      </c>
      <c r="B736" s="11">
        <v>1.421776440482361</v>
      </c>
      <c r="C736" s="3">
        <v>0.16241031752135329</v>
      </c>
      <c r="R736" t="s">
        <v>517</v>
      </c>
      <c r="S736" s="11">
        <v>-1.3117608546468491</v>
      </c>
      <c r="T736" s="3">
        <v>0.80244896685013978</v>
      </c>
      <c r="U736" t="s">
        <v>541</v>
      </c>
    </row>
    <row r="737" spans="1:21" x14ac:dyDescent="0.25">
      <c r="A737" t="s">
        <v>520</v>
      </c>
      <c r="B737" s="11">
        <v>1.1452502299902649</v>
      </c>
      <c r="C737" s="3">
        <v>0.20311040955114479</v>
      </c>
      <c r="R737" t="s">
        <v>517</v>
      </c>
      <c r="S737" s="11">
        <v>-1.323994948879949</v>
      </c>
      <c r="T737" s="3">
        <v>0.2583057538052474</v>
      </c>
      <c r="U737" t="s">
        <v>541</v>
      </c>
    </row>
    <row r="738" spans="1:21" x14ac:dyDescent="0.25">
      <c r="A738" t="s">
        <v>520</v>
      </c>
      <c r="B738" s="11">
        <v>0.84173382419129172</v>
      </c>
      <c r="C738" s="3">
        <v>0.21844847365283029</v>
      </c>
      <c r="R738" t="s">
        <v>517</v>
      </c>
      <c r="S738" s="11">
        <v>-0.55352382402112255</v>
      </c>
      <c r="T738" s="3">
        <v>0.68096930218422058</v>
      </c>
      <c r="U738" t="s">
        <v>541</v>
      </c>
    </row>
    <row r="739" spans="1:21" x14ac:dyDescent="0.25">
      <c r="A739" t="s">
        <v>520</v>
      </c>
      <c r="B739" s="11">
        <v>1.3002021675015241</v>
      </c>
      <c r="C739" s="3">
        <v>0.15383559011563189</v>
      </c>
      <c r="R739" t="s">
        <v>517</v>
      </c>
      <c r="S739" s="11">
        <v>-1.3718464661703731</v>
      </c>
      <c r="T739" s="3">
        <v>0.1236564146965753</v>
      </c>
      <c r="U739" t="s">
        <v>541</v>
      </c>
    </row>
    <row r="740" spans="1:21" x14ac:dyDescent="0.25">
      <c r="A740" t="s">
        <v>520</v>
      </c>
      <c r="B740" s="11">
        <v>1.4582030197845499</v>
      </c>
      <c r="C740" s="3">
        <v>0.30349608001371869</v>
      </c>
      <c r="R740" t="s">
        <v>517</v>
      </c>
      <c r="S740" s="11">
        <v>0.68219792658801559</v>
      </c>
      <c r="T740" s="3">
        <v>0.26488058793287189</v>
      </c>
      <c r="U740" t="s">
        <v>541</v>
      </c>
    </row>
    <row r="741" spans="1:21" x14ac:dyDescent="0.25">
      <c r="A741" t="s">
        <v>520</v>
      </c>
      <c r="B741" s="11">
        <v>1.0699701661494689</v>
      </c>
      <c r="C741" s="3">
        <v>0.1192093376137723</v>
      </c>
      <c r="R741" t="s">
        <v>517</v>
      </c>
      <c r="S741" s="11">
        <v>-0.96903017080281861</v>
      </c>
      <c r="T741" s="3">
        <v>0.756197264055957</v>
      </c>
      <c r="U741" t="s">
        <v>541</v>
      </c>
    </row>
    <row r="742" spans="1:21" x14ac:dyDescent="0.25">
      <c r="A742" t="s">
        <v>520</v>
      </c>
      <c r="B742" s="11">
        <v>3.3737577428200449</v>
      </c>
      <c r="C742" s="3">
        <v>0.20296775667489009</v>
      </c>
      <c r="R742" t="s">
        <v>517</v>
      </c>
      <c r="S742" s="11">
        <v>-1.484414693075065</v>
      </c>
      <c r="T742" s="3">
        <v>0.59667636451878903</v>
      </c>
      <c r="U742" t="s">
        <v>541</v>
      </c>
    </row>
    <row r="743" spans="1:21" x14ac:dyDescent="0.25">
      <c r="A743" t="s">
        <v>520</v>
      </c>
      <c r="B743" s="11">
        <v>2.311620212573283</v>
      </c>
      <c r="C743" s="3">
        <v>0.20779136981902099</v>
      </c>
      <c r="R743" t="s">
        <v>517</v>
      </c>
      <c r="S743" s="11">
        <v>-1.677935867221215</v>
      </c>
      <c r="T743" s="3">
        <v>0.93273414114997388</v>
      </c>
      <c r="U743" t="s">
        <v>541</v>
      </c>
    </row>
    <row r="744" spans="1:21" x14ac:dyDescent="0.25">
      <c r="A744" t="s">
        <v>520</v>
      </c>
      <c r="B744" s="11">
        <v>1.30709786264368</v>
      </c>
      <c r="C744" s="3">
        <v>0.28070261930077622</v>
      </c>
      <c r="R744" t="s">
        <v>517</v>
      </c>
      <c r="S744" s="11">
        <v>-1.230157576539584</v>
      </c>
      <c r="T744" s="3">
        <v>0.99475080767461654</v>
      </c>
      <c r="U744" t="s">
        <v>541</v>
      </c>
    </row>
    <row r="745" spans="1:21" x14ac:dyDescent="0.25">
      <c r="A745" t="s">
        <v>520</v>
      </c>
      <c r="B745" s="11">
        <v>2.4464158535423182</v>
      </c>
      <c r="C745" s="3">
        <v>0.40433955316321268</v>
      </c>
      <c r="R745" t="s">
        <v>517</v>
      </c>
      <c r="S745" s="11">
        <v>-0.52550089711801917</v>
      </c>
      <c r="T745" s="3">
        <v>0.23641414744620209</v>
      </c>
      <c r="U745" t="s">
        <v>541</v>
      </c>
    </row>
    <row r="746" spans="1:21" x14ac:dyDescent="0.25">
      <c r="A746" t="s">
        <v>520</v>
      </c>
      <c r="B746" s="11">
        <v>-1.7547124815194539</v>
      </c>
      <c r="C746" s="3">
        <v>0.70283952218119539</v>
      </c>
      <c r="R746" t="s">
        <v>517</v>
      </c>
      <c r="S746" s="11">
        <v>-0.48165201761595139</v>
      </c>
      <c r="T746" s="3">
        <v>0.63601653754895393</v>
      </c>
      <c r="U746" t="s">
        <v>541</v>
      </c>
    </row>
    <row r="747" spans="1:21" x14ac:dyDescent="0.25">
      <c r="A747" t="s">
        <v>520</v>
      </c>
      <c r="B747" s="11">
        <v>-0.78612954221469089</v>
      </c>
      <c r="C747" s="3">
        <v>0.67250802584224512</v>
      </c>
      <c r="R747" t="s">
        <v>517</v>
      </c>
      <c r="S747" s="11">
        <v>-0.61902379625556936</v>
      </c>
      <c r="T747" s="3">
        <v>0.32853801032222513</v>
      </c>
      <c r="U747" t="s">
        <v>541</v>
      </c>
    </row>
    <row r="748" spans="1:21" x14ac:dyDescent="0.25">
      <c r="A748" t="s">
        <v>520</v>
      </c>
      <c r="B748" s="11">
        <v>1.058440350411739</v>
      </c>
      <c r="C748" s="3">
        <v>0.41291969695462732</v>
      </c>
      <c r="R748" t="s">
        <v>517</v>
      </c>
      <c r="S748" s="11">
        <v>-1.918681058644661</v>
      </c>
      <c r="T748" s="3">
        <v>0.59400519878475677</v>
      </c>
      <c r="U748" t="s">
        <v>541</v>
      </c>
    </row>
    <row r="749" spans="1:21" x14ac:dyDescent="0.25">
      <c r="A749" t="s">
        <v>520</v>
      </c>
      <c r="B749" s="11">
        <v>-2.177170305609192</v>
      </c>
      <c r="C749" s="3">
        <v>0.60240763309890277</v>
      </c>
      <c r="R749" t="s">
        <v>517</v>
      </c>
      <c r="S749" s="11">
        <v>-1.5583513617724549</v>
      </c>
      <c r="T749" s="3">
        <v>0.99035256236056901</v>
      </c>
      <c r="U749" t="s">
        <v>541</v>
      </c>
    </row>
    <row r="750" spans="1:21" x14ac:dyDescent="0.25">
      <c r="A750" t="s">
        <v>520</v>
      </c>
      <c r="B750" s="11">
        <v>0.94706885983687272</v>
      </c>
      <c r="C750" s="3">
        <v>0.72601770791125975</v>
      </c>
      <c r="R750" t="s">
        <v>517</v>
      </c>
      <c r="S750" s="11">
        <v>-1.632047850432462</v>
      </c>
      <c r="T750" s="3">
        <v>0.181922126752776</v>
      </c>
      <c r="U750" t="s">
        <v>541</v>
      </c>
    </row>
    <row r="751" spans="1:21" x14ac:dyDescent="0.25">
      <c r="A751" t="s">
        <v>520</v>
      </c>
      <c r="B751" s="11">
        <v>2.1728830832507868</v>
      </c>
      <c r="C751" s="3">
        <v>0.22935240254124639</v>
      </c>
      <c r="R751" t="s">
        <v>517</v>
      </c>
      <c r="S751" s="11">
        <v>-2.1056771566676491</v>
      </c>
      <c r="T751" s="3">
        <v>0.42578094499293179</v>
      </c>
      <c r="U751" t="s">
        <v>541</v>
      </c>
    </row>
    <row r="752" spans="1:21" x14ac:dyDescent="0.25">
      <c r="A752" t="s">
        <v>520</v>
      </c>
      <c r="B752" s="11">
        <v>-4.2072738553350284</v>
      </c>
      <c r="C752" s="3">
        <v>0.98296832098831999</v>
      </c>
      <c r="R752" t="s">
        <v>517</v>
      </c>
      <c r="S752" s="11">
        <v>-1.0242315849636621</v>
      </c>
      <c r="T752" s="3">
        <v>0.1073546372966605</v>
      </c>
      <c r="U752" t="s">
        <v>541</v>
      </c>
    </row>
    <row r="753" spans="1:21" x14ac:dyDescent="0.25">
      <c r="A753" t="s">
        <v>520</v>
      </c>
      <c r="B753" s="11">
        <v>0.78427791305035599</v>
      </c>
      <c r="C753" s="3">
        <v>0.1010331424755098</v>
      </c>
      <c r="R753" t="s">
        <v>517</v>
      </c>
      <c r="S753" s="11">
        <v>-1.9803603690131639</v>
      </c>
      <c r="T753" s="3">
        <v>0.96690021995709474</v>
      </c>
      <c r="U753" t="s">
        <v>541</v>
      </c>
    </row>
    <row r="754" spans="1:21" x14ac:dyDescent="0.25">
      <c r="A754" t="s">
        <v>520</v>
      </c>
      <c r="B754" s="11">
        <v>1.1716791826616531</v>
      </c>
      <c r="C754" s="3">
        <v>0.50267152671410242</v>
      </c>
      <c r="R754" t="s">
        <v>517</v>
      </c>
      <c r="S754" s="11">
        <v>-1.987727853356257</v>
      </c>
      <c r="T754" s="3">
        <v>0.68064192853901861</v>
      </c>
      <c r="U754" t="s">
        <v>541</v>
      </c>
    </row>
    <row r="755" spans="1:21" x14ac:dyDescent="0.25">
      <c r="A755" t="s">
        <v>520</v>
      </c>
      <c r="B755" s="11">
        <v>0.57449617928635355</v>
      </c>
      <c r="C755" s="3">
        <v>0.77288106209373775</v>
      </c>
      <c r="R755" t="s">
        <v>517</v>
      </c>
      <c r="S755" s="11">
        <v>-1.415302180733955</v>
      </c>
      <c r="T755" s="3">
        <v>0.6507664077012254</v>
      </c>
      <c r="U755" t="s">
        <v>541</v>
      </c>
    </row>
    <row r="756" spans="1:21" x14ac:dyDescent="0.25">
      <c r="A756" t="s">
        <v>520</v>
      </c>
      <c r="B756" s="11">
        <v>1.4141915815403989</v>
      </c>
      <c r="C756" s="3">
        <v>0.19526767279405</v>
      </c>
      <c r="R756" t="s">
        <v>517</v>
      </c>
      <c r="S756" s="11">
        <v>-1.8483404018130101</v>
      </c>
      <c r="T756" s="3">
        <v>0.92867123352724268</v>
      </c>
      <c r="U756" t="s">
        <v>541</v>
      </c>
    </row>
    <row r="757" spans="1:21" x14ac:dyDescent="0.25">
      <c r="A757" t="s">
        <v>520</v>
      </c>
      <c r="B757" s="11">
        <v>1.1597026836384361</v>
      </c>
      <c r="C757" s="3">
        <v>0.83440471082587475</v>
      </c>
      <c r="R757" t="s">
        <v>522</v>
      </c>
      <c r="S757" s="11">
        <v>-1.1328236025340239</v>
      </c>
      <c r="T757" s="3">
        <v>0.99696668917794118</v>
      </c>
      <c r="U757" t="s">
        <v>542</v>
      </c>
    </row>
    <row r="758" spans="1:21" x14ac:dyDescent="0.25">
      <c r="A758" t="s">
        <v>520</v>
      </c>
      <c r="B758" s="11">
        <v>-2.645041506014445</v>
      </c>
      <c r="C758" s="3">
        <v>0.42773429932738999</v>
      </c>
      <c r="R758" t="s">
        <v>522</v>
      </c>
      <c r="S758" s="11">
        <v>-1.572101964350912</v>
      </c>
      <c r="T758" s="3">
        <v>0.3056650509059145</v>
      </c>
      <c r="U758" t="s">
        <v>542</v>
      </c>
    </row>
    <row r="759" spans="1:21" x14ac:dyDescent="0.25">
      <c r="A759" t="s">
        <v>520</v>
      </c>
      <c r="B759" s="11">
        <v>1.096241208902059</v>
      </c>
      <c r="C759" s="3">
        <v>0.1749443239595754</v>
      </c>
      <c r="R759" t="s">
        <v>522</v>
      </c>
      <c r="S759" s="11">
        <v>-1.9457279367442899</v>
      </c>
      <c r="T759" s="3">
        <v>0.1184825353029758</v>
      </c>
      <c r="U759" t="s">
        <v>542</v>
      </c>
    </row>
    <row r="760" spans="1:21" x14ac:dyDescent="0.25">
      <c r="A760" t="s">
        <v>520</v>
      </c>
      <c r="B760" s="11">
        <v>3.4252977580511779</v>
      </c>
      <c r="C760" s="3">
        <v>0.1638220643998623</v>
      </c>
      <c r="R760" t="s">
        <v>522</v>
      </c>
      <c r="S760" s="11">
        <v>-1.0179953666219399</v>
      </c>
      <c r="T760" s="3">
        <v>0.45541967084629342</v>
      </c>
      <c r="U760" t="s">
        <v>542</v>
      </c>
    </row>
    <row r="761" spans="1:21" x14ac:dyDescent="0.25">
      <c r="A761" t="s">
        <v>520</v>
      </c>
      <c r="B761" s="11">
        <v>0.96974039381912314</v>
      </c>
      <c r="C761" s="3">
        <v>0.34793509357718172</v>
      </c>
      <c r="R761" t="s">
        <v>522</v>
      </c>
      <c r="S761" s="11">
        <v>-1.520709976397616</v>
      </c>
      <c r="T761" s="3">
        <v>0.38861666717650928</v>
      </c>
      <c r="U761" t="s">
        <v>542</v>
      </c>
    </row>
    <row r="762" spans="1:21" x14ac:dyDescent="0.25">
      <c r="A762" t="s">
        <v>520</v>
      </c>
      <c r="B762" s="11">
        <v>2.036903623607992</v>
      </c>
      <c r="C762" s="3">
        <v>0.1089686379392189</v>
      </c>
      <c r="R762" t="s">
        <v>522</v>
      </c>
      <c r="S762" s="11">
        <v>-1.3572543953210821</v>
      </c>
      <c r="T762" s="3">
        <v>0.45483383074542522</v>
      </c>
      <c r="U762" t="s">
        <v>542</v>
      </c>
    </row>
    <row r="763" spans="1:21" x14ac:dyDescent="0.25">
      <c r="A763" t="s">
        <v>520</v>
      </c>
      <c r="B763" s="11">
        <v>-2.566548336257032</v>
      </c>
      <c r="C763" s="3">
        <v>0.93008937672037084</v>
      </c>
      <c r="R763" t="s">
        <v>522</v>
      </c>
      <c r="S763" s="11">
        <v>-0.83317327495335802</v>
      </c>
      <c r="T763" s="3">
        <v>0.13939834915146149</v>
      </c>
      <c r="U763" t="s">
        <v>542</v>
      </c>
    </row>
    <row r="764" spans="1:21" x14ac:dyDescent="0.25">
      <c r="A764" t="s">
        <v>520</v>
      </c>
      <c r="B764" s="11">
        <v>1.240367924162723</v>
      </c>
      <c r="C764" s="3">
        <v>0.87576732752300213</v>
      </c>
      <c r="R764" t="s">
        <v>522</v>
      </c>
      <c r="S764" s="11">
        <v>-1.61826408907029</v>
      </c>
      <c r="T764" s="3">
        <v>0.56996931103138504</v>
      </c>
      <c r="U764" t="s">
        <v>542</v>
      </c>
    </row>
    <row r="765" spans="1:21" x14ac:dyDescent="0.25">
      <c r="A765" t="s">
        <v>520</v>
      </c>
      <c r="B765" s="11">
        <v>1.116578150372372</v>
      </c>
      <c r="C765" s="3">
        <v>0.2583057538052474</v>
      </c>
      <c r="R765" t="s">
        <v>522</v>
      </c>
      <c r="S765" s="11">
        <v>-1.800813888411996</v>
      </c>
      <c r="T765" s="3">
        <v>0.71053418806234436</v>
      </c>
      <c r="U765" t="s">
        <v>542</v>
      </c>
    </row>
    <row r="766" spans="1:21" x14ac:dyDescent="0.25">
      <c r="A766" t="s">
        <v>520</v>
      </c>
      <c r="B766" s="11">
        <v>0.81170314477862626</v>
      </c>
      <c r="C766" s="3">
        <v>0.48663727550552088</v>
      </c>
      <c r="R766" t="s">
        <v>522</v>
      </c>
      <c r="S766" s="11">
        <v>-1.617616413483038</v>
      </c>
      <c r="T766" s="3">
        <v>0.21869162198824671</v>
      </c>
      <c r="U766" t="s">
        <v>542</v>
      </c>
    </row>
    <row r="767" spans="1:21" x14ac:dyDescent="0.25">
      <c r="A767" t="s">
        <v>520</v>
      </c>
      <c r="B767" s="11">
        <v>0.92880420874570546</v>
      </c>
      <c r="C767" s="3">
        <v>0.70372975816672356</v>
      </c>
      <c r="R767" t="s">
        <v>522</v>
      </c>
      <c r="S767" s="11">
        <v>-1.7010038085152901</v>
      </c>
      <c r="T767" s="3">
        <v>0.79241537964468156</v>
      </c>
      <c r="U767" t="s">
        <v>542</v>
      </c>
    </row>
    <row r="768" spans="1:21" x14ac:dyDescent="0.25">
      <c r="A768" t="s">
        <v>520</v>
      </c>
      <c r="B768" s="11">
        <v>1.154909129616156</v>
      </c>
      <c r="C768" s="3">
        <v>0.1236564146965753</v>
      </c>
      <c r="R768" t="s">
        <v>522</v>
      </c>
      <c r="S768" s="11">
        <v>-0.51455027374249895</v>
      </c>
      <c r="T768" s="3">
        <v>0.24155574839601629</v>
      </c>
      <c r="U768" t="s">
        <v>542</v>
      </c>
    </row>
    <row r="769" spans="1:21" x14ac:dyDescent="0.25">
      <c r="A769" t="s">
        <v>520</v>
      </c>
      <c r="B769" s="11">
        <v>-3.0317311904490478</v>
      </c>
      <c r="C769" s="3">
        <v>0.72306967803544064</v>
      </c>
      <c r="R769" t="s">
        <v>522</v>
      </c>
      <c r="S769" s="11">
        <v>-0.57590515402794007</v>
      </c>
      <c r="T769" s="3">
        <v>0.31548093049619752</v>
      </c>
      <c r="U769" t="s">
        <v>542</v>
      </c>
    </row>
    <row r="770" spans="1:21" x14ac:dyDescent="0.25">
      <c r="A770" t="s">
        <v>520</v>
      </c>
      <c r="B770" s="11">
        <v>1.37352250531691</v>
      </c>
      <c r="C770" s="3">
        <v>0.84362216814941771</v>
      </c>
      <c r="R770" t="s">
        <v>522</v>
      </c>
      <c r="S770" s="11">
        <v>-0.97483699674040514</v>
      </c>
      <c r="T770" s="3">
        <v>0.1158538748540241</v>
      </c>
      <c r="U770" t="s">
        <v>542</v>
      </c>
    </row>
    <row r="771" spans="1:21" x14ac:dyDescent="0.25">
      <c r="A771" t="s">
        <v>520</v>
      </c>
      <c r="B771" s="11">
        <v>1.0860179320829639</v>
      </c>
      <c r="C771" s="3">
        <v>0.756197264055957</v>
      </c>
      <c r="R771" t="s">
        <v>522</v>
      </c>
      <c r="S771" s="11">
        <v>-1.589833577817326</v>
      </c>
      <c r="T771" s="3">
        <v>0.20296775667489009</v>
      </c>
      <c r="U771" t="s">
        <v>542</v>
      </c>
    </row>
    <row r="772" spans="1:21" x14ac:dyDescent="0.25">
      <c r="A772" t="s">
        <v>520</v>
      </c>
      <c r="B772" s="11">
        <v>1.41625636515027</v>
      </c>
      <c r="C772" s="3">
        <v>0.93273414114997388</v>
      </c>
      <c r="R772" t="s">
        <v>522</v>
      </c>
      <c r="S772" s="11">
        <v>-1.536832754898005</v>
      </c>
      <c r="T772" s="3">
        <v>0.3885011523872004</v>
      </c>
      <c r="U772" t="s">
        <v>542</v>
      </c>
    </row>
    <row r="773" spans="1:21" x14ac:dyDescent="0.25">
      <c r="A773" t="s">
        <v>520</v>
      </c>
      <c r="B773" s="11">
        <v>0.42723531896055938</v>
      </c>
      <c r="C773" s="3">
        <v>0.1079884377822322</v>
      </c>
      <c r="R773" t="s">
        <v>522</v>
      </c>
      <c r="S773" s="11">
        <v>-1.5669327879299479</v>
      </c>
      <c r="T773" s="3">
        <v>0.85070183091983609</v>
      </c>
      <c r="U773" t="s">
        <v>542</v>
      </c>
    </row>
    <row r="774" spans="1:21" x14ac:dyDescent="0.25">
      <c r="A774" t="s">
        <v>520</v>
      </c>
      <c r="B774" s="11">
        <v>-5.9801367690983893</v>
      </c>
      <c r="C774" s="3">
        <v>0.99142877280429653</v>
      </c>
      <c r="R774" t="s">
        <v>522</v>
      </c>
      <c r="S774" s="11">
        <v>-1.158439720527578</v>
      </c>
      <c r="T774" s="3">
        <v>0.7506286660757433</v>
      </c>
      <c r="U774" t="s">
        <v>542</v>
      </c>
    </row>
    <row r="775" spans="1:21" x14ac:dyDescent="0.25">
      <c r="A775" t="s">
        <v>520</v>
      </c>
      <c r="B775" s="11">
        <v>3.020799034709023</v>
      </c>
      <c r="C775" s="3">
        <v>0.59400519878475677</v>
      </c>
      <c r="R775" t="s">
        <v>522</v>
      </c>
      <c r="S775" s="11">
        <v>-1.202698302399527</v>
      </c>
      <c r="T775" s="3">
        <v>0.20400464726331169</v>
      </c>
      <c r="U775" t="s">
        <v>542</v>
      </c>
    </row>
    <row r="776" spans="1:21" x14ac:dyDescent="0.25">
      <c r="A776" t="s">
        <v>520</v>
      </c>
      <c r="B776" s="11">
        <v>-3.299572780226125</v>
      </c>
      <c r="C776" s="3">
        <v>0.96526539046505389</v>
      </c>
      <c r="R776" t="s">
        <v>522</v>
      </c>
      <c r="S776" s="11">
        <v>-1.305106177631207</v>
      </c>
      <c r="T776" s="3">
        <v>0.1749443239595754</v>
      </c>
      <c r="U776" t="s">
        <v>542</v>
      </c>
    </row>
    <row r="777" spans="1:21" x14ac:dyDescent="0.25">
      <c r="A777" t="s">
        <v>520</v>
      </c>
      <c r="B777" s="11">
        <v>3.486335274539607</v>
      </c>
      <c r="C777" s="3">
        <v>0.181922126752776</v>
      </c>
      <c r="R777" t="s">
        <v>522</v>
      </c>
      <c r="S777" s="11">
        <v>-0.99118982673287392</v>
      </c>
      <c r="T777" s="3">
        <v>0.1978391265072644</v>
      </c>
      <c r="U777" t="s">
        <v>542</v>
      </c>
    </row>
    <row r="778" spans="1:21" x14ac:dyDescent="0.25">
      <c r="A778" t="s">
        <v>520</v>
      </c>
      <c r="B778" s="11">
        <v>1.149707048593114</v>
      </c>
      <c r="C778" s="3">
        <v>0.42578094499293179</v>
      </c>
      <c r="R778" t="s">
        <v>522</v>
      </c>
      <c r="S778" s="11">
        <v>-0.54170426796481985</v>
      </c>
      <c r="T778" s="3">
        <v>0.74244149323312658</v>
      </c>
      <c r="U778" t="s">
        <v>542</v>
      </c>
    </row>
    <row r="779" spans="1:21" x14ac:dyDescent="0.25">
      <c r="A779" t="s">
        <v>520</v>
      </c>
      <c r="B779" s="11">
        <v>0.79510638111332044</v>
      </c>
      <c r="C779" s="3">
        <v>0.84735875113702974</v>
      </c>
      <c r="R779" t="s">
        <v>522</v>
      </c>
      <c r="S779" s="11">
        <v>-1.0414847199584001</v>
      </c>
      <c r="T779" s="3">
        <v>0.18887930360487901</v>
      </c>
      <c r="U779" t="s">
        <v>542</v>
      </c>
    </row>
    <row r="780" spans="1:21" x14ac:dyDescent="0.25">
      <c r="A780" t="s">
        <v>520</v>
      </c>
      <c r="B780" s="11">
        <v>1.8497594074844601</v>
      </c>
      <c r="C780" s="3">
        <v>0.1850378219080894</v>
      </c>
      <c r="R780" t="s">
        <v>522</v>
      </c>
      <c r="S780" s="11">
        <v>-1.674034517907778</v>
      </c>
      <c r="T780" s="3">
        <v>0.86655857869174824</v>
      </c>
      <c r="U780" t="s">
        <v>542</v>
      </c>
    </row>
    <row r="781" spans="1:21" x14ac:dyDescent="0.25">
      <c r="A781" t="s">
        <v>520</v>
      </c>
      <c r="B781" s="11">
        <v>0.9986061731015432</v>
      </c>
      <c r="C781" s="3">
        <v>0.71871414594590854</v>
      </c>
      <c r="R781" t="s">
        <v>522</v>
      </c>
      <c r="S781" s="11">
        <v>-1.4930636590393109</v>
      </c>
      <c r="T781" s="3">
        <v>0.65469998820211983</v>
      </c>
      <c r="U781" t="s">
        <v>542</v>
      </c>
    </row>
    <row r="782" spans="1:21" x14ac:dyDescent="0.25">
      <c r="A782" t="s">
        <v>520</v>
      </c>
      <c r="B782" s="11">
        <v>0.74312421776213999</v>
      </c>
      <c r="C782" s="3">
        <v>0.6507664077012254</v>
      </c>
      <c r="R782" t="s">
        <v>522</v>
      </c>
      <c r="S782" s="11">
        <v>-1.8243432671418871</v>
      </c>
      <c r="T782" s="3">
        <v>0.34793509357718172</v>
      </c>
      <c r="U782" t="s">
        <v>542</v>
      </c>
    </row>
    <row r="783" spans="1:21" x14ac:dyDescent="0.25">
      <c r="A783" t="s">
        <v>521</v>
      </c>
      <c r="B783" s="11">
        <v>-0.28908817875356752</v>
      </c>
      <c r="C783" s="3">
        <v>0.54644476446835677</v>
      </c>
      <c r="R783" t="s">
        <v>522</v>
      </c>
      <c r="S783" s="11">
        <v>-2.1579334328948119</v>
      </c>
      <c r="T783" s="3">
        <v>0.1089686379392189</v>
      </c>
      <c r="U783" t="s">
        <v>542</v>
      </c>
    </row>
    <row r="784" spans="1:21" x14ac:dyDescent="0.25">
      <c r="A784" t="s">
        <v>521</v>
      </c>
      <c r="B784" s="11">
        <v>-0.36251182739635518</v>
      </c>
      <c r="C784" s="3">
        <v>0.41318683633122649</v>
      </c>
      <c r="R784" t="s">
        <v>522</v>
      </c>
      <c r="S784" s="11">
        <v>-1.4636638165552951</v>
      </c>
      <c r="T784" s="3">
        <v>0.87576732752300213</v>
      </c>
      <c r="U784" t="s">
        <v>542</v>
      </c>
    </row>
    <row r="785" spans="1:21" x14ac:dyDescent="0.25">
      <c r="A785" t="s">
        <v>521</v>
      </c>
      <c r="B785" s="11">
        <v>-0.34943267876718398</v>
      </c>
      <c r="C785" s="3">
        <v>0.45541967084629342</v>
      </c>
      <c r="R785" t="s">
        <v>522</v>
      </c>
      <c r="S785" s="11">
        <v>-1.302099364708758</v>
      </c>
      <c r="T785" s="3">
        <v>0.51882396988385682</v>
      </c>
      <c r="U785" t="s">
        <v>542</v>
      </c>
    </row>
    <row r="786" spans="1:21" x14ac:dyDescent="0.25">
      <c r="A786" t="s">
        <v>521</v>
      </c>
      <c r="B786" s="11">
        <v>-0.25046036390740972</v>
      </c>
      <c r="C786" s="3">
        <v>0.38861666717650928</v>
      </c>
      <c r="R786" t="s">
        <v>522</v>
      </c>
      <c r="S786" s="11">
        <v>-1.961437802447479</v>
      </c>
      <c r="T786" s="3">
        <v>0.78980888511177938</v>
      </c>
      <c r="U786" t="s">
        <v>542</v>
      </c>
    </row>
    <row r="787" spans="1:21" x14ac:dyDescent="0.25">
      <c r="A787" t="s">
        <v>521</v>
      </c>
      <c r="B787" s="11">
        <v>-0.50423776928089925</v>
      </c>
      <c r="C787" s="3">
        <v>0.52528544664079668</v>
      </c>
      <c r="R787" t="s">
        <v>522</v>
      </c>
      <c r="S787" s="11">
        <v>-1.6188413928389009</v>
      </c>
      <c r="T787" s="3">
        <v>0.22522084232072309</v>
      </c>
      <c r="U787" t="s">
        <v>542</v>
      </c>
    </row>
    <row r="788" spans="1:21" x14ac:dyDescent="0.25">
      <c r="A788" t="s">
        <v>521</v>
      </c>
      <c r="B788" s="11">
        <v>-0.4358309286460883</v>
      </c>
      <c r="C788" s="3">
        <v>0.24638540345356849</v>
      </c>
      <c r="R788" t="s">
        <v>522</v>
      </c>
      <c r="S788" s="11">
        <v>-1.6098584385178489</v>
      </c>
      <c r="T788" s="3">
        <v>0.1200003797312796</v>
      </c>
      <c r="U788" t="s">
        <v>542</v>
      </c>
    </row>
    <row r="789" spans="1:21" x14ac:dyDescent="0.25">
      <c r="A789" t="s">
        <v>521</v>
      </c>
      <c r="B789" s="11">
        <v>-0.35506735358816988</v>
      </c>
      <c r="C789" s="3">
        <v>0.56996931103138504</v>
      </c>
      <c r="R789" t="s">
        <v>522</v>
      </c>
      <c r="S789" s="11">
        <v>-1.4676321336406271</v>
      </c>
      <c r="T789" s="3">
        <v>0.96724011899471685</v>
      </c>
      <c r="U789" t="s">
        <v>542</v>
      </c>
    </row>
    <row r="790" spans="1:21" x14ac:dyDescent="0.25">
      <c r="A790" t="s">
        <v>521</v>
      </c>
      <c r="B790" s="11">
        <v>-0.58072886888512054</v>
      </c>
      <c r="C790" s="3">
        <v>0.79241537964468156</v>
      </c>
      <c r="R790" t="s">
        <v>522</v>
      </c>
      <c r="S790" s="11">
        <v>-1.9706897766851641</v>
      </c>
      <c r="T790" s="3">
        <v>0.57852574224514441</v>
      </c>
      <c r="U790" t="s">
        <v>542</v>
      </c>
    </row>
    <row r="791" spans="1:21" x14ac:dyDescent="0.25">
      <c r="A791" t="s">
        <v>521</v>
      </c>
      <c r="B791" s="11">
        <v>-0.19678766353304819</v>
      </c>
      <c r="C791" s="3">
        <v>0.20296775667489009</v>
      </c>
      <c r="R791" t="s">
        <v>522</v>
      </c>
      <c r="S791" s="11">
        <v>-1.64658575582704</v>
      </c>
      <c r="T791" s="3">
        <v>0.84735875113702974</v>
      </c>
      <c r="U791" t="s">
        <v>542</v>
      </c>
    </row>
    <row r="792" spans="1:21" x14ac:dyDescent="0.25">
      <c r="A792" t="s">
        <v>521</v>
      </c>
      <c r="B792" s="11">
        <v>-0.43568200474520419</v>
      </c>
      <c r="C792" s="3">
        <v>0.72601770791125975</v>
      </c>
      <c r="R792" t="s">
        <v>522</v>
      </c>
      <c r="S792" s="11">
        <v>-1.983345961628999</v>
      </c>
      <c r="T792" s="3">
        <v>0.1850378219080894</v>
      </c>
      <c r="U792" t="s">
        <v>542</v>
      </c>
    </row>
    <row r="793" spans="1:21" x14ac:dyDescent="0.25">
      <c r="A793" t="s">
        <v>521</v>
      </c>
      <c r="B793" s="11">
        <v>-0.47881861977491169</v>
      </c>
      <c r="C793" s="3">
        <v>0.85070183091983609</v>
      </c>
      <c r="R793" t="s">
        <v>522</v>
      </c>
      <c r="S793" s="11">
        <v>-0.46063329460024788</v>
      </c>
      <c r="T793" s="3">
        <v>0.67582937002005616</v>
      </c>
      <c r="U793" t="s">
        <v>542</v>
      </c>
    </row>
    <row r="794" spans="1:21" x14ac:dyDescent="0.25">
      <c r="A794" t="s">
        <v>521</v>
      </c>
      <c r="B794" s="11">
        <v>-0.25073041765736331</v>
      </c>
      <c r="C794" s="3">
        <v>0.22935240254124639</v>
      </c>
      <c r="R794" t="s">
        <v>522</v>
      </c>
      <c r="S794" s="11">
        <v>-0.87726487204493209</v>
      </c>
      <c r="T794" s="3">
        <v>0.71871414594590854</v>
      </c>
      <c r="U794" t="s">
        <v>542</v>
      </c>
    </row>
    <row r="795" spans="1:21" x14ac:dyDescent="0.25">
      <c r="A795" t="s">
        <v>521</v>
      </c>
      <c r="B795" s="11">
        <v>-0.43545174741881781</v>
      </c>
      <c r="C795" s="3">
        <v>0.54298250440673823</v>
      </c>
      <c r="R795" t="s">
        <v>522</v>
      </c>
      <c r="S795" s="11">
        <v>-0.64301349618955461</v>
      </c>
      <c r="T795" s="3">
        <v>0.84972860740667733</v>
      </c>
      <c r="U795" t="s">
        <v>542</v>
      </c>
    </row>
    <row r="796" spans="1:21" x14ac:dyDescent="0.25">
      <c r="A796" t="s">
        <v>521</v>
      </c>
      <c r="B796" s="11">
        <v>-0.28686399169123622</v>
      </c>
      <c r="C796" s="3">
        <v>0.7506286660757433</v>
      </c>
      <c r="R796" t="s">
        <v>521</v>
      </c>
      <c r="S796" s="11">
        <v>-0.28908817875356752</v>
      </c>
      <c r="T796" s="3">
        <v>0.54644476446835677</v>
      </c>
      <c r="U796" t="s">
        <v>543</v>
      </c>
    </row>
    <row r="797" spans="1:21" x14ac:dyDescent="0.25">
      <c r="A797" t="s">
        <v>521</v>
      </c>
      <c r="B797" s="11">
        <v>-0.64893982081852497</v>
      </c>
      <c r="C797" s="3">
        <v>0.8951374050705958</v>
      </c>
      <c r="R797" t="s">
        <v>521</v>
      </c>
      <c r="S797" s="11">
        <v>-0.36251182739635518</v>
      </c>
      <c r="T797" s="3">
        <v>0.41318683633122649</v>
      </c>
      <c r="U797" t="s">
        <v>543</v>
      </c>
    </row>
    <row r="798" spans="1:21" x14ac:dyDescent="0.25">
      <c r="A798" t="s">
        <v>521</v>
      </c>
      <c r="B798" s="11">
        <v>-0.21607312278012031</v>
      </c>
      <c r="C798" s="3">
        <v>0.19526767279405</v>
      </c>
      <c r="R798" t="s">
        <v>521</v>
      </c>
      <c r="S798" s="11">
        <v>-0.34943267876718398</v>
      </c>
      <c r="T798" s="3">
        <v>0.45541967084629342</v>
      </c>
      <c r="U798" t="s">
        <v>543</v>
      </c>
    </row>
    <row r="799" spans="1:21" x14ac:dyDescent="0.25">
      <c r="A799" t="s">
        <v>521</v>
      </c>
      <c r="B799" s="11">
        <v>-0.35529925817948588</v>
      </c>
      <c r="C799" s="3">
        <v>0.43627892152177872</v>
      </c>
      <c r="R799" t="s">
        <v>521</v>
      </c>
      <c r="S799" s="11">
        <v>-0.25046036390740972</v>
      </c>
      <c r="T799" s="3">
        <v>0.38861666717650928</v>
      </c>
      <c r="U799" t="s">
        <v>543</v>
      </c>
    </row>
    <row r="800" spans="1:21" x14ac:dyDescent="0.25">
      <c r="A800" t="s">
        <v>521</v>
      </c>
      <c r="B800" s="11">
        <v>-0.19821775508252429</v>
      </c>
      <c r="C800" s="3">
        <v>0.1638220643998623</v>
      </c>
      <c r="R800" t="s">
        <v>521</v>
      </c>
      <c r="S800" s="11">
        <v>-0.50423776928089925</v>
      </c>
      <c r="T800" s="3">
        <v>0.52528544664079668</v>
      </c>
      <c r="U800" t="s">
        <v>543</v>
      </c>
    </row>
    <row r="801" spans="1:21" x14ac:dyDescent="0.25">
      <c r="A801" t="s">
        <v>521</v>
      </c>
      <c r="B801" s="11">
        <v>-0.27964346541637358</v>
      </c>
      <c r="C801" s="3">
        <v>0.86655857869174824</v>
      </c>
      <c r="R801" t="s">
        <v>521</v>
      </c>
      <c r="S801" s="11">
        <v>-0.4358309286460883</v>
      </c>
      <c r="T801" s="3">
        <v>0.24638540345356849</v>
      </c>
      <c r="U801" t="s">
        <v>543</v>
      </c>
    </row>
    <row r="802" spans="1:21" x14ac:dyDescent="0.25">
      <c r="A802" t="s">
        <v>521</v>
      </c>
      <c r="B802" s="11">
        <v>-0.42461601324349241</v>
      </c>
      <c r="C802" s="3">
        <v>0.65469998820211983</v>
      </c>
      <c r="R802" t="s">
        <v>521</v>
      </c>
      <c r="S802" s="11">
        <v>-0.35506735358816988</v>
      </c>
      <c r="T802" s="3">
        <v>0.56996931103138504</v>
      </c>
      <c r="U802" t="s">
        <v>543</v>
      </c>
    </row>
    <row r="803" spans="1:21" x14ac:dyDescent="0.25">
      <c r="A803" t="s">
        <v>521</v>
      </c>
      <c r="B803" s="11">
        <v>-0.36905792115927821</v>
      </c>
      <c r="C803" s="3">
        <v>0.34793509357718172</v>
      </c>
      <c r="R803" t="s">
        <v>521</v>
      </c>
      <c r="S803" s="11">
        <v>-0.58072886888512054</v>
      </c>
      <c r="T803" s="3">
        <v>0.79241537964468156</v>
      </c>
      <c r="U803" t="s">
        <v>543</v>
      </c>
    </row>
    <row r="804" spans="1:21" x14ac:dyDescent="0.25">
      <c r="A804" t="s">
        <v>521</v>
      </c>
      <c r="B804" s="11">
        <v>-0.29018051774785181</v>
      </c>
      <c r="C804" s="3">
        <v>0.80244896685013978</v>
      </c>
      <c r="R804" t="s">
        <v>521</v>
      </c>
      <c r="S804" s="11">
        <v>-0.19678766353304819</v>
      </c>
      <c r="T804" s="3">
        <v>0.20296775667489009</v>
      </c>
      <c r="U804" t="s">
        <v>543</v>
      </c>
    </row>
    <row r="805" spans="1:21" x14ac:dyDescent="0.25">
      <c r="A805" t="s">
        <v>521</v>
      </c>
      <c r="B805" s="11">
        <v>-0.35478541263240132</v>
      </c>
      <c r="C805" s="3">
        <v>0.78980888511177938</v>
      </c>
      <c r="R805" t="s">
        <v>521</v>
      </c>
      <c r="S805" s="11">
        <v>-0.43568200474520419</v>
      </c>
      <c r="T805" s="3">
        <v>0.72601770791125975</v>
      </c>
      <c r="U805" t="s">
        <v>543</v>
      </c>
    </row>
    <row r="806" spans="1:21" x14ac:dyDescent="0.25">
      <c r="A806" t="s">
        <v>521</v>
      </c>
      <c r="B806" s="11">
        <v>-0.31571872111444682</v>
      </c>
      <c r="C806" s="3">
        <v>0.96724011899471685</v>
      </c>
      <c r="R806" t="s">
        <v>521</v>
      </c>
      <c r="S806" s="11">
        <v>-0.47881861977491169</v>
      </c>
      <c r="T806" s="3">
        <v>0.85070183091983609</v>
      </c>
      <c r="U806" t="s">
        <v>543</v>
      </c>
    </row>
    <row r="807" spans="1:21" x14ac:dyDescent="0.25">
      <c r="A807" t="s">
        <v>521</v>
      </c>
      <c r="B807" s="11">
        <v>-0.4817739185223357</v>
      </c>
      <c r="C807" s="3">
        <v>0.57852574224514441</v>
      </c>
      <c r="R807" t="s">
        <v>521</v>
      </c>
      <c r="S807" s="11">
        <v>-0.25073041765736331</v>
      </c>
      <c r="T807" s="3">
        <v>0.22935240254124639</v>
      </c>
      <c r="U807" t="s">
        <v>543</v>
      </c>
    </row>
    <row r="808" spans="1:21" x14ac:dyDescent="0.25">
      <c r="A808" t="s">
        <v>521</v>
      </c>
      <c r="B808" s="11">
        <v>-0.31913236573739823</v>
      </c>
      <c r="C808" s="3">
        <v>0.99035256236056901</v>
      </c>
      <c r="R808" t="s">
        <v>521</v>
      </c>
      <c r="S808" s="11">
        <v>-0.43545174741881781</v>
      </c>
      <c r="T808" s="3">
        <v>0.54298250440673823</v>
      </c>
      <c r="U808" t="s">
        <v>543</v>
      </c>
    </row>
    <row r="809" spans="1:21" x14ac:dyDescent="0.25">
      <c r="A809" t="s">
        <v>521</v>
      </c>
      <c r="B809" s="11">
        <v>-0.37414861789226589</v>
      </c>
      <c r="C809" s="3">
        <v>0.42578094499293179</v>
      </c>
      <c r="R809" t="s">
        <v>521</v>
      </c>
      <c r="S809" s="11">
        <v>-0.28686399169123622</v>
      </c>
      <c r="T809" s="3">
        <v>0.7506286660757433</v>
      </c>
      <c r="U809" t="s">
        <v>543</v>
      </c>
    </row>
    <row r="810" spans="1:21" x14ac:dyDescent="0.25">
      <c r="A810" t="s">
        <v>521</v>
      </c>
      <c r="B810" s="11">
        <v>-0.2858043189804203</v>
      </c>
      <c r="C810" s="3">
        <v>0.96690021995709474</v>
      </c>
      <c r="R810" t="s">
        <v>521</v>
      </c>
      <c r="S810" s="11">
        <v>-0.64893982081852497</v>
      </c>
      <c r="T810" s="3">
        <v>0.8951374050705958</v>
      </c>
      <c r="U810" t="s">
        <v>543</v>
      </c>
    </row>
    <row r="811" spans="1:21" x14ac:dyDescent="0.25">
      <c r="A811" t="s">
        <v>521</v>
      </c>
      <c r="B811" s="11">
        <v>-0.37820564991414241</v>
      </c>
      <c r="C811" s="3">
        <v>0.68064192853901861</v>
      </c>
      <c r="R811" t="s">
        <v>521</v>
      </c>
      <c r="S811" s="11">
        <v>-0.21607312278012031</v>
      </c>
      <c r="T811" s="3">
        <v>0.19526767279405</v>
      </c>
      <c r="U811" t="s">
        <v>543</v>
      </c>
    </row>
    <row r="812" spans="1:21" x14ac:dyDescent="0.25">
      <c r="A812" t="s">
        <v>521</v>
      </c>
      <c r="B812" s="11">
        <v>-0.41363253360950991</v>
      </c>
      <c r="C812" s="3">
        <v>0.84735875113702974</v>
      </c>
      <c r="R812" t="s">
        <v>521</v>
      </c>
      <c r="S812" s="11">
        <v>-0.35529925817948588</v>
      </c>
      <c r="T812" s="3">
        <v>0.43627892152177872</v>
      </c>
      <c r="U812" t="s">
        <v>543</v>
      </c>
    </row>
    <row r="813" spans="1:21" x14ac:dyDescent="0.25">
      <c r="A813" t="s">
        <v>521</v>
      </c>
      <c r="B813" s="11">
        <v>-0.37930349583454931</v>
      </c>
      <c r="C813" s="3">
        <v>0.1850378219080894</v>
      </c>
      <c r="R813" t="s">
        <v>521</v>
      </c>
      <c r="S813" s="11">
        <v>-0.19821775508252429</v>
      </c>
      <c r="T813" s="3">
        <v>0.1638220643998623</v>
      </c>
      <c r="U813" t="s">
        <v>543</v>
      </c>
    </row>
    <row r="814" spans="1:21" x14ac:dyDescent="0.25">
      <c r="A814" t="s">
        <v>521</v>
      </c>
      <c r="B814" s="11">
        <v>-0.25703450026517022</v>
      </c>
      <c r="C814" s="3">
        <v>0.6507664077012254</v>
      </c>
      <c r="R814" t="s">
        <v>521</v>
      </c>
      <c r="S814" s="11">
        <v>-0.27964346541637358</v>
      </c>
      <c r="T814" s="3">
        <v>0.86655857869174824</v>
      </c>
      <c r="U814" t="s">
        <v>543</v>
      </c>
    </row>
    <row r="815" spans="1:21" x14ac:dyDescent="0.25">
      <c r="A815" t="s">
        <v>521</v>
      </c>
      <c r="B815" s="11">
        <v>-0.51257467259060541</v>
      </c>
      <c r="C815" s="3">
        <v>0.92867123352724268</v>
      </c>
      <c r="R815" t="s">
        <v>521</v>
      </c>
      <c r="S815" s="11">
        <v>-0.42461601324349241</v>
      </c>
      <c r="T815" s="3">
        <v>0.65469998820211983</v>
      </c>
      <c r="U815" t="s">
        <v>543</v>
      </c>
    </row>
    <row r="816" spans="1:21" x14ac:dyDescent="0.25">
      <c r="A816" t="s">
        <v>522</v>
      </c>
      <c r="B816" s="11">
        <v>-1.1328236025340239</v>
      </c>
      <c r="C816" s="3">
        <v>0.99696668917794118</v>
      </c>
      <c r="R816" t="s">
        <v>521</v>
      </c>
      <c r="S816" s="11">
        <v>-0.36905792115927821</v>
      </c>
      <c r="T816" s="3">
        <v>0.34793509357718172</v>
      </c>
      <c r="U816" t="s">
        <v>543</v>
      </c>
    </row>
    <row r="817" spans="1:21" x14ac:dyDescent="0.25">
      <c r="A817" t="s">
        <v>522</v>
      </c>
      <c r="B817" s="11">
        <v>-1.572101964350912</v>
      </c>
      <c r="C817" s="3">
        <v>0.3056650509059145</v>
      </c>
      <c r="R817" t="s">
        <v>521</v>
      </c>
      <c r="S817" s="11">
        <v>-0.29018051774785181</v>
      </c>
      <c r="T817" s="3">
        <v>0.80244896685013978</v>
      </c>
      <c r="U817" t="s">
        <v>543</v>
      </c>
    </row>
    <row r="818" spans="1:21" x14ac:dyDescent="0.25">
      <c r="A818" t="s">
        <v>522</v>
      </c>
      <c r="B818" s="11">
        <v>-1.9457279367442899</v>
      </c>
      <c r="C818" s="3">
        <v>0.1184825353029758</v>
      </c>
      <c r="R818" t="s">
        <v>521</v>
      </c>
      <c r="S818" s="11">
        <v>-0.35478541263240132</v>
      </c>
      <c r="T818" s="3">
        <v>0.78980888511177938</v>
      </c>
      <c r="U818" t="s">
        <v>543</v>
      </c>
    </row>
    <row r="819" spans="1:21" x14ac:dyDescent="0.25">
      <c r="A819" t="s">
        <v>522</v>
      </c>
      <c r="B819" s="11">
        <v>-1.0179953666219399</v>
      </c>
      <c r="C819" s="3">
        <v>0.45541967084629342</v>
      </c>
      <c r="R819" t="s">
        <v>521</v>
      </c>
      <c r="S819" s="11">
        <v>-0.31571872111444682</v>
      </c>
      <c r="T819" s="3">
        <v>0.96724011899471685</v>
      </c>
      <c r="U819" t="s">
        <v>543</v>
      </c>
    </row>
    <row r="820" spans="1:21" x14ac:dyDescent="0.25">
      <c r="A820" t="s">
        <v>522</v>
      </c>
      <c r="B820" s="11">
        <v>-1.520709976397616</v>
      </c>
      <c r="C820" s="3">
        <v>0.38861666717650928</v>
      </c>
      <c r="R820" t="s">
        <v>521</v>
      </c>
      <c r="S820" s="11">
        <v>-0.4817739185223357</v>
      </c>
      <c r="T820" s="3">
        <v>0.57852574224514441</v>
      </c>
      <c r="U820" t="s">
        <v>543</v>
      </c>
    </row>
    <row r="821" spans="1:21" x14ac:dyDescent="0.25">
      <c r="A821" t="s">
        <v>522</v>
      </c>
      <c r="B821" s="11">
        <v>-1.3572543953210821</v>
      </c>
      <c r="C821" s="3">
        <v>0.45483383074542522</v>
      </c>
      <c r="R821" t="s">
        <v>521</v>
      </c>
      <c r="S821" s="11">
        <v>-0.31913236573739823</v>
      </c>
      <c r="T821" s="3">
        <v>0.99035256236056901</v>
      </c>
      <c r="U821" t="s">
        <v>543</v>
      </c>
    </row>
    <row r="822" spans="1:21" x14ac:dyDescent="0.25">
      <c r="A822" t="s">
        <v>522</v>
      </c>
      <c r="B822" s="11">
        <v>-0.83317327495335802</v>
      </c>
      <c r="C822" s="3">
        <v>0.13939834915146149</v>
      </c>
      <c r="R822" t="s">
        <v>521</v>
      </c>
      <c r="S822" s="11">
        <v>-0.37414861789226589</v>
      </c>
      <c r="T822" s="3">
        <v>0.42578094499293179</v>
      </c>
      <c r="U822" t="s">
        <v>543</v>
      </c>
    </row>
    <row r="823" spans="1:21" x14ac:dyDescent="0.25">
      <c r="A823" t="s">
        <v>522</v>
      </c>
      <c r="B823" s="11">
        <v>-1.61826408907029</v>
      </c>
      <c r="C823" s="3">
        <v>0.56996931103138504</v>
      </c>
      <c r="R823" t="s">
        <v>521</v>
      </c>
      <c r="S823" s="11">
        <v>-0.2858043189804203</v>
      </c>
      <c r="T823" s="3">
        <v>0.96690021995709474</v>
      </c>
      <c r="U823" t="s">
        <v>543</v>
      </c>
    </row>
    <row r="824" spans="1:21" x14ac:dyDescent="0.25">
      <c r="A824" t="s">
        <v>522</v>
      </c>
      <c r="B824" s="11">
        <v>-1.800813888411996</v>
      </c>
      <c r="C824" s="3">
        <v>0.71053418806234436</v>
      </c>
      <c r="R824" t="s">
        <v>521</v>
      </c>
      <c r="S824" s="11">
        <v>-0.37820564991414241</v>
      </c>
      <c r="T824" s="3">
        <v>0.68064192853901861</v>
      </c>
      <c r="U824" t="s">
        <v>543</v>
      </c>
    </row>
    <row r="825" spans="1:21" x14ac:dyDescent="0.25">
      <c r="A825" t="s">
        <v>522</v>
      </c>
      <c r="B825" s="11">
        <v>-1.617616413483038</v>
      </c>
      <c r="C825" s="3">
        <v>0.21869162198824671</v>
      </c>
      <c r="R825" t="s">
        <v>521</v>
      </c>
      <c r="S825" s="11">
        <v>-0.41363253360950991</v>
      </c>
      <c r="T825" s="3">
        <v>0.84735875113702974</v>
      </c>
      <c r="U825" t="s">
        <v>543</v>
      </c>
    </row>
    <row r="826" spans="1:21" x14ac:dyDescent="0.25">
      <c r="A826" t="s">
        <v>522</v>
      </c>
      <c r="B826" s="11">
        <v>-1.7010038085152901</v>
      </c>
      <c r="C826" s="3">
        <v>0.79241537964468156</v>
      </c>
      <c r="R826" t="s">
        <v>521</v>
      </c>
      <c r="S826" s="11">
        <v>-0.37930349583454931</v>
      </c>
      <c r="T826" s="3">
        <v>0.1850378219080894</v>
      </c>
      <c r="U826" t="s">
        <v>543</v>
      </c>
    </row>
    <row r="827" spans="1:21" x14ac:dyDescent="0.25">
      <c r="A827" t="s">
        <v>522</v>
      </c>
      <c r="B827" s="11">
        <v>-0.51455027374249895</v>
      </c>
      <c r="C827" s="3">
        <v>0.24155574839601629</v>
      </c>
      <c r="R827" t="s">
        <v>521</v>
      </c>
      <c r="S827" s="11">
        <v>-0.25703450026517022</v>
      </c>
      <c r="T827" s="3">
        <v>0.6507664077012254</v>
      </c>
      <c r="U827" t="s">
        <v>543</v>
      </c>
    </row>
    <row r="828" spans="1:21" x14ac:dyDescent="0.25">
      <c r="A828" t="s">
        <v>522</v>
      </c>
      <c r="B828" s="11">
        <v>-0.57590515402794007</v>
      </c>
      <c r="C828" s="3">
        <v>0.31548093049619752</v>
      </c>
      <c r="R828" t="s">
        <v>521</v>
      </c>
      <c r="S828" s="11">
        <v>-0.51257467259060541</v>
      </c>
      <c r="T828" s="3">
        <v>0.92867123352724268</v>
      </c>
      <c r="U828" t="s">
        <v>543</v>
      </c>
    </row>
    <row r="829" spans="1:21" x14ac:dyDescent="0.25">
      <c r="A829" t="s">
        <v>522</v>
      </c>
      <c r="B829" s="11">
        <v>-0.97483699674040514</v>
      </c>
      <c r="C829" s="3">
        <v>0.1158538748540241</v>
      </c>
      <c r="R829" t="s">
        <v>518</v>
      </c>
      <c r="S829" s="11">
        <v>-0.2357474246101339</v>
      </c>
      <c r="T829" s="3">
        <v>0.22870846034528461</v>
      </c>
      <c r="U829" t="s">
        <v>544</v>
      </c>
    </row>
    <row r="830" spans="1:21" x14ac:dyDescent="0.25">
      <c r="A830" t="s">
        <v>522</v>
      </c>
      <c r="B830" s="11">
        <v>-1.589833577817326</v>
      </c>
      <c r="C830" s="3">
        <v>0.20296775667489009</v>
      </c>
      <c r="R830" t="s">
        <v>518</v>
      </c>
      <c r="S830" s="11">
        <v>-0.21854313999542949</v>
      </c>
      <c r="T830" s="3">
        <v>0.17826894991460529</v>
      </c>
      <c r="U830" t="s">
        <v>544</v>
      </c>
    </row>
    <row r="831" spans="1:21" x14ac:dyDescent="0.25">
      <c r="A831" t="s">
        <v>522</v>
      </c>
      <c r="B831" s="11">
        <v>-1.536832754898005</v>
      </c>
      <c r="C831" s="3">
        <v>0.3885011523872004</v>
      </c>
      <c r="R831" t="s">
        <v>518</v>
      </c>
      <c r="S831" s="11">
        <v>-0.21832103798777139</v>
      </c>
      <c r="T831" s="3">
        <v>0.13939834915146149</v>
      </c>
      <c r="U831" t="s">
        <v>544</v>
      </c>
    </row>
    <row r="832" spans="1:21" x14ac:dyDescent="0.25">
      <c r="A832" t="s">
        <v>522</v>
      </c>
      <c r="B832" s="11">
        <v>-1.5669327879299479</v>
      </c>
      <c r="C832" s="3">
        <v>0.85070183091983609</v>
      </c>
      <c r="R832" t="s">
        <v>518</v>
      </c>
      <c r="S832" s="11">
        <v>-0.44706341626981078</v>
      </c>
      <c r="T832" s="3">
        <v>0.93425399770073236</v>
      </c>
      <c r="U832" t="s">
        <v>544</v>
      </c>
    </row>
    <row r="833" spans="1:21" x14ac:dyDescent="0.25">
      <c r="A833" t="s">
        <v>522</v>
      </c>
      <c r="B833" s="11">
        <v>-1.158439720527578</v>
      </c>
      <c r="C833" s="3">
        <v>0.7506286660757433</v>
      </c>
      <c r="R833" t="s">
        <v>518</v>
      </c>
      <c r="S833" s="11">
        <v>-0.30240703826270532</v>
      </c>
      <c r="T833" s="3">
        <v>0.46643423991917787</v>
      </c>
      <c r="U833" t="s">
        <v>544</v>
      </c>
    </row>
    <row r="834" spans="1:21" x14ac:dyDescent="0.25">
      <c r="A834" t="s">
        <v>522</v>
      </c>
      <c r="B834" s="11">
        <v>-1.202698302399527</v>
      </c>
      <c r="C834" s="3">
        <v>0.20400464726331169</v>
      </c>
      <c r="R834" t="s">
        <v>518</v>
      </c>
      <c r="S834" s="11">
        <v>-0.45956762010466029</v>
      </c>
      <c r="T834" s="3">
        <v>0.70283952218119539</v>
      </c>
      <c r="U834" t="s">
        <v>544</v>
      </c>
    </row>
    <row r="835" spans="1:21" x14ac:dyDescent="0.25">
      <c r="A835" t="s">
        <v>522</v>
      </c>
      <c r="B835" s="11">
        <v>-1.305106177631207</v>
      </c>
      <c r="C835" s="3">
        <v>0.1749443239595754</v>
      </c>
      <c r="R835" t="s">
        <v>518</v>
      </c>
      <c r="S835" s="11">
        <v>-0.213065450692945</v>
      </c>
      <c r="T835" s="3">
        <v>0.1705724192823794</v>
      </c>
      <c r="U835" t="s">
        <v>544</v>
      </c>
    </row>
    <row r="836" spans="1:21" x14ac:dyDescent="0.25">
      <c r="A836" t="s">
        <v>522</v>
      </c>
      <c r="B836" s="11">
        <v>-0.99118982673287392</v>
      </c>
      <c r="C836" s="3">
        <v>0.1978391265072644</v>
      </c>
      <c r="R836" t="s">
        <v>518</v>
      </c>
      <c r="S836" s="11">
        <v>-0.30884379477084989</v>
      </c>
      <c r="T836" s="3">
        <v>0.67250802584224512</v>
      </c>
      <c r="U836" t="s">
        <v>544</v>
      </c>
    </row>
    <row r="837" spans="1:21" x14ac:dyDescent="0.25">
      <c r="A837" t="s">
        <v>522</v>
      </c>
      <c r="B837" s="11">
        <v>-0.54170426796481985</v>
      </c>
      <c r="C837" s="3">
        <v>0.74244149323312658</v>
      </c>
      <c r="R837" t="s">
        <v>518</v>
      </c>
      <c r="S837" s="11">
        <v>-0.25379337006433289</v>
      </c>
      <c r="T837" s="3">
        <v>0.1322829447055649</v>
      </c>
      <c r="U837" t="s">
        <v>544</v>
      </c>
    </row>
    <row r="838" spans="1:21" x14ac:dyDescent="0.25">
      <c r="A838" t="s">
        <v>522</v>
      </c>
      <c r="B838" s="11">
        <v>-1.0414847199584001</v>
      </c>
      <c r="C838" s="3">
        <v>0.18887930360487901</v>
      </c>
      <c r="R838" t="s">
        <v>518</v>
      </c>
      <c r="S838" s="11">
        <v>-0.28779546337066719</v>
      </c>
      <c r="T838" s="3">
        <v>0.60240763309890277</v>
      </c>
      <c r="U838" t="s">
        <v>544</v>
      </c>
    </row>
    <row r="839" spans="1:21" x14ac:dyDescent="0.25">
      <c r="A839" t="s">
        <v>522</v>
      </c>
      <c r="B839" s="11">
        <v>-1.674034517907778</v>
      </c>
      <c r="C839" s="3">
        <v>0.86655857869174824</v>
      </c>
      <c r="R839" t="s">
        <v>518</v>
      </c>
      <c r="S839" s="11">
        <v>-0.45385839496753949</v>
      </c>
      <c r="T839" s="3">
        <v>0.98296832098831999</v>
      </c>
      <c r="U839" t="s">
        <v>544</v>
      </c>
    </row>
    <row r="840" spans="1:21" x14ac:dyDescent="0.25">
      <c r="A840" t="s">
        <v>522</v>
      </c>
      <c r="B840" s="11">
        <v>-1.4930636590393109</v>
      </c>
      <c r="C840" s="3">
        <v>0.65469998820211983</v>
      </c>
      <c r="R840" t="s">
        <v>518</v>
      </c>
      <c r="S840" s="11">
        <v>-0.31025289764972819</v>
      </c>
      <c r="T840" s="3">
        <v>0.42773429932738999</v>
      </c>
      <c r="U840" t="s">
        <v>544</v>
      </c>
    </row>
    <row r="841" spans="1:21" x14ac:dyDescent="0.25">
      <c r="A841" t="s">
        <v>522</v>
      </c>
      <c r="B841" s="11">
        <v>-1.8243432671418871</v>
      </c>
      <c r="C841" s="3">
        <v>0.34793509357718172</v>
      </c>
      <c r="R841" t="s">
        <v>518</v>
      </c>
      <c r="S841" s="11">
        <v>-0.22812127442205099</v>
      </c>
      <c r="T841" s="3">
        <v>0.1978391265072644</v>
      </c>
      <c r="U841" t="s">
        <v>544</v>
      </c>
    </row>
    <row r="842" spans="1:21" x14ac:dyDescent="0.25">
      <c r="A842" t="s">
        <v>522</v>
      </c>
      <c r="B842" s="11">
        <v>-2.1579334328948119</v>
      </c>
      <c r="C842" s="3">
        <v>0.1089686379392189</v>
      </c>
      <c r="R842" t="s">
        <v>518</v>
      </c>
      <c r="S842" s="11">
        <v>-0.21827705970027511</v>
      </c>
      <c r="T842" s="3">
        <v>0.74244149323312658</v>
      </c>
      <c r="U842" t="s">
        <v>544</v>
      </c>
    </row>
    <row r="843" spans="1:21" x14ac:dyDescent="0.25">
      <c r="A843" t="s">
        <v>522</v>
      </c>
      <c r="B843" s="11">
        <v>-1.4636638165552951</v>
      </c>
      <c r="C843" s="3">
        <v>0.87576732752300213</v>
      </c>
      <c r="R843" t="s">
        <v>518</v>
      </c>
      <c r="S843" s="11">
        <v>-0.20946287149178611</v>
      </c>
      <c r="T843" s="3">
        <v>0.18887930360487901</v>
      </c>
      <c r="U843" t="s">
        <v>544</v>
      </c>
    </row>
    <row r="844" spans="1:21" x14ac:dyDescent="0.25">
      <c r="A844" t="s">
        <v>522</v>
      </c>
      <c r="B844" s="11">
        <v>-1.302099364708758</v>
      </c>
      <c r="C844" s="3">
        <v>0.51882396988385682</v>
      </c>
      <c r="R844" t="s">
        <v>518</v>
      </c>
      <c r="S844" s="11">
        <v>-0.35411937455045239</v>
      </c>
      <c r="T844" s="3">
        <v>0.93008937672037084</v>
      </c>
      <c r="U844" t="s">
        <v>544</v>
      </c>
    </row>
    <row r="845" spans="1:21" x14ac:dyDescent="0.25">
      <c r="A845" t="s">
        <v>522</v>
      </c>
      <c r="B845" s="11">
        <v>-1.961437802447479</v>
      </c>
      <c r="C845" s="3">
        <v>0.78980888511177938</v>
      </c>
      <c r="R845" t="s">
        <v>518</v>
      </c>
      <c r="S845" s="11">
        <v>-0.21846709896690511</v>
      </c>
      <c r="T845" s="3">
        <v>0.68096930218422058</v>
      </c>
      <c r="U845" t="s">
        <v>544</v>
      </c>
    </row>
    <row r="846" spans="1:21" x14ac:dyDescent="0.25">
      <c r="A846" t="s">
        <v>522</v>
      </c>
      <c r="B846" s="11">
        <v>-1.6188413928389009</v>
      </c>
      <c r="C846" s="3">
        <v>0.22522084232072309</v>
      </c>
      <c r="R846" t="s">
        <v>518</v>
      </c>
      <c r="S846" s="11">
        <v>-0.34728058023226732</v>
      </c>
      <c r="T846" s="3">
        <v>0.72306967803544064</v>
      </c>
      <c r="U846" t="s">
        <v>544</v>
      </c>
    </row>
    <row r="847" spans="1:21" x14ac:dyDescent="0.25">
      <c r="A847" t="s">
        <v>522</v>
      </c>
      <c r="B847" s="11">
        <v>-1.6098584385178489</v>
      </c>
      <c r="C847" s="3">
        <v>0.1200003797312796</v>
      </c>
      <c r="R847" t="s">
        <v>518</v>
      </c>
      <c r="S847" s="11">
        <v>-0.20608812183672059</v>
      </c>
      <c r="T847" s="3">
        <v>0.63601653754895393</v>
      </c>
      <c r="U847" t="s">
        <v>544</v>
      </c>
    </row>
    <row r="848" spans="1:21" x14ac:dyDescent="0.25">
      <c r="A848" t="s">
        <v>522</v>
      </c>
      <c r="B848" s="11">
        <v>-1.4676321336406271</v>
      </c>
      <c r="C848" s="3">
        <v>0.96724011899471685</v>
      </c>
      <c r="R848" t="s">
        <v>518</v>
      </c>
      <c r="S848" s="11">
        <v>-0.26709523250466949</v>
      </c>
      <c r="T848" s="3">
        <v>0.1200003797312796</v>
      </c>
      <c r="U848" t="s">
        <v>544</v>
      </c>
    </row>
    <row r="849" spans="1:21" x14ac:dyDescent="0.25">
      <c r="A849" t="s">
        <v>522</v>
      </c>
      <c r="B849" s="11">
        <v>-1.9706897766851641</v>
      </c>
      <c r="C849" s="3">
        <v>0.57852574224514441</v>
      </c>
      <c r="R849" t="s">
        <v>518</v>
      </c>
      <c r="S849" s="11">
        <v>-0.36015393358388192</v>
      </c>
      <c r="T849" s="3">
        <v>0.76946225597381357</v>
      </c>
      <c r="U849" t="s">
        <v>544</v>
      </c>
    </row>
    <row r="850" spans="1:21" x14ac:dyDescent="0.25">
      <c r="A850" t="s">
        <v>522</v>
      </c>
      <c r="B850" s="11">
        <v>-1.64658575582704</v>
      </c>
      <c r="C850" s="3">
        <v>0.84735875113702974</v>
      </c>
      <c r="R850" t="s">
        <v>518</v>
      </c>
      <c r="S850" s="11">
        <v>-0.56575731660484163</v>
      </c>
      <c r="T850" s="3">
        <v>0.99142877280429653</v>
      </c>
      <c r="U850" t="s">
        <v>544</v>
      </c>
    </row>
    <row r="851" spans="1:21" x14ac:dyDescent="0.25">
      <c r="A851" t="s">
        <v>522</v>
      </c>
      <c r="B851" s="11">
        <v>-1.983345961628999</v>
      </c>
      <c r="C851" s="3">
        <v>0.1850378219080894</v>
      </c>
      <c r="R851" t="s">
        <v>518</v>
      </c>
      <c r="S851" s="11">
        <v>-0.37706060046454049</v>
      </c>
      <c r="T851" s="3">
        <v>0.96526539046505389</v>
      </c>
      <c r="U851" t="s">
        <v>544</v>
      </c>
    </row>
    <row r="852" spans="1:21" x14ac:dyDescent="0.25">
      <c r="A852" t="s">
        <v>522</v>
      </c>
      <c r="B852" s="11">
        <v>-0.46063329460024788</v>
      </c>
      <c r="C852" s="3">
        <v>0.67582937002005616</v>
      </c>
      <c r="R852" t="s">
        <v>518</v>
      </c>
      <c r="S852" s="11">
        <v>-0.3485099936262781</v>
      </c>
      <c r="T852" s="3">
        <v>0.17383620142765499</v>
      </c>
      <c r="U852" t="s">
        <v>544</v>
      </c>
    </row>
    <row r="853" spans="1:21" x14ac:dyDescent="0.25">
      <c r="A853" t="s">
        <v>522</v>
      </c>
      <c r="B853" s="11">
        <v>-0.87726487204493209</v>
      </c>
      <c r="C853" s="3">
        <v>0.71871414594590854</v>
      </c>
      <c r="R853" t="s">
        <v>518</v>
      </c>
      <c r="S853" s="11">
        <v>-0.20491190142881599</v>
      </c>
      <c r="T853" s="3">
        <v>0.67582937002005616</v>
      </c>
      <c r="U853" t="s">
        <v>544</v>
      </c>
    </row>
    <row r="854" spans="1:21" x14ac:dyDescent="0.25">
      <c r="A854" t="s">
        <v>522</v>
      </c>
      <c r="B854" s="11">
        <v>-0.64301349618955461</v>
      </c>
      <c r="C854" s="3">
        <v>0.84972860740667733</v>
      </c>
      <c r="R854" t="s">
        <v>518</v>
      </c>
      <c r="S854" s="11">
        <v>-0.24813344676963059</v>
      </c>
      <c r="T854" s="3">
        <v>0.84972860740667733</v>
      </c>
      <c r="U854" t="s">
        <v>544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29"/>
  <sheetViews>
    <sheetView zoomScale="80" zoomScaleNormal="80" workbookViewId="0">
      <selection activeCell="A6" sqref="A6"/>
    </sheetView>
  </sheetViews>
  <sheetFormatPr defaultRowHeight="15" x14ac:dyDescent="0.25"/>
  <cols>
    <col min="1" max="1" width="118.42578125" bestFit="1" customWidth="1"/>
    <col min="11" max="12" width="8.85546875" bestFit="1" customWidth="1"/>
    <col min="13" max="13" width="9.28515625" style="4" bestFit="1" customWidth="1"/>
    <col min="16" max="16" width="15.5703125" bestFit="1" customWidth="1"/>
    <col min="17" max="17" width="13.42578125" bestFit="1" customWidth="1"/>
    <col min="18" max="19" width="9.5703125" bestFit="1" customWidth="1"/>
    <col min="20" max="21" width="14.5703125" bestFit="1" customWidth="1"/>
    <col min="22" max="23" width="9.5703125" bestFit="1" customWidth="1"/>
    <col min="24" max="24" width="15.5703125" bestFit="1" customWidth="1"/>
    <col min="25" max="25" width="9.5703125" bestFit="1" customWidth="1"/>
    <col min="27" max="27" width="14.5703125" style="4" bestFit="1" customWidth="1"/>
  </cols>
  <sheetData>
    <row r="1" spans="1:27" x14ac:dyDescent="0.25">
      <c r="A1" t="s">
        <v>493</v>
      </c>
      <c r="B1" s="10" t="s">
        <v>494</v>
      </c>
      <c r="C1" s="10"/>
      <c r="D1" s="10"/>
      <c r="E1" s="10"/>
      <c r="F1" s="10"/>
      <c r="G1" s="10"/>
      <c r="H1" s="10"/>
      <c r="I1" s="10"/>
      <c r="J1" s="7"/>
      <c r="K1" t="s">
        <v>507</v>
      </c>
      <c r="M1" s="4" t="s">
        <v>495</v>
      </c>
      <c r="P1" t="s">
        <v>496</v>
      </c>
      <c r="Q1" t="s">
        <v>497</v>
      </c>
      <c r="R1" t="s">
        <v>498</v>
      </c>
      <c r="S1" t="s">
        <v>499</v>
      </c>
      <c r="T1" t="s">
        <v>500</v>
      </c>
      <c r="U1" t="s">
        <v>501</v>
      </c>
      <c r="V1" t="s">
        <v>502</v>
      </c>
      <c r="W1" t="s">
        <v>503</v>
      </c>
      <c r="X1" t="s">
        <v>504</v>
      </c>
      <c r="Y1" t="s">
        <v>505</v>
      </c>
      <c r="AA1" s="4" t="s">
        <v>506</v>
      </c>
    </row>
    <row r="2" spans="1:27" x14ac:dyDescent="0.25">
      <c r="A2" s="1" t="s">
        <v>154</v>
      </c>
      <c r="B2" s="1">
        <v>-1.1328236025340239</v>
      </c>
      <c r="C2" s="1">
        <v>3.027895043816923</v>
      </c>
      <c r="D2" s="1">
        <v>4.8581010217361253</v>
      </c>
      <c r="E2" s="1">
        <v>-3.67659214588044</v>
      </c>
      <c r="F2" s="1">
        <v>3.5885753933825688</v>
      </c>
      <c r="G2" s="1"/>
      <c r="H2" s="1"/>
      <c r="I2" s="1"/>
      <c r="J2" s="1"/>
      <c r="K2" s="8">
        <v>0.90437817732780401</v>
      </c>
      <c r="L2" s="9">
        <v>33</v>
      </c>
      <c r="M2" s="3">
        <v>0.99696668917794118</v>
      </c>
      <c r="N2" s="1"/>
      <c r="O2" s="1"/>
      <c r="P2">
        <v>-2.2756773829207002E-3</v>
      </c>
      <c r="Q2">
        <v>-2.5243904618961501E-2</v>
      </c>
      <c r="R2">
        <v>-1.6492877000907999E-3</v>
      </c>
      <c r="S2">
        <v>6.7668535629484003E-3</v>
      </c>
      <c r="T2">
        <v>-7.7079489944767293E-2</v>
      </c>
      <c r="U2">
        <v>5.9086304206623997E-3</v>
      </c>
      <c r="V2">
        <v>-1.6240551722772899E-2</v>
      </c>
      <c r="W2">
        <v>-7.1863666472982105E-2</v>
      </c>
      <c r="X2">
        <v>3.1023048353903998E-3</v>
      </c>
      <c r="Y2">
        <v>-2.2200319378919999E-4</v>
      </c>
      <c r="AA2" s="4">
        <f t="shared" ref="AA2:AA33" si="0">_xlfn.COVARIANCE.P(P2:Y2,P2:Y2)</f>
        <v>8.908089937806656E-4</v>
      </c>
    </row>
    <row r="3" spans="1:27" x14ac:dyDescent="0.25">
      <c r="A3" s="1" t="s">
        <v>465</v>
      </c>
      <c r="B3" s="1">
        <v>-0.2357474246101339</v>
      </c>
      <c r="C3" s="1">
        <v>-0.45696206949352802</v>
      </c>
      <c r="D3" s="1">
        <v>-1.0974496881624889</v>
      </c>
      <c r="E3" s="1">
        <v>1.057062595641554</v>
      </c>
      <c r="F3" s="1">
        <v>2.237518399194474</v>
      </c>
      <c r="G3" s="1">
        <v>-1.6158465972369991</v>
      </c>
      <c r="H3" s="1">
        <v>-0.90906622008418714</v>
      </c>
      <c r="I3" s="1">
        <v>-2.35420734255933</v>
      </c>
      <c r="J3" s="1"/>
      <c r="K3" s="8">
        <v>0.90122909716040001</v>
      </c>
      <c r="L3" s="9">
        <v>41</v>
      </c>
      <c r="M3" s="3">
        <v>0.22870846034528461</v>
      </c>
      <c r="N3" s="1"/>
      <c r="O3" s="1"/>
      <c r="P3">
        <v>-4.2762754459670002E-4</v>
      </c>
      <c r="Q3">
        <v>-4.5181930094179999E-2</v>
      </c>
      <c r="R3">
        <v>1.1738309352118399E-2</v>
      </c>
      <c r="S3">
        <v>-3.8093022811613998E-3</v>
      </c>
      <c r="T3">
        <v>-5.0316513072763497E-2</v>
      </c>
      <c r="U3">
        <v>2.0929059928333299E-2</v>
      </c>
      <c r="V3">
        <v>1.83517349847588E-2</v>
      </c>
      <c r="W3">
        <v>-3.8288617245336602E-2</v>
      </c>
      <c r="X3">
        <v>1.1289702753350001E-2</v>
      </c>
      <c r="Y3">
        <v>-8.9505989069514999E-2</v>
      </c>
      <c r="AA3" s="4">
        <f t="shared" si="0"/>
        <v>1.2375445677779849E-3</v>
      </c>
    </row>
    <row r="4" spans="1:27" x14ac:dyDescent="0.25">
      <c r="A4" s="1" t="s">
        <v>398</v>
      </c>
      <c r="B4" s="1">
        <v>-0.21854313999542949</v>
      </c>
      <c r="C4" s="1">
        <v>-0.91230769523204946</v>
      </c>
      <c r="D4" s="1">
        <v>0.97147471897005921</v>
      </c>
      <c r="E4" s="1">
        <v>2.2927592666720482</v>
      </c>
      <c r="F4" s="1">
        <v>-1.7176338763915959</v>
      </c>
      <c r="G4" s="1">
        <v>-0.75233803455089909</v>
      </c>
      <c r="H4" s="1">
        <v>-2.5946221247782688</v>
      </c>
      <c r="I4" s="1"/>
      <c r="J4" s="1"/>
      <c r="K4" s="8">
        <v>0.89970865913982301</v>
      </c>
      <c r="L4" s="9">
        <v>116</v>
      </c>
      <c r="M4" s="3">
        <v>0.17826894991460529</v>
      </c>
      <c r="N4" s="1"/>
      <c r="O4" s="1"/>
      <c r="P4">
        <v>9.4300471182728E-3</v>
      </c>
      <c r="Q4">
        <v>8.7024658040185193E-2</v>
      </c>
      <c r="R4">
        <v>7.8327046163622599E-2</v>
      </c>
      <c r="S4">
        <v>8.8373141227503102E-2</v>
      </c>
      <c r="T4">
        <v>0.38904613244831332</v>
      </c>
      <c r="U4">
        <v>5.2306688132891299E-2</v>
      </c>
      <c r="V4">
        <v>4.3249852084861401E-2</v>
      </c>
      <c r="W4">
        <v>0.25954743361550831</v>
      </c>
      <c r="X4">
        <v>2.59488039903835E-2</v>
      </c>
      <c r="Y4">
        <v>7.6433463452751996E-3</v>
      </c>
      <c r="AA4" s="4">
        <f t="shared" si="0"/>
        <v>1.3732053160250418E-2</v>
      </c>
    </row>
    <row r="5" spans="1:27" x14ac:dyDescent="0.25">
      <c r="A5" s="1" t="s">
        <v>262</v>
      </c>
      <c r="B5" s="1">
        <v>-1.572101964350912</v>
      </c>
      <c r="C5" s="1">
        <v>2.2208090005790879</v>
      </c>
      <c r="D5" s="1">
        <v>-1.4279103745033179</v>
      </c>
      <c r="E5" s="1">
        <v>4.2117000407472931</v>
      </c>
      <c r="F5" s="1">
        <v>-1.8746300695398079</v>
      </c>
      <c r="G5" s="1">
        <v>-2.058200867080894</v>
      </c>
      <c r="H5" s="1"/>
      <c r="I5" s="1"/>
      <c r="J5" s="1"/>
      <c r="K5" s="8">
        <v>0.89477433020158903</v>
      </c>
      <c r="L5" s="9">
        <v>102</v>
      </c>
      <c r="M5" s="3">
        <v>0.3056650509059145</v>
      </c>
      <c r="N5" s="1"/>
      <c r="O5" s="1"/>
      <c r="P5">
        <v>-2.1961292905919002E-3</v>
      </c>
      <c r="Q5">
        <v>-0.16590331523242849</v>
      </c>
      <c r="R5">
        <v>6.6531084370917998E-3</v>
      </c>
      <c r="S5">
        <v>2.46545665793832E-2</v>
      </c>
      <c r="T5">
        <v>-0.20288816826805761</v>
      </c>
      <c r="U5">
        <v>-1.3742124533138399E-2</v>
      </c>
      <c r="V5">
        <v>-6.8976418751078003E-2</v>
      </c>
      <c r="W5">
        <v>-0.17823691121377899</v>
      </c>
      <c r="X5">
        <v>-1.5856643591907301E-2</v>
      </c>
      <c r="Y5">
        <v>-0.1395088974163079</v>
      </c>
      <c r="AA5" s="4">
        <f t="shared" si="0"/>
        <v>6.8619866658837583E-3</v>
      </c>
    </row>
    <row r="6" spans="1:27" x14ac:dyDescent="0.25">
      <c r="A6" s="3" t="s">
        <v>261</v>
      </c>
      <c r="B6" s="1">
        <v>-1.9457279367442899</v>
      </c>
      <c r="C6" s="1">
        <v>1.0804123012190749</v>
      </c>
      <c r="D6" s="1">
        <v>3.575261251577063</v>
      </c>
      <c r="E6" s="1">
        <v>-2.499590213630186</v>
      </c>
      <c r="F6" s="1">
        <v>0.89072927117190537</v>
      </c>
      <c r="G6" s="1">
        <v>-1.7129890925390709</v>
      </c>
      <c r="H6" s="1"/>
      <c r="I6" s="1"/>
      <c r="J6" s="1"/>
      <c r="K6" s="8">
        <v>0.88843462700735498</v>
      </c>
      <c r="L6" s="9">
        <v>89</v>
      </c>
      <c r="M6" s="3">
        <v>0.1184825353029758</v>
      </c>
      <c r="N6" s="1"/>
      <c r="O6" s="1"/>
      <c r="P6">
        <v>1.118172061443E-3</v>
      </c>
      <c r="Q6">
        <v>-5.7799673343864001E-3</v>
      </c>
      <c r="R6">
        <v>3.49265319554821E-2</v>
      </c>
      <c r="S6">
        <v>3.3588091558409E-3</v>
      </c>
      <c r="T6">
        <v>-4.1793987292302298E-2</v>
      </c>
      <c r="U6">
        <v>3.0447069581080003E-4</v>
      </c>
      <c r="V6">
        <v>7.5763339163851598E-2</v>
      </c>
      <c r="W6">
        <v>-4.3639072925754996E-3</v>
      </c>
      <c r="X6">
        <v>-6.7648591456171706E-2</v>
      </c>
      <c r="Y6">
        <v>-0.1807889481284933</v>
      </c>
      <c r="AA6" s="4">
        <f t="shared" si="0"/>
        <v>4.2613783756708544E-3</v>
      </c>
    </row>
    <row r="7" spans="1:27" x14ac:dyDescent="0.25">
      <c r="A7" s="1" t="s">
        <v>434</v>
      </c>
      <c r="B7" s="1">
        <v>-0.28908817875356752</v>
      </c>
      <c r="C7" s="1">
        <v>-1.5474770374231761</v>
      </c>
      <c r="D7" s="1">
        <v>1.3632180028209699</v>
      </c>
      <c r="E7" s="1">
        <v>5.7153887864091262</v>
      </c>
      <c r="F7" s="1">
        <v>-2.6693672376371511</v>
      </c>
      <c r="G7" s="1">
        <v>-2.5826898752123819</v>
      </c>
      <c r="H7" s="1">
        <v>1.1384375600764041</v>
      </c>
      <c r="I7" s="1"/>
      <c r="J7" s="1"/>
      <c r="K7" s="8">
        <v>0.88618366932862402</v>
      </c>
      <c r="L7" s="9">
        <v>109</v>
      </c>
      <c r="M7" s="3">
        <v>0.54644476446835677</v>
      </c>
      <c r="N7" s="1"/>
      <c r="O7" s="1"/>
      <c r="P7">
        <v>-1.6456336624402E-3</v>
      </c>
      <c r="Q7">
        <v>-0.12462162485704351</v>
      </c>
      <c r="R7">
        <v>1.6822515431789802E-2</v>
      </c>
      <c r="S7">
        <v>5.1587114691227898E-2</v>
      </c>
      <c r="T7">
        <v>-0.21570543747684229</v>
      </c>
      <c r="U7">
        <v>-3.5212125120275703E-2</v>
      </c>
      <c r="V7">
        <v>-6.5972498027637397E-2</v>
      </c>
      <c r="W7">
        <v>-0.19398925215657001</v>
      </c>
      <c r="X7">
        <v>5.0676202590412001E-2</v>
      </c>
      <c r="Y7">
        <v>-5.4837288103496001E-3</v>
      </c>
      <c r="AA7" s="4">
        <f t="shared" si="0"/>
        <v>8.3418682736985904E-3</v>
      </c>
    </row>
    <row r="8" spans="1:27" x14ac:dyDescent="0.25">
      <c r="A8" s="1" t="s">
        <v>432</v>
      </c>
      <c r="B8" s="1">
        <v>-0.36251182739635518</v>
      </c>
      <c r="C8" s="1">
        <v>-1.4771265743058939</v>
      </c>
      <c r="D8" s="1">
        <v>0.97612179714258906</v>
      </c>
      <c r="E8" s="1">
        <v>2.919188381079183</v>
      </c>
      <c r="F8" s="1">
        <v>-2.0670503185883602</v>
      </c>
      <c r="G8" s="1">
        <v>1.1572844529361019</v>
      </c>
      <c r="H8" s="1">
        <v>-1.5687975156010661</v>
      </c>
      <c r="I8" s="1"/>
      <c r="J8" s="1"/>
      <c r="K8" s="8">
        <v>0.88536006491618802</v>
      </c>
      <c r="L8" s="9">
        <v>91</v>
      </c>
      <c r="M8" s="3">
        <v>0.41318683633122649</v>
      </c>
      <c r="N8" s="1"/>
      <c r="O8" s="1"/>
      <c r="P8">
        <v>-6.4852835038918004E-3</v>
      </c>
      <c r="Q8">
        <v>-0.1497430621841114</v>
      </c>
      <c r="R8">
        <v>-8.60313242380112E-2</v>
      </c>
      <c r="S8">
        <v>-1.0269083476427699E-2</v>
      </c>
      <c r="T8">
        <v>-0.19007086991406461</v>
      </c>
      <c r="U8">
        <v>-1.9010456693156999E-3</v>
      </c>
      <c r="V8">
        <v>-8.8829690407884396E-2</v>
      </c>
      <c r="W8">
        <v>-0.15761815253054309</v>
      </c>
      <c r="X8">
        <v>-6.56276863134133E-2</v>
      </c>
      <c r="Y8">
        <v>-2.1369633630193698E-2</v>
      </c>
      <c r="AA8" s="4">
        <f t="shared" si="0"/>
        <v>4.3080314589903686E-3</v>
      </c>
    </row>
    <row r="9" spans="1:27" x14ac:dyDescent="0.25">
      <c r="A9" s="1" t="s">
        <v>443</v>
      </c>
      <c r="B9" s="1">
        <v>-0.34943267876718398</v>
      </c>
      <c r="C9" s="1">
        <v>-0.74749899254574081</v>
      </c>
      <c r="D9" s="1">
        <v>-1.0179953666219399</v>
      </c>
      <c r="E9" s="1">
        <v>1.975859481571274</v>
      </c>
      <c r="F9" s="1">
        <v>-1.9928627763415661</v>
      </c>
      <c r="G9" s="1">
        <v>0.76649361341592614</v>
      </c>
      <c r="H9" s="1">
        <v>-2.0450744340448379</v>
      </c>
      <c r="I9" s="1"/>
      <c r="J9" s="1"/>
      <c r="K9" s="8">
        <v>0.88376050311837895</v>
      </c>
      <c r="L9" s="9">
        <v>43</v>
      </c>
      <c r="M9" s="3">
        <v>0.45541967084629342</v>
      </c>
      <c r="N9" s="1"/>
      <c r="O9" s="1"/>
      <c r="P9">
        <v>-1.0533780448472999E-3</v>
      </c>
      <c r="Q9">
        <v>1.32740778601658E-2</v>
      </c>
      <c r="R9">
        <v>-2.6905090600804201E-2</v>
      </c>
      <c r="S9">
        <v>1.3678531130947601E-2</v>
      </c>
      <c r="T9">
        <v>5.5899862780709004E-3</v>
      </c>
      <c r="U9">
        <v>2.8331849097592801E-2</v>
      </c>
      <c r="V9">
        <v>1.3304729471378E-2</v>
      </c>
      <c r="W9">
        <v>2.7688147061490202E-2</v>
      </c>
      <c r="X9">
        <v>-0.100995829605643</v>
      </c>
      <c r="Y9">
        <v>-5.1404343629839E-3</v>
      </c>
      <c r="AA9" s="4">
        <f t="shared" si="0"/>
        <v>1.2988608852953724E-3</v>
      </c>
    </row>
    <row r="10" spans="1:27" x14ac:dyDescent="0.25">
      <c r="A10" s="1" t="s">
        <v>281</v>
      </c>
      <c r="B10" s="1">
        <v>-1.5581219972256539</v>
      </c>
      <c r="C10" s="1">
        <v>-7.984914733646443</v>
      </c>
      <c r="D10" s="1">
        <v>5.1253951469858086</v>
      </c>
      <c r="E10" s="1">
        <v>2.042783465842601</v>
      </c>
      <c r="F10" s="1">
        <v>2.4983834554146069</v>
      </c>
      <c r="G10" s="1">
        <v>-2.4999934196170162</v>
      </c>
      <c r="H10" s="1"/>
      <c r="I10" s="1"/>
      <c r="J10" s="1"/>
      <c r="K10" s="8">
        <v>0.88222878204681798</v>
      </c>
      <c r="L10" s="9">
        <v>117</v>
      </c>
      <c r="M10" s="3">
        <v>0.49507328748030371</v>
      </c>
      <c r="N10" s="1"/>
      <c r="O10" s="1"/>
      <c r="P10">
        <v>2.0884018220677001E-3</v>
      </c>
      <c r="Q10">
        <v>-6.5015001722910304E-2</v>
      </c>
      <c r="R10">
        <v>0.13334757587665361</v>
      </c>
      <c r="S10">
        <v>9.6783291299939803E-2</v>
      </c>
      <c r="T10">
        <v>-0.25659906778165747</v>
      </c>
      <c r="U10">
        <v>-9.6173497858379003E-2</v>
      </c>
      <c r="V10">
        <v>-8.5895291139045593E-2</v>
      </c>
      <c r="W10">
        <v>-0.27801547944712163</v>
      </c>
      <c r="X10">
        <v>-8.9436668767779406E-2</v>
      </c>
      <c r="Y10">
        <v>-1.7803604805460001E-2</v>
      </c>
      <c r="AA10" s="4">
        <f t="shared" si="0"/>
        <v>1.5633078104690633E-2</v>
      </c>
    </row>
    <row r="11" spans="1:27" x14ac:dyDescent="0.25">
      <c r="A11" s="1" t="s">
        <v>428</v>
      </c>
      <c r="B11" s="1">
        <v>-0.25046036390740972</v>
      </c>
      <c r="C11" s="1">
        <v>-1.520709976397616</v>
      </c>
      <c r="D11" s="1">
        <v>2.102020932463005</v>
      </c>
      <c r="E11" s="1">
        <v>-1.3649401393591409</v>
      </c>
      <c r="F11" s="1">
        <v>4.1523168535088768</v>
      </c>
      <c r="G11" s="1">
        <v>-1.9106780677456161</v>
      </c>
      <c r="H11" s="1">
        <v>-1.9704719784599609</v>
      </c>
      <c r="I11" s="1"/>
      <c r="J11" s="1"/>
      <c r="K11" s="8">
        <v>0.87908454813768599</v>
      </c>
      <c r="L11" s="9">
        <v>93</v>
      </c>
      <c r="M11" s="3">
        <v>0.38861666717650928</v>
      </c>
      <c r="N11" s="1"/>
      <c r="O11" s="1"/>
      <c r="P11">
        <v>-1.6482861799871999E-3</v>
      </c>
      <c r="Q11">
        <v>-0.13088663138209369</v>
      </c>
      <c r="R11">
        <v>-4.3571876981276002E-3</v>
      </c>
      <c r="S11">
        <v>2.4708471624190601E-2</v>
      </c>
      <c r="T11">
        <v>-0.15483789338317669</v>
      </c>
      <c r="U11">
        <v>-1.6516647973628E-2</v>
      </c>
      <c r="V11">
        <v>-5.3529943322440598E-2</v>
      </c>
      <c r="W11">
        <v>-0.1498447306111369</v>
      </c>
      <c r="X11">
        <v>7.1333165569162804E-2</v>
      </c>
      <c r="Y11">
        <v>-1.2757535923902399E-2</v>
      </c>
      <c r="AA11" s="4">
        <f t="shared" si="0"/>
        <v>5.4233889678993322E-3</v>
      </c>
    </row>
    <row r="12" spans="1:27" x14ac:dyDescent="0.25">
      <c r="A12" s="1" t="s">
        <v>477</v>
      </c>
      <c r="B12" s="1">
        <v>-0.50423776928089925</v>
      </c>
      <c r="C12" s="1">
        <v>-2.289757017921167</v>
      </c>
      <c r="D12" s="1">
        <v>2.4067440019626538</v>
      </c>
      <c r="E12" s="1">
        <v>5.2734506064755804</v>
      </c>
      <c r="F12" s="1">
        <v>-4.3380368186383844</v>
      </c>
      <c r="G12" s="1">
        <v>1.297771398499953</v>
      </c>
      <c r="H12" s="1">
        <v>-1.9975704633239439</v>
      </c>
      <c r="I12" s="1">
        <v>2.5207870672035368</v>
      </c>
      <c r="J12" s="1"/>
      <c r="K12" s="8">
        <v>0.87816873567751896</v>
      </c>
      <c r="L12" s="9">
        <v>47</v>
      </c>
      <c r="M12" s="3">
        <v>0.52528544664079668</v>
      </c>
      <c r="N12" s="1"/>
      <c r="O12" s="1"/>
      <c r="P12">
        <v>-3.2574859421269999E-4</v>
      </c>
      <c r="Q12">
        <v>-3.4726948277761703E-2</v>
      </c>
      <c r="R12">
        <v>1.8421672237026999E-2</v>
      </c>
      <c r="S12">
        <v>1.42204181472617E-2</v>
      </c>
      <c r="T12">
        <v>-7.9320465888528396E-2</v>
      </c>
      <c r="U12">
        <v>-1.1346704934715001E-2</v>
      </c>
      <c r="V12">
        <v>-1.4259796977326499E-2</v>
      </c>
      <c r="W12">
        <v>-7.0034594089238997E-2</v>
      </c>
      <c r="X12">
        <v>5.0182667431235298E-2</v>
      </c>
      <c r="Y12">
        <v>6.3937005384950996E-3</v>
      </c>
      <c r="AA12" s="4">
        <f t="shared" si="0"/>
        <v>1.4376332527326788E-3</v>
      </c>
    </row>
    <row r="13" spans="1:27" x14ac:dyDescent="0.25">
      <c r="A13" s="1" t="s">
        <v>370</v>
      </c>
      <c r="B13" s="1">
        <v>-0.59896323234112292</v>
      </c>
      <c r="C13" s="1">
        <v>-1.3572543953210821</v>
      </c>
      <c r="D13" s="1">
        <v>2.2828353761119691</v>
      </c>
      <c r="E13" s="1">
        <v>-1.228084811350366</v>
      </c>
      <c r="F13" s="1">
        <v>1.9453612397871569</v>
      </c>
      <c r="G13" s="1">
        <v>-2.0142065437827101</v>
      </c>
      <c r="H13" s="1">
        <v>0.80291245765880781</v>
      </c>
      <c r="I13" s="1"/>
      <c r="J13" s="1"/>
      <c r="K13" s="8">
        <v>0.87655910332859399</v>
      </c>
      <c r="L13" s="9">
        <v>32</v>
      </c>
      <c r="M13" s="3">
        <v>0.45483383074542522</v>
      </c>
      <c r="N13" s="1"/>
      <c r="O13" s="1"/>
      <c r="P13">
        <v>-1.5096887040835E-3</v>
      </c>
      <c r="Q13">
        <v>-4.22147534873887E-2</v>
      </c>
      <c r="R13">
        <v>-1.7927340939071501E-2</v>
      </c>
      <c r="S13">
        <v>-2.4085288429456501E-2</v>
      </c>
      <c r="T13">
        <v>-5.4839388327934897E-2</v>
      </c>
      <c r="U13">
        <v>1.2431324940311E-3</v>
      </c>
      <c r="V13">
        <v>-9.4322770816752007E-3</v>
      </c>
      <c r="W13">
        <v>-5.4869546652885001E-2</v>
      </c>
      <c r="X13">
        <v>1.02600456221485E-2</v>
      </c>
      <c r="Y13">
        <v>-8.4608465524521004E-2</v>
      </c>
      <c r="AA13" s="4">
        <f t="shared" si="0"/>
        <v>8.3307685335554365E-4</v>
      </c>
    </row>
    <row r="14" spans="1:27" x14ac:dyDescent="0.25">
      <c r="A14" s="1" t="s">
        <v>294</v>
      </c>
      <c r="B14" s="1">
        <v>-1.1487812989509181</v>
      </c>
      <c r="C14" s="1">
        <v>2.1907385501412668</v>
      </c>
      <c r="D14" s="1">
        <v>-1.4048866553675461</v>
      </c>
      <c r="E14" s="1">
        <v>-5.2808386260393974</v>
      </c>
      <c r="F14" s="1">
        <v>4.221813267361572</v>
      </c>
      <c r="G14" s="1">
        <v>2.5685960040933078</v>
      </c>
      <c r="H14" s="1"/>
      <c r="I14" s="1"/>
      <c r="J14" s="1"/>
      <c r="K14" s="8">
        <v>0.87400538184968002</v>
      </c>
      <c r="L14" s="9">
        <v>99</v>
      </c>
      <c r="M14" s="3">
        <v>0.59529622921894798</v>
      </c>
      <c r="N14" s="1"/>
      <c r="O14" s="1"/>
      <c r="P14">
        <v>2.3304825825431002E-3</v>
      </c>
      <c r="Q14">
        <v>-2.8965808484656599E-2</v>
      </c>
      <c r="R14">
        <v>4.0210248832093898E-2</v>
      </c>
      <c r="S14">
        <v>9.4699372188316894E-2</v>
      </c>
      <c r="T14">
        <v>-0.15144570683869271</v>
      </c>
      <c r="U14">
        <v>-1.9360853858194998E-2</v>
      </c>
      <c r="V14">
        <v>1.7000700520352002E-2</v>
      </c>
      <c r="W14">
        <v>-0.15983055296361151</v>
      </c>
      <c r="X14">
        <v>4.3124325941087102E-2</v>
      </c>
      <c r="Y14">
        <v>5.5452544029905397E-2</v>
      </c>
      <c r="AA14" s="4">
        <f t="shared" si="0"/>
        <v>6.4369141882197178E-3</v>
      </c>
    </row>
    <row r="15" spans="1:27" x14ac:dyDescent="0.25">
      <c r="A15" s="1" t="s">
        <v>289</v>
      </c>
      <c r="B15" s="1">
        <v>-2.2374106342486999</v>
      </c>
      <c r="C15" s="1">
        <v>1.338559804520558</v>
      </c>
      <c r="D15" s="1">
        <v>-7.1591617925057598</v>
      </c>
      <c r="E15" s="1">
        <v>5.6713539716436099</v>
      </c>
      <c r="F15" s="1">
        <v>1.0873714192694111</v>
      </c>
      <c r="G15" s="1">
        <v>2.4494442411844868</v>
      </c>
      <c r="H15" s="1"/>
      <c r="I15" s="1"/>
      <c r="J15" s="1"/>
      <c r="K15" s="8">
        <v>0.86955786611512498</v>
      </c>
      <c r="L15" s="9">
        <v>69</v>
      </c>
      <c r="M15" s="3">
        <v>0.81618489217664858</v>
      </c>
      <c r="N15" s="1"/>
      <c r="O15" s="1"/>
      <c r="P15">
        <v>-2.163734017045E-4</v>
      </c>
      <c r="Q15">
        <v>-1.35186260215421E-2</v>
      </c>
      <c r="R15">
        <v>4.4706132792825997E-3</v>
      </c>
      <c r="S15">
        <v>7.6441182922634002E-3</v>
      </c>
      <c r="T15">
        <v>-0.1026565878505946</v>
      </c>
      <c r="U15">
        <v>-3.1345150065569899E-2</v>
      </c>
      <c r="V15">
        <v>-3.6409914387890298E-2</v>
      </c>
      <c r="W15">
        <v>-0.14464699874913611</v>
      </c>
      <c r="X15">
        <v>1.14279874922387E-2</v>
      </c>
      <c r="Y15">
        <v>4.5783860393476497E-2</v>
      </c>
      <c r="AA15" s="4">
        <f t="shared" si="0"/>
        <v>2.9524993245469409E-3</v>
      </c>
    </row>
    <row r="16" spans="1:27" x14ac:dyDescent="0.25">
      <c r="A16" s="1" t="s">
        <v>305</v>
      </c>
      <c r="B16" s="1">
        <v>-0.83667616101502773</v>
      </c>
      <c r="C16" s="1">
        <v>-1.430372237191464</v>
      </c>
      <c r="D16" s="1">
        <v>1.541442802781857</v>
      </c>
      <c r="E16" s="1">
        <v>0.71080044440910073</v>
      </c>
      <c r="F16" s="1">
        <v>1.1813747745860641</v>
      </c>
      <c r="G16" s="1">
        <v>-0.87890582239760517</v>
      </c>
      <c r="H16" s="1"/>
      <c r="I16" s="1"/>
      <c r="J16" s="1"/>
      <c r="K16" s="8">
        <v>0.86896250111808504</v>
      </c>
      <c r="L16" s="9">
        <v>106</v>
      </c>
      <c r="M16" s="3">
        <v>0.1899297237265645</v>
      </c>
      <c r="N16" s="1"/>
      <c r="O16" s="1"/>
      <c r="P16">
        <v>-3.8450689037307999E-3</v>
      </c>
      <c r="Q16">
        <v>-4.7863443405299001E-2</v>
      </c>
      <c r="R16">
        <v>-8.0763904762099603E-2</v>
      </c>
      <c r="S16">
        <v>-0.1254044225710749</v>
      </c>
      <c r="T16">
        <v>-3.6304317956935298E-2</v>
      </c>
      <c r="U16">
        <v>5.7045715466001699E-2</v>
      </c>
      <c r="V16">
        <v>0.1345165509986849</v>
      </c>
      <c r="W16">
        <v>-5.5220043535685902E-2</v>
      </c>
      <c r="X16">
        <v>-0.1545795332981777</v>
      </c>
      <c r="Y16">
        <v>-0.16437176329647421</v>
      </c>
      <c r="AA16" s="4">
        <f t="shared" si="0"/>
        <v>7.8450960359225334E-3</v>
      </c>
    </row>
    <row r="17" spans="1:27" x14ac:dyDescent="0.25">
      <c r="A17" s="1" t="s">
        <v>392</v>
      </c>
      <c r="B17" s="1">
        <v>-0.21832103798777139</v>
      </c>
      <c r="C17" s="1">
        <v>-0.83317327495335802</v>
      </c>
      <c r="D17" s="1">
        <v>0.87435407856128888</v>
      </c>
      <c r="E17" s="1">
        <v>2.097775054108951</v>
      </c>
      <c r="F17" s="1">
        <v>-1.514111659546298</v>
      </c>
      <c r="G17" s="1">
        <v>-0.68184134347409908</v>
      </c>
      <c r="H17" s="1">
        <v>-2.372677319630569</v>
      </c>
      <c r="I17" s="1"/>
      <c r="J17" s="1"/>
      <c r="K17" s="8">
        <v>0.86633918255930897</v>
      </c>
      <c r="L17" s="9">
        <v>118</v>
      </c>
      <c r="M17" s="3">
        <v>0.13939834915146149</v>
      </c>
      <c r="N17" s="1"/>
      <c r="O17" s="1"/>
      <c r="P17">
        <v>9.7236948845684998E-3</v>
      </c>
      <c r="Q17">
        <v>9.4578624566207498E-2</v>
      </c>
      <c r="R17">
        <v>9.1341127595483698E-2</v>
      </c>
      <c r="S17">
        <v>0.11076298087323069</v>
      </c>
      <c r="T17">
        <v>0.42087494343713799</v>
      </c>
      <c r="U17">
        <v>5.1073358459514197E-2</v>
      </c>
      <c r="V17">
        <v>3.8796614577594597E-2</v>
      </c>
      <c r="W17">
        <v>0.28002807239997329</v>
      </c>
      <c r="X17">
        <v>3.2863700040237198E-2</v>
      </c>
      <c r="Y17">
        <v>8.0924024972560003E-4</v>
      </c>
      <c r="AA17" s="4">
        <f t="shared" si="0"/>
        <v>1.6251438287960367E-2</v>
      </c>
    </row>
    <row r="18" spans="1:27" x14ac:dyDescent="0.25">
      <c r="A18" s="1" t="s">
        <v>479</v>
      </c>
      <c r="B18" s="1">
        <v>-0.4358309286460883</v>
      </c>
      <c r="C18" s="1">
        <v>-2.2407267316790609</v>
      </c>
      <c r="D18" s="1">
        <v>1.4224295926250989</v>
      </c>
      <c r="E18" s="1">
        <v>3.9976075479904152</v>
      </c>
      <c r="F18" s="1">
        <v>-3.3366234062581941</v>
      </c>
      <c r="G18" s="1">
        <v>0.93287670897277464</v>
      </c>
      <c r="H18" s="1">
        <v>-1.5868430017176789</v>
      </c>
      <c r="I18" s="1">
        <v>0.80512602415322365</v>
      </c>
      <c r="J18" s="1"/>
      <c r="K18" s="8">
        <v>0.86570913175578201</v>
      </c>
      <c r="L18" s="9">
        <v>105</v>
      </c>
      <c r="M18" s="3">
        <v>0.24638540345356849</v>
      </c>
      <c r="N18" s="1"/>
      <c r="O18" s="1"/>
      <c r="P18">
        <v>-5.1611456915213998E-3</v>
      </c>
      <c r="Q18">
        <v>-0.12958097801167251</v>
      </c>
      <c r="R18">
        <v>-1.7275221534199501E-2</v>
      </c>
      <c r="S18">
        <v>-5.3949967533758001E-3</v>
      </c>
      <c r="T18">
        <v>-0.2257706142694669</v>
      </c>
      <c r="U18">
        <v>-3.70581980657263E-2</v>
      </c>
      <c r="V18">
        <v>-4.2735322511995903E-2</v>
      </c>
      <c r="W18">
        <v>-0.19038361070620111</v>
      </c>
      <c r="X18">
        <v>6.9705796748209994E-2</v>
      </c>
      <c r="Y18">
        <v>1.4534556088679999E-4</v>
      </c>
      <c r="AA18" s="4">
        <f t="shared" si="0"/>
        <v>7.8373964192262214E-3</v>
      </c>
    </row>
    <row r="19" spans="1:27" x14ac:dyDescent="0.25">
      <c r="A19" s="1" t="s">
        <v>481</v>
      </c>
      <c r="B19" s="1">
        <v>-0.35506735358816988</v>
      </c>
      <c r="C19" s="1">
        <v>-0.31102325633392558</v>
      </c>
      <c r="D19" s="1">
        <v>-1.61826408907029</v>
      </c>
      <c r="E19" s="1">
        <v>-2.7301119852740601</v>
      </c>
      <c r="F19" s="1">
        <v>2.5820829363854698</v>
      </c>
      <c r="G19" s="1">
        <v>3.9020666153238008</v>
      </c>
      <c r="H19" s="1">
        <v>-3.3971217230658199</v>
      </c>
      <c r="I19" s="1">
        <v>-2.658774561154289</v>
      </c>
      <c r="J19" s="1"/>
      <c r="K19" s="8">
        <v>0.86429193132377602</v>
      </c>
      <c r="L19" s="9">
        <v>19</v>
      </c>
      <c r="M19" s="3">
        <v>0.56996931103138504</v>
      </c>
      <c r="N19" s="1"/>
      <c r="O19" s="1"/>
      <c r="P19">
        <v>7.7962044574430005E-4</v>
      </c>
      <c r="Q19">
        <v>1.6197144089317599E-2</v>
      </c>
      <c r="R19">
        <v>7.6619308131135001E-3</v>
      </c>
      <c r="S19">
        <v>2.4104386357583999E-3</v>
      </c>
      <c r="T19">
        <v>-6.0365679330306003E-3</v>
      </c>
      <c r="U19">
        <v>-7.5393662222015996E-3</v>
      </c>
      <c r="V19">
        <v>-1.7436020501938999E-3</v>
      </c>
      <c r="W19">
        <v>-1.52549797543978E-2</v>
      </c>
      <c r="X19">
        <v>-3.9386516047385398E-2</v>
      </c>
      <c r="Y19">
        <v>3.94210568087E-4</v>
      </c>
      <c r="AA19" s="4">
        <f t="shared" si="0"/>
        <v>2.0271851074195579E-4</v>
      </c>
    </row>
    <row r="20" spans="1:27" x14ac:dyDescent="0.25">
      <c r="A20" s="1" t="s">
        <v>387</v>
      </c>
      <c r="B20" s="1">
        <v>-0.44706341626981078</v>
      </c>
      <c r="C20" s="1">
        <v>-1.730827700761195</v>
      </c>
      <c r="D20" s="1">
        <v>1.806037002924634</v>
      </c>
      <c r="E20" s="1">
        <v>4.5888591971096986</v>
      </c>
      <c r="F20" s="1">
        <v>-1.8186255967980409</v>
      </c>
      <c r="G20" s="1">
        <v>-3.4777382992392281</v>
      </c>
      <c r="H20" s="1">
        <v>-5.510845123921702</v>
      </c>
      <c r="I20" s="1"/>
      <c r="J20" s="1"/>
      <c r="K20" s="8">
        <v>0.86236214636275799</v>
      </c>
      <c r="L20" s="9">
        <v>24</v>
      </c>
      <c r="M20" s="3">
        <v>0.93425399770073236</v>
      </c>
      <c r="N20" s="1"/>
      <c r="O20" s="1"/>
      <c r="P20">
        <v>1.3924806647252E-3</v>
      </c>
      <c r="Q20">
        <v>1.7326648699761901E-2</v>
      </c>
      <c r="R20">
        <v>2.0031862384463001E-3</v>
      </c>
      <c r="S20">
        <v>-3.4679809707149998E-4</v>
      </c>
      <c r="T20">
        <v>5.0594096756647798E-2</v>
      </c>
      <c r="U20">
        <v>7.6492019270030004E-4</v>
      </c>
      <c r="V20">
        <v>2.0725500555437001E-3</v>
      </c>
      <c r="W20">
        <v>2.9003474163621399E-2</v>
      </c>
      <c r="X20">
        <v>-3.7193281349762E-3</v>
      </c>
      <c r="Y20">
        <v>2.3905262559892799E-2</v>
      </c>
      <c r="AA20" s="4">
        <f t="shared" si="0"/>
        <v>2.7846107367680828E-4</v>
      </c>
    </row>
    <row r="21" spans="1:27" x14ac:dyDescent="0.25">
      <c r="A21" s="1" t="s">
        <v>161</v>
      </c>
      <c r="B21" s="1">
        <v>-1.800813888411996</v>
      </c>
      <c r="C21" s="1">
        <v>2.8694395366465528</v>
      </c>
      <c r="D21" s="1">
        <v>-1.70524204254713</v>
      </c>
      <c r="E21" s="1">
        <v>2.66991905427383</v>
      </c>
      <c r="F21" s="1">
        <v>-2.3139624241295889</v>
      </c>
      <c r="G21" s="1"/>
      <c r="H21" s="1"/>
      <c r="I21" s="1"/>
      <c r="J21" s="1"/>
      <c r="K21" s="8">
        <v>0.86126640143443201</v>
      </c>
      <c r="L21" s="9">
        <v>62</v>
      </c>
      <c r="M21" s="3">
        <v>0.71053418806234436</v>
      </c>
      <c r="N21" s="1"/>
      <c r="O21" s="1"/>
      <c r="P21">
        <v>-1.0105070576184E-3</v>
      </c>
      <c r="Q21">
        <v>-7.9097879946857103E-2</v>
      </c>
      <c r="R21">
        <v>-5.0981055022677997E-3</v>
      </c>
      <c r="S21">
        <v>3.0352147629367E-3</v>
      </c>
      <c r="T21">
        <v>-5.66623811332366E-2</v>
      </c>
      <c r="U21">
        <v>-7.8297558294011999E-2</v>
      </c>
      <c r="V21">
        <v>-0.100475156548493</v>
      </c>
      <c r="W21">
        <v>-8.6915676823982504E-2</v>
      </c>
      <c r="X21">
        <v>6.2575412938135094E-2</v>
      </c>
      <c r="Y21">
        <v>-2.2636033789943302E-2</v>
      </c>
      <c r="AA21" s="4">
        <f t="shared" si="0"/>
        <v>2.441944387861925E-3</v>
      </c>
    </row>
    <row r="22" spans="1:27" x14ac:dyDescent="0.25">
      <c r="A22" s="1" t="s">
        <v>283</v>
      </c>
      <c r="B22" s="1">
        <v>-0.76490813049210404</v>
      </c>
      <c r="C22" s="1">
        <v>2.111281252782597</v>
      </c>
      <c r="D22" s="1">
        <v>1.5056967467517881</v>
      </c>
      <c r="E22" s="1">
        <v>2.157073798179113</v>
      </c>
      <c r="F22" s="1">
        <v>-1.924612288090312</v>
      </c>
      <c r="G22" s="1">
        <v>2.771611635050065</v>
      </c>
      <c r="H22" s="1"/>
      <c r="I22" s="1"/>
      <c r="J22" s="1"/>
      <c r="K22" s="8">
        <v>0.86098117736180202</v>
      </c>
      <c r="L22" s="9">
        <v>46</v>
      </c>
      <c r="M22" s="3">
        <v>0.7960755495187013</v>
      </c>
      <c r="N22" s="1"/>
      <c r="O22" s="1"/>
      <c r="P22">
        <v>3.6548308665141E-3</v>
      </c>
      <c r="Q22">
        <v>1.79336258469402E-2</v>
      </c>
      <c r="R22">
        <v>6.7797452425136906E-2</v>
      </c>
      <c r="S22">
        <v>0.11285573037337519</v>
      </c>
      <c r="T22">
        <v>-1.8723963640594999E-3</v>
      </c>
      <c r="U22">
        <v>-1.4836395647023E-3</v>
      </c>
      <c r="V22">
        <v>4.4266215209030001E-4</v>
      </c>
      <c r="W22">
        <v>2.4851862832729901E-2</v>
      </c>
      <c r="X22">
        <v>-1.0324853687334899E-2</v>
      </c>
      <c r="Y22">
        <v>1.2191117453263201E-2</v>
      </c>
      <c r="AA22" s="4">
        <f t="shared" si="0"/>
        <v>1.3436930048371925E-3</v>
      </c>
    </row>
    <row r="23" spans="1:27" x14ac:dyDescent="0.25">
      <c r="A23" s="1" t="s">
        <v>233</v>
      </c>
      <c r="B23" s="1">
        <v>2.1295232586751691</v>
      </c>
      <c r="C23" s="1">
        <v>2.0257029654388128</v>
      </c>
      <c r="D23" s="1">
        <v>1.343202393250374</v>
      </c>
      <c r="E23" s="1">
        <v>-1.6011070173768649</v>
      </c>
      <c r="F23" s="1">
        <v>-2.642346940243816</v>
      </c>
      <c r="G23" s="1">
        <v>-1.873183257526883</v>
      </c>
      <c r="H23" s="1"/>
      <c r="I23" s="1"/>
      <c r="J23" s="1"/>
      <c r="K23" s="8">
        <v>0.86042527990247397</v>
      </c>
      <c r="L23" s="9">
        <v>123</v>
      </c>
      <c r="M23" s="3">
        <v>0.25494149402139399</v>
      </c>
      <c r="N23" s="1"/>
      <c r="O23" s="1"/>
      <c r="P23">
        <v>-1.1377676501624899E-2</v>
      </c>
      <c r="Q23">
        <v>-0.26558413522190422</v>
      </c>
      <c r="R23">
        <v>-7.5490127591858705E-2</v>
      </c>
      <c r="S23">
        <v>-8.8083199804992102E-2</v>
      </c>
      <c r="T23">
        <v>-0.50460794959424549</v>
      </c>
      <c r="U23">
        <v>-1.56135348607431E-2</v>
      </c>
      <c r="V23">
        <v>2.2396017397379502E-2</v>
      </c>
      <c r="W23">
        <v>-0.40962556783095372</v>
      </c>
      <c r="X23">
        <v>-0.1478052811263165</v>
      </c>
      <c r="Y23">
        <v>-6.8946073890798999E-3</v>
      </c>
      <c r="AA23" s="4">
        <f t="shared" si="0"/>
        <v>3.0337684302590373E-2</v>
      </c>
    </row>
    <row r="24" spans="1:27" x14ac:dyDescent="0.25">
      <c r="A24" s="1" t="s">
        <v>385</v>
      </c>
      <c r="B24" s="1">
        <v>-0.30240703826270532</v>
      </c>
      <c r="C24" s="1">
        <v>-0.92485938447402027</v>
      </c>
      <c r="D24" s="1">
        <v>1.247358907182025</v>
      </c>
      <c r="E24" s="1">
        <v>3.3150203899875241</v>
      </c>
      <c r="F24" s="1">
        <v>-2.5016550672056201</v>
      </c>
      <c r="G24" s="1">
        <v>-0.98274913440982825</v>
      </c>
      <c r="H24" s="1">
        <v>-3.2551188328708118</v>
      </c>
      <c r="I24" s="1"/>
      <c r="J24" s="1"/>
      <c r="K24" s="8">
        <v>0.86018116734169203</v>
      </c>
      <c r="L24" s="9">
        <v>63</v>
      </c>
      <c r="M24" s="3">
        <v>0.46643423991917787</v>
      </c>
      <c r="N24" s="1"/>
      <c r="O24" s="1"/>
      <c r="P24">
        <v>-8.9703550377350004E-4</v>
      </c>
      <c r="Q24">
        <v>-1.9993462408352099E-2</v>
      </c>
      <c r="R24">
        <v>1.9715441084393998E-3</v>
      </c>
      <c r="S24">
        <v>8.4103256295048695E-2</v>
      </c>
      <c r="T24">
        <v>-0.11636137082309481</v>
      </c>
      <c r="U24">
        <v>-8.1423961074247007E-3</v>
      </c>
      <c r="V24">
        <v>5.0913110042687003E-3</v>
      </c>
      <c r="W24">
        <v>-7.3140397986108593E-2</v>
      </c>
      <c r="X24">
        <v>-9.9825130283833999E-3</v>
      </c>
      <c r="Y24">
        <v>1.2395780055867899E-2</v>
      </c>
      <c r="AA24" s="4">
        <f t="shared" si="0"/>
        <v>2.5151418036648858E-3</v>
      </c>
    </row>
    <row r="25" spans="1:27" x14ac:dyDescent="0.25">
      <c r="A25" s="1" t="s">
        <v>184</v>
      </c>
      <c r="B25" s="1">
        <v>-0.3256959593048952</v>
      </c>
      <c r="C25" s="1">
        <v>-1.617616413483038</v>
      </c>
      <c r="D25" s="1">
        <v>3.4238420025469019</v>
      </c>
      <c r="E25" s="1">
        <v>-3.601884332604151</v>
      </c>
      <c r="F25" s="1">
        <v>-2.2086709541321712</v>
      </c>
      <c r="G25" s="1"/>
      <c r="H25" s="1"/>
      <c r="I25" s="1"/>
      <c r="J25" s="1"/>
      <c r="K25" s="8">
        <v>0.85904887089169901</v>
      </c>
      <c r="L25" s="9">
        <v>97</v>
      </c>
      <c r="M25" s="3">
        <v>0.21869162198824671</v>
      </c>
      <c r="N25" s="1"/>
      <c r="O25" s="1"/>
      <c r="P25">
        <v>-1.0677780955131499E-2</v>
      </c>
      <c r="Q25">
        <v>-8.8405066900145393E-2</v>
      </c>
      <c r="R25">
        <v>-0.1839311637383893</v>
      </c>
      <c r="S25">
        <v>-0.1329915780778449</v>
      </c>
      <c r="T25">
        <v>2.31283343774106E-2</v>
      </c>
      <c r="U25">
        <v>2.2387821434240899E-2</v>
      </c>
      <c r="V25">
        <v>7.43999586597867E-2</v>
      </c>
      <c r="W25">
        <v>-9.6170253468518402E-2</v>
      </c>
      <c r="X25">
        <v>-2.1131967686129401E-2</v>
      </c>
      <c r="Y25">
        <v>-0.1160659229937499</v>
      </c>
      <c r="AA25" s="4">
        <f t="shared" si="0"/>
        <v>6.115243106402414E-3</v>
      </c>
    </row>
    <row r="26" spans="1:27" x14ac:dyDescent="0.25">
      <c r="A26" s="1" t="s">
        <v>111</v>
      </c>
      <c r="B26" s="1">
        <v>-0.66187798820525734</v>
      </c>
      <c r="C26" s="1">
        <v>-1.6754513607867321</v>
      </c>
      <c r="D26" s="1">
        <v>1.421776440482361</v>
      </c>
      <c r="E26" s="1">
        <v>0.59466117137108399</v>
      </c>
      <c r="F26" s="1"/>
      <c r="G26" s="1"/>
      <c r="H26" s="1"/>
      <c r="I26" s="1"/>
      <c r="J26" s="1"/>
      <c r="K26" s="8">
        <v>0.85462612429030105</v>
      </c>
      <c r="L26" s="9">
        <v>112</v>
      </c>
      <c r="M26" s="3">
        <v>0.16241031752135329</v>
      </c>
      <c r="N26" s="1"/>
      <c r="O26" s="1"/>
      <c r="P26">
        <v>-1.1081402806726899E-2</v>
      </c>
      <c r="Q26">
        <v>-0.17983344287331979</v>
      </c>
      <c r="R26">
        <v>-0.18231827060974251</v>
      </c>
      <c r="S26">
        <v>-0.16891890448363531</v>
      </c>
      <c r="T26">
        <v>-0.17368374488976229</v>
      </c>
      <c r="U26">
        <v>-2.9360084914186999E-3</v>
      </c>
      <c r="V26">
        <v>-1.6424130260676399E-2</v>
      </c>
      <c r="W26">
        <v>-0.33252211392029002</v>
      </c>
      <c r="X26">
        <v>-8.1163587121230299E-2</v>
      </c>
      <c r="Y26">
        <v>-0.14343059794216079</v>
      </c>
      <c r="AA26" s="4">
        <f t="shared" si="0"/>
        <v>9.5404565634590079E-3</v>
      </c>
    </row>
    <row r="27" spans="1:27" x14ac:dyDescent="0.25">
      <c r="A27" s="1" t="s">
        <v>423</v>
      </c>
      <c r="B27" s="1">
        <v>-0.58072886888512054</v>
      </c>
      <c r="C27" s="1">
        <v>-1.7010038085152901</v>
      </c>
      <c r="D27" s="1">
        <v>4.6858643701682272</v>
      </c>
      <c r="E27" s="1">
        <v>-3.3458078898459052</v>
      </c>
      <c r="F27" s="1">
        <v>1.448141674792319</v>
      </c>
      <c r="G27" s="1">
        <v>-2.758512635527028</v>
      </c>
      <c r="H27" s="1">
        <v>-1.644301265285673</v>
      </c>
      <c r="I27" s="1"/>
      <c r="J27" s="1"/>
      <c r="K27" s="8">
        <v>0.85358802688844804</v>
      </c>
      <c r="L27" s="9">
        <v>79</v>
      </c>
      <c r="M27" s="3">
        <v>0.79241537964468156</v>
      </c>
      <c r="N27" s="1"/>
      <c r="O27" s="1"/>
      <c r="P27">
        <v>-2.7647809479990001E-3</v>
      </c>
      <c r="Q27">
        <v>-0.1020578193007137</v>
      </c>
      <c r="R27">
        <v>1.7042558393532602E-2</v>
      </c>
      <c r="S27">
        <v>-3.45205574047803E-2</v>
      </c>
      <c r="T27">
        <v>-0.14808411132661209</v>
      </c>
      <c r="U27">
        <v>-1.19498441829034E-2</v>
      </c>
      <c r="V27">
        <v>2.58869803215739E-2</v>
      </c>
      <c r="W27">
        <v>-0.14419537588191531</v>
      </c>
      <c r="X27">
        <v>-2.4871536195360502E-2</v>
      </c>
      <c r="Y27">
        <v>-6.0819360658964997E-3</v>
      </c>
      <c r="AA27" s="4">
        <f t="shared" si="0"/>
        <v>3.746774121321122E-3</v>
      </c>
    </row>
    <row r="28" spans="1:27" x14ac:dyDescent="0.25">
      <c r="A28" s="1" t="s">
        <v>306</v>
      </c>
      <c r="B28" s="1">
        <v>-0.2407050269126508</v>
      </c>
      <c r="C28" s="1">
        <v>-1.342422074640107</v>
      </c>
      <c r="D28" s="1">
        <v>1.1452502299902649</v>
      </c>
      <c r="E28" s="1">
        <v>0.74169140218991736</v>
      </c>
      <c r="F28" s="1">
        <v>1.834699001277829</v>
      </c>
      <c r="G28" s="1">
        <v>-1.887508952129956</v>
      </c>
      <c r="H28" s="1"/>
      <c r="I28" s="1"/>
      <c r="J28" s="1"/>
      <c r="K28" s="8">
        <v>0.85135869024127298</v>
      </c>
      <c r="L28" s="9">
        <v>96</v>
      </c>
      <c r="M28" s="3">
        <v>0.20311040955114479</v>
      </c>
      <c r="N28" s="1"/>
      <c r="O28" s="1"/>
      <c r="P28">
        <v>-3.9220410110852996E-3</v>
      </c>
      <c r="Q28">
        <v>-3.9908436446714997E-2</v>
      </c>
      <c r="R28">
        <v>-4.6127355177181299E-2</v>
      </c>
      <c r="S28">
        <v>-5.2881056655510001E-3</v>
      </c>
      <c r="T28">
        <v>-0.1806537459499164</v>
      </c>
      <c r="U28">
        <v>5.7075945837007702E-2</v>
      </c>
      <c r="V28">
        <v>-8.4919817915408397E-2</v>
      </c>
      <c r="W28">
        <v>-0.21068409794038431</v>
      </c>
      <c r="X28">
        <v>-4.3268066749687799E-2</v>
      </c>
      <c r="Y28">
        <v>-9.0685528468088999E-2</v>
      </c>
      <c r="AA28" s="4">
        <f t="shared" si="0"/>
        <v>5.9312532986309802E-3</v>
      </c>
    </row>
    <row r="29" spans="1:27" x14ac:dyDescent="0.25">
      <c r="A29" s="1" t="s">
        <v>374</v>
      </c>
      <c r="B29" s="1">
        <v>-0.76521965285913018</v>
      </c>
      <c r="C29" s="1">
        <v>-1.5053305904204459</v>
      </c>
      <c r="D29" s="1">
        <v>0.84173382419129172</v>
      </c>
      <c r="E29" s="1">
        <v>0.61150493903829528</v>
      </c>
      <c r="F29" s="1">
        <v>1.291086225137333</v>
      </c>
      <c r="G29" s="1">
        <v>-1.121545954731296</v>
      </c>
      <c r="H29" s="1">
        <v>-1.0601096578564271</v>
      </c>
      <c r="I29" s="1"/>
      <c r="J29" s="1"/>
      <c r="K29" s="8">
        <v>0.85106794488729398</v>
      </c>
      <c r="L29" s="9">
        <v>85</v>
      </c>
      <c r="M29" s="3">
        <v>0.21844847365283029</v>
      </c>
      <c r="N29" s="1"/>
      <c r="O29" s="1"/>
      <c r="P29">
        <v>-1.0641592256903001E-3</v>
      </c>
      <c r="Q29">
        <v>-2.3542917098924601E-2</v>
      </c>
      <c r="R29">
        <v>1.4519256577790001E-3</v>
      </c>
      <c r="S29">
        <v>-3.0496247740318099E-2</v>
      </c>
      <c r="T29">
        <v>-3.1499306441134502E-2</v>
      </c>
      <c r="U29">
        <v>2.80588949222914E-2</v>
      </c>
      <c r="V29">
        <v>3.4675732993568499E-2</v>
      </c>
      <c r="W29">
        <v>-2.8435686532799299E-2</v>
      </c>
      <c r="X29">
        <v>-0.13582033825922421</v>
      </c>
      <c r="Y29">
        <v>-0.1746527316442589</v>
      </c>
      <c r="AA29" s="4">
        <f t="shared" si="0"/>
        <v>4.1173210647263521E-3</v>
      </c>
    </row>
    <row r="30" spans="1:27" x14ac:dyDescent="0.25">
      <c r="A30" s="1" t="s">
        <v>371</v>
      </c>
      <c r="B30" s="1">
        <v>-0.41123220716338388</v>
      </c>
      <c r="C30" s="1">
        <v>-0.41780856773318448</v>
      </c>
      <c r="D30" s="1">
        <v>1.669095387648885</v>
      </c>
      <c r="E30" s="1">
        <v>2.366858493952182</v>
      </c>
      <c r="F30" s="1">
        <v>-0.93414647445689636</v>
      </c>
      <c r="G30" s="1">
        <v>-1.90467452957335</v>
      </c>
      <c r="H30" s="1">
        <v>-2.1955847564244468</v>
      </c>
      <c r="I30" s="1"/>
      <c r="J30" s="1"/>
      <c r="K30" s="8">
        <v>0.84951029378892895</v>
      </c>
      <c r="L30" s="9">
        <v>78</v>
      </c>
      <c r="M30" s="3">
        <v>0.1304210889068497</v>
      </c>
      <c r="N30" s="1"/>
      <c r="O30" s="1"/>
      <c r="P30">
        <v>-6.5347179258807E-3</v>
      </c>
      <c r="Q30">
        <v>-5.6342209092563197E-2</v>
      </c>
      <c r="R30">
        <v>-0.1159877620045002</v>
      </c>
      <c r="S30">
        <v>-9.3788452030813305E-2</v>
      </c>
      <c r="T30">
        <v>-6.7728359418140302E-2</v>
      </c>
      <c r="U30">
        <v>-1.1050930296986399E-2</v>
      </c>
      <c r="V30">
        <v>-6.6806837190393998E-3</v>
      </c>
      <c r="W30">
        <v>-4.9968525724552501E-2</v>
      </c>
      <c r="X30">
        <v>-0.21189977691339229</v>
      </c>
      <c r="Y30">
        <v>-5.4620658202661598E-2</v>
      </c>
      <c r="AA30" s="4">
        <f t="shared" si="0"/>
        <v>3.509345631557189E-3</v>
      </c>
    </row>
    <row r="31" spans="1:27" x14ac:dyDescent="0.25">
      <c r="A31" s="1" t="s">
        <v>237</v>
      </c>
      <c r="B31" s="1">
        <v>0.90521508836895459</v>
      </c>
      <c r="C31" s="1">
        <v>1.912883925896667</v>
      </c>
      <c r="D31" s="1">
        <v>0.93769256122473732</v>
      </c>
      <c r="E31" s="1">
        <v>2.355440279753362</v>
      </c>
      <c r="F31" s="1">
        <v>-1.822426226626626</v>
      </c>
      <c r="G31" s="1">
        <v>-2.0336250361467298</v>
      </c>
      <c r="H31" s="1"/>
      <c r="I31" s="1"/>
      <c r="J31" s="1"/>
      <c r="K31" s="8">
        <v>0.84628669050907501</v>
      </c>
      <c r="L31" s="9">
        <v>126</v>
      </c>
      <c r="M31" s="3">
        <v>0.25219406014368551</v>
      </c>
      <c r="N31" s="1"/>
      <c r="O31" s="1"/>
      <c r="P31">
        <v>-1.8568707404191399E-2</v>
      </c>
      <c r="Q31">
        <v>-0.4861573237034752</v>
      </c>
      <c r="R31">
        <v>-5.6444828592862997E-2</v>
      </c>
      <c r="S31">
        <v>-0.10255709009835361</v>
      </c>
      <c r="T31">
        <v>-1.0001199982695781</v>
      </c>
      <c r="U31">
        <v>-5.9995614375934099E-2</v>
      </c>
      <c r="V31">
        <v>-7.1458700622770003E-4</v>
      </c>
      <c r="W31">
        <v>-0.79511833569152668</v>
      </c>
      <c r="X31">
        <v>-0.1238928581769379</v>
      </c>
      <c r="Y31">
        <v>-8.5719883038828E-3</v>
      </c>
      <c r="AA31" s="4">
        <f t="shared" si="0"/>
        <v>0.11984884337604937</v>
      </c>
    </row>
    <row r="32" spans="1:27" x14ac:dyDescent="0.25">
      <c r="A32" s="1" t="s">
        <v>255</v>
      </c>
      <c r="B32" s="1">
        <v>-0.51455027374249895</v>
      </c>
      <c r="C32" s="1">
        <v>2.8932450074439311</v>
      </c>
      <c r="D32" s="1">
        <v>2.081304470981014</v>
      </c>
      <c r="E32" s="1">
        <v>-1.9548918620467799</v>
      </c>
      <c r="F32" s="1">
        <v>-2.056983559712164</v>
      </c>
      <c r="G32" s="1">
        <v>-1.650710180813753</v>
      </c>
      <c r="H32" s="1"/>
      <c r="I32" s="1"/>
      <c r="J32" s="1"/>
      <c r="K32" s="8">
        <v>0.84291357756792895</v>
      </c>
      <c r="L32" s="9">
        <v>66</v>
      </c>
      <c r="M32" s="3">
        <v>0.24155574839601629</v>
      </c>
      <c r="N32" s="1"/>
      <c r="O32" s="1"/>
      <c r="P32">
        <v>-6.5652396267262001E-3</v>
      </c>
      <c r="Q32">
        <v>-4.5981615100836898E-2</v>
      </c>
      <c r="R32">
        <v>-0.1076732993772392</v>
      </c>
      <c r="S32">
        <v>-6.7338850452829002E-2</v>
      </c>
      <c r="T32">
        <v>-0.1018171638861096</v>
      </c>
      <c r="U32">
        <v>-5.6941258754156503E-2</v>
      </c>
      <c r="V32">
        <v>-4.8438861478758401E-2</v>
      </c>
      <c r="W32">
        <v>-0.105293530974909</v>
      </c>
      <c r="X32">
        <v>-0.2062256867672228</v>
      </c>
      <c r="Y32">
        <v>-9.5296704741425806E-2</v>
      </c>
      <c r="AA32" s="4">
        <f t="shared" si="0"/>
        <v>2.6113681412046163E-3</v>
      </c>
    </row>
    <row r="33" spans="1:27" x14ac:dyDescent="0.25">
      <c r="A33" s="1" t="s">
        <v>351</v>
      </c>
      <c r="B33" s="1">
        <v>-0.57590515402794007</v>
      </c>
      <c r="C33" s="1">
        <v>0.95595086808616825</v>
      </c>
      <c r="D33" s="1">
        <v>3.3807099689686742</v>
      </c>
      <c r="E33" s="1">
        <v>1.389539114899438</v>
      </c>
      <c r="F33" s="1">
        <v>0.90644048870351968</v>
      </c>
      <c r="G33" s="1">
        <v>-2.6897908879972041</v>
      </c>
      <c r="H33" s="1">
        <v>-1.8277207479290849</v>
      </c>
      <c r="I33" s="1"/>
      <c r="J33" s="1"/>
      <c r="K33" s="8">
        <v>0.83614487565556195</v>
      </c>
      <c r="L33" s="9">
        <v>44</v>
      </c>
      <c r="M33" s="3">
        <v>0.31548093049619752</v>
      </c>
      <c r="N33" s="1"/>
      <c r="O33" s="1"/>
      <c r="P33">
        <v>-3.3801095711584002E-3</v>
      </c>
      <c r="Q33">
        <v>-4.1823667386732002E-2</v>
      </c>
      <c r="R33">
        <v>-5.2886244657211298E-2</v>
      </c>
      <c r="S33">
        <v>-3.5932277660314503E-2</v>
      </c>
      <c r="T33">
        <v>-5.3850791116432102E-2</v>
      </c>
      <c r="U33">
        <v>-4.17608987533074E-2</v>
      </c>
      <c r="V33">
        <v>-3.1114886131319901E-2</v>
      </c>
      <c r="W33">
        <v>-5.64215237776544E-2</v>
      </c>
      <c r="X33">
        <v>-0.1525202752438119</v>
      </c>
      <c r="Y33">
        <v>-5.2011654371902298E-2</v>
      </c>
      <c r="AA33" s="4">
        <f t="shared" si="0"/>
        <v>1.339444717609294E-3</v>
      </c>
    </row>
    <row r="34" spans="1:27" x14ac:dyDescent="0.25">
      <c r="A34" s="1" t="s">
        <v>274</v>
      </c>
      <c r="B34" s="1">
        <v>-2.2806107104968198</v>
      </c>
      <c r="C34" s="1">
        <v>1.3002021675015241</v>
      </c>
      <c r="D34" s="1">
        <v>3.9179060677760531</v>
      </c>
      <c r="E34" s="1">
        <v>-2.740974263134011</v>
      </c>
      <c r="F34" s="1">
        <v>0.91545469065448359</v>
      </c>
      <c r="G34" s="1">
        <v>-1.8971068269744671</v>
      </c>
      <c r="H34" s="1"/>
      <c r="I34" s="1"/>
      <c r="J34" s="1"/>
      <c r="K34" s="8">
        <v>0.833793246847919</v>
      </c>
      <c r="L34" s="9">
        <v>77</v>
      </c>
      <c r="M34" s="3">
        <v>0.15383559011563189</v>
      </c>
      <c r="N34" s="1"/>
      <c r="O34" s="1"/>
      <c r="P34">
        <v>8.8123732510329996E-4</v>
      </c>
      <c r="Q34">
        <v>-2.4051585408562299E-2</v>
      </c>
      <c r="R34">
        <v>3.1517557102114201E-2</v>
      </c>
      <c r="S34">
        <v>7.4760863982875998E-3</v>
      </c>
      <c r="T34">
        <v>-5.0930861153163302E-2</v>
      </c>
      <c r="U34">
        <v>-6.9694408635983997E-3</v>
      </c>
      <c r="V34">
        <v>4.9838730432072001E-2</v>
      </c>
      <c r="W34">
        <v>-1.5291693076601399E-2</v>
      </c>
      <c r="X34">
        <v>-4.5360355176186702E-2</v>
      </c>
      <c r="Y34">
        <v>-0.17511135253357929</v>
      </c>
      <c r="AA34" s="4">
        <f t="shared" ref="AA34:AA65" si="1">_xlfn.COVARIANCE.P(P34:Y34,P34:Y34)</f>
        <v>3.4511835403852388E-3</v>
      </c>
    </row>
    <row r="35" spans="1:27" x14ac:dyDescent="0.25">
      <c r="A35" s="1" t="s">
        <v>295</v>
      </c>
      <c r="B35" s="1">
        <v>-0.73037351008144613</v>
      </c>
      <c r="C35" s="1">
        <v>-0.97483699674040514</v>
      </c>
      <c r="D35" s="1">
        <v>1.9323212516740551</v>
      </c>
      <c r="E35" s="1">
        <v>-1.9420952355224601</v>
      </c>
      <c r="F35" s="1">
        <v>0.76734677898000647</v>
      </c>
      <c r="G35" s="1">
        <v>-2.0100822810442902</v>
      </c>
      <c r="H35" s="1"/>
      <c r="I35" s="1"/>
      <c r="J35" s="1"/>
      <c r="K35" s="8">
        <v>0.83112527361772404</v>
      </c>
      <c r="L35" s="9">
        <v>100</v>
      </c>
      <c r="M35" s="3">
        <v>0.1158538748540241</v>
      </c>
      <c r="N35" s="1"/>
      <c r="O35" s="1"/>
      <c r="P35">
        <v>-4.2497986442293001E-3</v>
      </c>
      <c r="Q35">
        <v>-7.6898595362352204E-2</v>
      </c>
      <c r="R35">
        <v>-4.47572900338499E-2</v>
      </c>
      <c r="S35">
        <v>-6.510104995344E-3</v>
      </c>
      <c r="T35">
        <v>-0.10293082134436091</v>
      </c>
      <c r="U35">
        <v>6.7868945649006999E-3</v>
      </c>
      <c r="V35">
        <v>-1.7674454968561001E-2</v>
      </c>
      <c r="W35">
        <v>-7.38277038594191E-2</v>
      </c>
      <c r="X35">
        <v>-0.24040031154517061</v>
      </c>
      <c r="Y35">
        <v>-0.2034940210732491</v>
      </c>
      <c r="AA35" s="4">
        <f t="shared" si="1"/>
        <v>6.5220001113710183E-3</v>
      </c>
    </row>
    <row r="36" spans="1:27" x14ac:dyDescent="0.25">
      <c r="A36" s="1" t="s">
        <v>273</v>
      </c>
      <c r="B36" s="1">
        <v>-1.618757416401309</v>
      </c>
      <c r="C36" s="1">
        <v>1.4582030197845499</v>
      </c>
      <c r="D36" s="1">
        <v>5.6419120778594136</v>
      </c>
      <c r="E36" s="1">
        <v>-2.5616072755166912</v>
      </c>
      <c r="F36" s="1">
        <v>-2.6043127192123752</v>
      </c>
      <c r="G36" s="1">
        <v>1.118769237513398</v>
      </c>
      <c r="H36" s="1"/>
      <c r="I36" s="1"/>
      <c r="J36" s="1"/>
      <c r="K36" s="8">
        <v>0.826909417024138</v>
      </c>
      <c r="L36" s="9">
        <v>110</v>
      </c>
      <c r="M36" s="3">
        <v>0.30349608001371869</v>
      </c>
      <c r="N36" s="1"/>
      <c r="O36" s="1"/>
      <c r="P36">
        <v>-1.6264062037023999E-3</v>
      </c>
      <c r="Q36">
        <v>-0.15803296877044651</v>
      </c>
      <c r="R36">
        <v>2.88925345834735E-2</v>
      </c>
      <c r="S36">
        <v>4.67683436397833E-2</v>
      </c>
      <c r="T36">
        <v>-0.2266933332203046</v>
      </c>
      <c r="U36">
        <v>-3.20450618406583E-2</v>
      </c>
      <c r="V36">
        <v>-8.04361516176261E-2</v>
      </c>
      <c r="W36">
        <v>-0.2024702469268195</v>
      </c>
      <c r="X36">
        <v>-3.2455161105084701E-2</v>
      </c>
      <c r="Y36">
        <v>-0.1450423083765166</v>
      </c>
      <c r="AA36" s="4">
        <f t="shared" si="1"/>
        <v>8.5467150319816394E-3</v>
      </c>
    </row>
    <row r="37" spans="1:27" x14ac:dyDescent="0.25">
      <c r="A37" s="1" t="s">
        <v>238</v>
      </c>
      <c r="B37" s="1">
        <v>1.957506674704691</v>
      </c>
      <c r="C37" s="1">
        <v>3.761541070965396</v>
      </c>
      <c r="D37" s="1">
        <v>2.7609524533078562</v>
      </c>
      <c r="E37" s="1">
        <v>-3.760884080662247</v>
      </c>
      <c r="F37" s="1">
        <v>-1.278315834400336</v>
      </c>
      <c r="G37" s="1">
        <v>2.8273040203171722</v>
      </c>
      <c r="H37" s="1"/>
      <c r="I37" s="1"/>
      <c r="J37" s="1"/>
      <c r="K37" s="8">
        <v>0.82282934944335495</v>
      </c>
      <c r="L37" s="9">
        <v>86</v>
      </c>
      <c r="M37" s="3">
        <v>0.76150808817919846</v>
      </c>
      <c r="N37" s="1"/>
      <c r="O37" s="1"/>
      <c r="P37">
        <v>-7.2475901103256999E-3</v>
      </c>
      <c r="Q37">
        <v>-9.6402952026912903E-2</v>
      </c>
      <c r="R37">
        <v>-7.6664442003203395E-2</v>
      </c>
      <c r="S37">
        <v>1.8322469584719201E-2</v>
      </c>
      <c r="T37">
        <v>-0.18930688068915891</v>
      </c>
      <c r="U37">
        <v>-3.1400757428769799E-2</v>
      </c>
      <c r="V37">
        <v>-1.0516688661029901E-2</v>
      </c>
      <c r="W37">
        <v>-0.14036670892287809</v>
      </c>
      <c r="X37">
        <v>-5.9401850426995299E-2</v>
      </c>
      <c r="Y37">
        <v>7.9238869054355995E-3</v>
      </c>
      <c r="AA37" s="4">
        <f t="shared" si="1"/>
        <v>4.1557392966138761E-3</v>
      </c>
    </row>
    <row r="38" spans="1:27" x14ac:dyDescent="0.25">
      <c r="A38" s="1" t="s">
        <v>179</v>
      </c>
      <c r="B38" s="1">
        <v>-1.647159436597311</v>
      </c>
      <c r="C38" s="1">
        <v>1.0699701661494689</v>
      </c>
      <c r="D38" s="1">
        <v>-4.1115075869756863</v>
      </c>
      <c r="E38" s="1">
        <v>3.64343463355564</v>
      </c>
      <c r="F38" s="1">
        <v>2.131185271553715</v>
      </c>
      <c r="G38" s="1"/>
      <c r="H38" s="1"/>
      <c r="I38" s="1"/>
      <c r="J38" s="1"/>
      <c r="K38" s="8">
        <v>0.822517203761299</v>
      </c>
      <c r="L38" s="9">
        <v>127</v>
      </c>
      <c r="M38" s="3">
        <v>0.1192093376137723</v>
      </c>
      <c r="N38" s="1"/>
      <c r="O38" s="1"/>
      <c r="P38">
        <v>2.28318873741678E-2</v>
      </c>
      <c r="Q38">
        <v>0.59361284371053413</v>
      </c>
      <c r="R38">
        <v>-3.7050325233011001E-2</v>
      </c>
      <c r="S38">
        <v>4.4225782921446501E-2</v>
      </c>
      <c r="T38">
        <v>1.15896485485971</v>
      </c>
      <c r="U38">
        <v>0.14081717281714959</v>
      </c>
      <c r="V38">
        <v>0.39161363241414821</v>
      </c>
      <c r="W38">
        <v>0.57343245600294923</v>
      </c>
      <c r="X38">
        <v>4.4653360007097E-2</v>
      </c>
      <c r="Y38">
        <v>5.3461331776518503E-2</v>
      </c>
      <c r="AA38" s="4">
        <f t="shared" si="1"/>
        <v>0.13143373626833577</v>
      </c>
    </row>
    <row r="39" spans="1:27" x14ac:dyDescent="0.25">
      <c r="A39" s="1" t="s">
        <v>341</v>
      </c>
      <c r="B39" s="1">
        <v>-0.19678766353304819</v>
      </c>
      <c r="C39" s="1">
        <v>-0.31990222524818063</v>
      </c>
      <c r="D39" s="1">
        <v>-1.589833577817326</v>
      </c>
      <c r="E39" s="1">
        <v>3.3737577428200449</v>
      </c>
      <c r="F39" s="1">
        <v>-3.569380229196748</v>
      </c>
      <c r="G39" s="1">
        <v>-2.1791662750212581</v>
      </c>
      <c r="H39" s="1"/>
      <c r="I39" s="1"/>
      <c r="J39" s="1"/>
      <c r="K39" s="8">
        <v>0.82073912872090404</v>
      </c>
      <c r="L39" s="9">
        <v>103</v>
      </c>
      <c r="M39" s="3">
        <v>0.20296775667489009</v>
      </c>
      <c r="N39" s="1"/>
      <c r="O39" s="1"/>
      <c r="P39">
        <v>-9.4731892395756006E-3</v>
      </c>
      <c r="Q39">
        <v>-6.7182556717772596E-2</v>
      </c>
      <c r="R39">
        <v>-0.1836706717028562</v>
      </c>
      <c r="S39">
        <v>-0.1238804172788296</v>
      </c>
      <c r="T39">
        <v>8.5710912664078306E-2</v>
      </c>
      <c r="U39">
        <v>2.0842065410403999E-2</v>
      </c>
      <c r="V39">
        <v>8.2927600433195206E-2</v>
      </c>
      <c r="W39">
        <v>-3.7308682752398903E-2</v>
      </c>
      <c r="X39">
        <v>5.25536173396123E-2</v>
      </c>
      <c r="Y39">
        <v>2.6569464629690002E-4</v>
      </c>
      <c r="AA39" s="4">
        <f t="shared" si="1"/>
        <v>6.9284316819000239E-3</v>
      </c>
    </row>
    <row r="40" spans="1:27" x14ac:dyDescent="0.25">
      <c r="A40" s="1" t="s">
        <v>275</v>
      </c>
      <c r="B40" s="1">
        <v>-1.6255195757471821</v>
      </c>
      <c r="C40" s="1">
        <v>2.311620212573283</v>
      </c>
      <c r="D40" s="1">
        <v>-1.466259228665149</v>
      </c>
      <c r="E40" s="1">
        <v>4.3375304583240659</v>
      </c>
      <c r="F40" s="1">
        <v>-1.9233400183041161</v>
      </c>
      <c r="G40" s="1">
        <v>-2.1348707032685512</v>
      </c>
      <c r="H40" s="1"/>
      <c r="I40" s="1"/>
      <c r="J40" s="1"/>
      <c r="K40" s="8">
        <v>0.81879969986585399</v>
      </c>
      <c r="L40" s="9">
        <v>114</v>
      </c>
      <c r="M40" s="3">
        <v>0.20779136981902099</v>
      </c>
      <c r="N40" s="1"/>
      <c r="O40" s="1"/>
      <c r="P40">
        <v>-3.0634914994350001E-3</v>
      </c>
      <c r="Q40">
        <v>-0.20137934564297461</v>
      </c>
      <c r="R40">
        <v>-2.4327756887887E-3</v>
      </c>
      <c r="S40">
        <v>4.4138458519826299E-2</v>
      </c>
      <c r="T40">
        <v>-0.25135694598185021</v>
      </c>
      <c r="U40">
        <v>-2.6278484228429301E-2</v>
      </c>
      <c r="V40">
        <v>-8.93693842675857E-2</v>
      </c>
      <c r="W40">
        <v>-0.2242379198348696</v>
      </c>
      <c r="X40">
        <v>-9.7815263228958008E-3</v>
      </c>
      <c r="Y40">
        <v>-0.13931077657020099</v>
      </c>
      <c r="AA40" s="4">
        <f t="shared" si="1"/>
        <v>1.0260678472935098E-2</v>
      </c>
    </row>
    <row r="41" spans="1:27" x14ac:dyDescent="0.25">
      <c r="A41" s="1" t="s">
        <v>83</v>
      </c>
      <c r="B41" s="1">
        <v>1.7674540055336601</v>
      </c>
      <c r="C41" s="1">
        <v>4.1351000613131834</v>
      </c>
      <c r="D41" s="1">
        <v>-2.8547383922917069</v>
      </c>
      <c r="E41" s="1">
        <v>3.0413249359702381</v>
      </c>
      <c r="F41" s="1"/>
      <c r="G41" s="1"/>
      <c r="H41" s="1"/>
      <c r="I41" s="1"/>
      <c r="J41" s="1"/>
      <c r="K41" s="8">
        <v>0.81783401158215596</v>
      </c>
      <c r="L41" s="9">
        <v>119</v>
      </c>
      <c r="M41" s="3">
        <v>0.35471954646808929</v>
      </c>
      <c r="N41" s="1"/>
      <c r="O41" s="1"/>
      <c r="P41">
        <v>-5.7363388109609999E-4</v>
      </c>
      <c r="Q41">
        <v>-8.5103760011398299E-2</v>
      </c>
      <c r="R41">
        <v>2.72114585917443E-2</v>
      </c>
      <c r="S41">
        <v>0.1726892206484141</v>
      </c>
      <c r="T41">
        <v>-0.28166300675209432</v>
      </c>
      <c r="U41">
        <v>-0.1389986736417651</v>
      </c>
      <c r="V41">
        <v>-8.1969838269451201E-2</v>
      </c>
      <c r="W41">
        <v>-0.26395998143617622</v>
      </c>
      <c r="X41">
        <v>-1.0621666979504001E-2</v>
      </c>
      <c r="Y41">
        <v>-2.27160464643433E-2</v>
      </c>
      <c r="AA41" s="4">
        <f t="shared" si="1"/>
        <v>1.6646319284338594E-2</v>
      </c>
    </row>
    <row r="42" spans="1:27" x14ac:dyDescent="0.25">
      <c r="A42" s="1" t="s">
        <v>291</v>
      </c>
      <c r="B42" s="1">
        <v>-1.408426295215631</v>
      </c>
      <c r="C42" s="1">
        <v>1.30709786264368</v>
      </c>
      <c r="D42" s="1">
        <v>-8.3309875057339227</v>
      </c>
      <c r="E42" s="1">
        <v>5.7109314564582991</v>
      </c>
      <c r="F42" s="1">
        <v>2.9571640171637821</v>
      </c>
      <c r="G42" s="1">
        <v>1.4176796081305161</v>
      </c>
      <c r="H42" s="1"/>
      <c r="I42" s="1"/>
      <c r="J42" s="1"/>
      <c r="K42" s="8">
        <v>0.81555778770776599</v>
      </c>
      <c r="L42" s="9">
        <v>122</v>
      </c>
      <c r="M42" s="3">
        <v>0.28070261930077622</v>
      </c>
      <c r="N42" s="1"/>
      <c r="O42" s="1"/>
      <c r="P42">
        <v>-6.809963826207E-3</v>
      </c>
      <c r="Q42">
        <v>-0.15397361206653989</v>
      </c>
      <c r="R42">
        <v>-3.4183932263443802E-2</v>
      </c>
      <c r="S42">
        <v>-4.9534085864395498E-2</v>
      </c>
      <c r="T42">
        <v>-0.35462797238664839</v>
      </c>
      <c r="U42">
        <v>-4.2410336619741897E-2</v>
      </c>
      <c r="V42">
        <v>3.89803017548302E-2</v>
      </c>
      <c r="W42">
        <v>-0.41788798700783908</v>
      </c>
      <c r="X42">
        <v>4.4334420200023003E-3</v>
      </c>
      <c r="Y42">
        <v>5.9980123659434302E-2</v>
      </c>
      <c r="AA42" s="4">
        <f t="shared" si="1"/>
        <v>2.4330305017453847E-2</v>
      </c>
    </row>
    <row r="43" spans="1:27" x14ac:dyDescent="0.25">
      <c r="A43" s="1" t="s">
        <v>375</v>
      </c>
      <c r="B43" s="1">
        <v>-0.64954597186176577</v>
      </c>
      <c r="C43" s="1">
        <v>-1.527729352059825</v>
      </c>
      <c r="D43" s="1">
        <v>2.4464158535423182</v>
      </c>
      <c r="E43" s="1">
        <v>-1.2467727503342529</v>
      </c>
      <c r="F43" s="1">
        <v>1.9894373172813471</v>
      </c>
      <c r="G43" s="1">
        <v>-2.036522245919056</v>
      </c>
      <c r="H43" s="1">
        <v>0.78398315001304442</v>
      </c>
      <c r="I43" s="1"/>
      <c r="J43" s="1"/>
      <c r="K43" s="8">
        <v>0.812892571008617</v>
      </c>
      <c r="L43" s="9">
        <v>36</v>
      </c>
      <c r="M43" s="3">
        <v>0.40433955316321268</v>
      </c>
      <c r="N43" s="1"/>
      <c r="O43" s="1"/>
      <c r="P43">
        <v>-1.9017418435539001E-3</v>
      </c>
      <c r="Q43">
        <v>-4.6818654343644697E-2</v>
      </c>
      <c r="R43">
        <v>-2.6506951735427199E-2</v>
      </c>
      <c r="S43">
        <v>-2.5569014968738198E-2</v>
      </c>
      <c r="T43">
        <v>-6.3959076392669997E-2</v>
      </c>
      <c r="U43">
        <v>-3.0726640207181998E-3</v>
      </c>
      <c r="V43">
        <v>-1.3765781354567399E-2</v>
      </c>
      <c r="W43">
        <v>-6.7695910031558407E-2</v>
      </c>
      <c r="X43">
        <v>2.4305149906994498E-2</v>
      </c>
      <c r="Y43">
        <v>-7.8503027726689295E-2</v>
      </c>
      <c r="AA43" s="4">
        <f t="shared" si="1"/>
        <v>9.9674226595256E-4</v>
      </c>
    </row>
    <row r="44" spans="1:27" x14ac:dyDescent="0.25">
      <c r="A44" s="1" t="s">
        <v>282</v>
      </c>
      <c r="B44" s="1">
        <v>-1.3909032519785021</v>
      </c>
      <c r="C44" s="1">
        <v>2.1465497631064498</v>
      </c>
      <c r="D44" s="1">
        <v>2.471743068988896</v>
      </c>
      <c r="E44" s="1">
        <v>-3.0603521708761598</v>
      </c>
      <c r="F44" s="1">
        <v>2.6243257885800322</v>
      </c>
      <c r="G44" s="1">
        <v>2.1027194739648771</v>
      </c>
      <c r="H44" s="1"/>
      <c r="I44" s="1"/>
      <c r="J44" s="1"/>
      <c r="K44" s="8">
        <v>0.81147448029492797</v>
      </c>
      <c r="L44" s="9">
        <v>20</v>
      </c>
      <c r="M44" s="3">
        <v>0.92948158652986834</v>
      </c>
      <c r="N44" s="1"/>
      <c r="O44" s="1"/>
      <c r="P44">
        <v>1.7625139988568001E-3</v>
      </c>
      <c r="Q44">
        <v>1.7370172053055799E-2</v>
      </c>
      <c r="R44">
        <v>1.1506088561559401E-2</v>
      </c>
      <c r="S44">
        <v>2.0853526210973701E-2</v>
      </c>
      <c r="T44">
        <v>2.1557362554163999E-2</v>
      </c>
      <c r="U44">
        <v>-1.8129874610769E-3</v>
      </c>
      <c r="V44">
        <v>1.0475702314855199E-2</v>
      </c>
      <c r="W44">
        <v>6.2930996346049995E-4</v>
      </c>
      <c r="X44">
        <v>-3.1296244352128098E-2</v>
      </c>
      <c r="Y44">
        <v>1.71260755440058E-2</v>
      </c>
      <c r="AA44" s="4">
        <f t="shared" si="1"/>
        <v>2.2582539045364002E-4</v>
      </c>
    </row>
    <row r="45" spans="1:27" x14ac:dyDescent="0.25">
      <c r="A45" s="1" t="s">
        <v>258</v>
      </c>
      <c r="B45" s="1">
        <v>-1.536832754898005</v>
      </c>
      <c r="C45" s="1">
        <v>2.3418118111130179</v>
      </c>
      <c r="D45" s="1">
        <v>6.7164804514002707</v>
      </c>
      <c r="E45" s="1">
        <v>-3.101419944375444</v>
      </c>
      <c r="F45" s="1">
        <v>-2.862050089736258</v>
      </c>
      <c r="G45" s="1">
        <v>2.5893478890830091</v>
      </c>
      <c r="H45" s="1"/>
      <c r="I45" s="1"/>
      <c r="J45" s="1"/>
      <c r="K45" s="8">
        <v>0.81057297061786804</v>
      </c>
      <c r="L45" s="9">
        <v>83</v>
      </c>
      <c r="M45" s="3">
        <v>0.3885011523872004</v>
      </c>
      <c r="N45" s="1"/>
      <c r="O45" s="1"/>
      <c r="P45">
        <v>1.364015349978E-3</v>
      </c>
      <c r="Q45">
        <v>1.51076689079365E-2</v>
      </c>
      <c r="R45">
        <v>1.03031948267573E-2</v>
      </c>
      <c r="S45">
        <v>-1.6618944963430301E-2</v>
      </c>
      <c r="T45">
        <v>8.3673523353619605E-2</v>
      </c>
      <c r="U45">
        <v>2.2688644127143599E-2</v>
      </c>
      <c r="V45">
        <v>1.7456518395926501E-2</v>
      </c>
      <c r="W45">
        <v>9.2894562092327299E-2</v>
      </c>
      <c r="X45">
        <v>-6.2149337469946199E-2</v>
      </c>
      <c r="Y45">
        <v>-0.14004238831130941</v>
      </c>
      <c r="AA45" s="4">
        <f t="shared" si="1"/>
        <v>4.0476123123512472E-3</v>
      </c>
    </row>
    <row r="46" spans="1:27" x14ac:dyDescent="0.25">
      <c r="A46" s="1" t="s">
        <v>365</v>
      </c>
      <c r="B46" s="1">
        <v>-0.87020845926520329</v>
      </c>
      <c r="C46" s="1">
        <v>0.92794735973057674</v>
      </c>
      <c r="D46" s="1">
        <v>2.1158664032526819</v>
      </c>
      <c r="E46" s="1">
        <v>1.1019670962416901</v>
      </c>
      <c r="F46" s="1">
        <v>-2.1259300532170591</v>
      </c>
      <c r="G46" s="1">
        <v>-0.90093467472811217</v>
      </c>
      <c r="H46" s="1">
        <v>1.457838700303298</v>
      </c>
      <c r="I46" s="1"/>
      <c r="J46" s="1"/>
      <c r="K46" s="8">
        <v>0.806889336432696</v>
      </c>
      <c r="L46" s="9">
        <v>45</v>
      </c>
      <c r="M46" s="3">
        <v>0.35397557954965891</v>
      </c>
      <c r="N46" s="1"/>
      <c r="O46" s="1"/>
      <c r="P46">
        <v>-7.1361790064659999E-4</v>
      </c>
      <c r="Q46">
        <v>-2.9232701780839299E-2</v>
      </c>
      <c r="R46">
        <v>-1.0966243889688299E-2</v>
      </c>
      <c r="S46">
        <v>4.2430342844537797E-2</v>
      </c>
      <c r="T46">
        <v>-4.3841017837592103E-2</v>
      </c>
      <c r="U46">
        <v>-4.0232180191378801E-2</v>
      </c>
      <c r="V46">
        <v>-2.66364829860644E-2</v>
      </c>
      <c r="W46">
        <v>-4.2939615299705101E-2</v>
      </c>
      <c r="X46">
        <v>-0.1094531381286418</v>
      </c>
      <c r="Y46">
        <v>-1.51055298256273E-2</v>
      </c>
      <c r="AA46" s="4">
        <f t="shared" si="1"/>
        <v>1.3422049189037943E-3</v>
      </c>
    </row>
    <row r="47" spans="1:27" x14ac:dyDescent="0.25">
      <c r="A47" s="1" t="s">
        <v>388</v>
      </c>
      <c r="B47" s="1">
        <v>-0.45956762010466029</v>
      </c>
      <c r="C47" s="1">
        <v>-1.7547124815194539</v>
      </c>
      <c r="D47" s="1">
        <v>1.799529550716328</v>
      </c>
      <c r="E47" s="1">
        <v>4.0756628565449171</v>
      </c>
      <c r="F47" s="1">
        <v>-2.5153009546808738</v>
      </c>
      <c r="G47" s="1">
        <v>-2.486823972775313</v>
      </c>
      <c r="H47" s="1">
        <v>-4.5626886846769423</v>
      </c>
      <c r="I47" s="1"/>
      <c r="J47" s="1"/>
      <c r="K47" s="8">
        <v>0.80489062759919605</v>
      </c>
      <c r="L47" s="9">
        <v>76</v>
      </c>
      <c r="M47" s="3">
        <v>0.70283952218119539</v>
      </c>
      <c r="N47" s="1"/>
      <c r="O47" s="1"/>
      <c r="P47">
        <v>-6.7631062929360004E-4</v>
      </c>
      <c r="Q47">
        <v>-3.5194365580412099E-2</v>
      </c>
      <c r="R47">
        <v>3.5272864412025401E-2</v>
      </c>
      <c r="S47">
        <v>7.2251287681839305E-2</v>
      </c>
      <c r="T47">
        <v>-0.13561031051538611</v>
      </c>
      <c r="U47">
        <v>-6.3105040949876998E-3</v>
      </c>
      <c r="V47">
        <v>-1.30096002530066E-2</v>
      </c>
      <c r="W47">
        <v>-0.10550667691696181</v>
      </c>
      <c r="X47">
        <v>4.2398071249742002E-3</v>
      </c>
      <c r="Y47">
        <v>-3.13190089656337E-2</v>
      </c>
      <c r="AA47" s="4">
        <f t="shared" si="1"/>
        <v>3.3773592331920997E-3</v>
      </c>
    </row>
    <row r="48" spans="1:27" x14ac:dyDescent="0.25">
      <c r="A48" s="1" t="s">
        <v>412</v>
      </c>
      <c r="B48" s="1">
        <v>-0.213065450692945</v>
      </c>
      <c r="C48" s="1">
        <v>-0.73250849547157448</v>
      </c>
      <c r="D48" s="1">
        <v>-1.087069619297562</v>
      </c>
      <c r="E48" s="1">
        <v>2.0252217480813721</v>
      </c>
      <c r="F48" s="1">
        <v>-2.1384849878990049</v>
      </c>
      <c r="G48" s="1">
        <v>0.85423822223108203</v>
      </c>
      <c r="H48" s="1">
        <v>-2.2191618855721842</v>
      </c>
      <c r="I48" s="1"/>
      <c r="J48" s="1"/>
      <c r="K48" s="8">
        <v>0.80238735310807296</v>
      </c>
      <c r="L48" s="9">
        <v>68</v>
      </c>
      <c r="M48" s="3">
        <v>0.1705724192823794</v>
      </c>
      <c r="N48" s="1"/>
      <c r="O48" s="1"/>
      <c r="P48">
        <v>-8.3917898325250003E-4</v>
      </c>
      <c r="Q48">
        <v>6.6314967369086996E-3</v>
      </c>
      <c r="R48">
        <v>-3.8518192617072497E-2</v>
      </c>
      <c r="S48">
        <v>2.6031365881847599E-2</v>
      </c>
      <c r="T48">
        <v>4.4308559309028599E-2</v>
      </c>
      <c r="U48">
        <v>-4.3981927232342802E-2</v>
      </c>
      <c r="V48">
        <v>-7.7637291912399098E-2</v>
      </c>
      <c r="W48">
        <v>4.8578721873869198E-2</v>
      </c>
      <c r="X48">
        <v>-3.3683534179485002E-3</v>
      </c>
      <c r="Y48">
        <v>-0.12674737935787511</v>
      </c>
      <c r="AA48" s="4">
        <f t="shared" si="1"/>
        <v>2.7826886460218412E-3</v>
      </c>
    </row>
    <row r="49" spans="1:27" x14ac:dyDescent="0.25">
      <c r="A49" s="1" t="s">
        <v>386</v>
      </c>
      <c r="B49" s="1">
        <v>-0.30884379477084989</v>
      </c>
      <c r="C49" s="1">
        <v>-0.78612954221469089</v>
      </c>
      <c r="D49" s="1">
        <v>2.1275413104731848</v>
      </c>
      <c r="E49" s="1">
        <v>3.2530936155538179</v>
      </c>
      <c r="F49" s="1">
        <v>-1.006542556117044</v>
      </c>
      <c r="G49" s="1">
        <v>-3.1435229582389241</v>
      </c>
      <c r="H49" s="1">
        <v>-3.5637210517804299</v>
      </c>
      <c r="I49" s="1"/>
      <c r="J49" s="1"/>
      <c r="K49" s="8">
        <v>0.80238076732309704</v>
      </c>
      <c r="L49" s="9">
        <v>58</v>
      </c>
      <c r="M49" s="3">
        <v>0.67250802584224512</v>
      </c>
      <c r="N49" s="1"/>
      <c r="O49" s="1"/>
      <c r="P49">
        <v>-1.0254515240829E-3</v>
      </c>
      <c r="Q49">
        <v>-5.60914274258031E-2</v>
      </c>
      <c r="R49">
        <v>9.1317264582689995E-4</v>
      </c>
      <c r="S49">
        <v>-7.1135011362354998E-3</v>
      </c>
      <c r="T49">
        <v>-9.4497644911482007E-2</v>
      </c>
      <c r="U49">
        <v>-2.3436088527828999E-3</v>
      </c>
      <c r="V49">
        <v>1.5322447989116E-2</v>
      </c>
      <c r="W49">
        <v>-0.10207282570115821</v>
      </c>
      <c r="X49">
        <v>-7.7657267769067999E-3</v>
      </c>
      <c r="Y49">
        <v>4.8371552237076197E-2</v>
      </c>
      <c r="AA49" s="4">
        <f t="shared" si="1"/>
        <v>2.0931692361535535E-3</v>
      </c>
    </row>
    <row r="50" spans="1:27" x14ac:dyDescent="0.25">
      <c r="A50" s="1" t="s">
        <v>366</v>
      </c>
      <c r="B50" s="1">
        <v>-2.1866337269569249</v>
      </c>
      <c r="C50" s="1">
        <v>2.2984117854619841</v>
      </c>
      <c r="D50" s="1">
        <v>-5.5213332242099789</v>
      </c>
      <c r="E50" s="1">
        <v>4.4147969578487336</v>
      </c>
      <c r="F50" s="1">
        <v>1.5676701182677539</v>
      </c>
      <c r="G50" s="1">
        <v>1.7790576048985629</v>
      </c>
      <c r="H50" s="1">
        <v>1.971062601610565</v>
      </c>
      <c r="I50" s="1"/>
      <c r="J50" s="1"/>
      <c r="K50" s="8">
        <v>0.80057459556361599</v>
      </c>
      <c r="L50" s="9">
        <v>31</v>
      </c>
      <c r="M50" s="3">
        <v>0.92366180927910158</v>
      </c>
      <c r="N50" s="1"/>
      <c r="O50" s="1"/>
      <c r="P50">
        <v>5.3455057890816997E-3</v>
      </c>
      <c r="Q50">
        <v>2.26231173087642E-2</v>
      </c>
      <c r="R50">
        <v>7.6691059481261106E-2</v>
      </c>
      <c r="S50">
        <v>7.0756271909340002E-2</v>
      </c>
      <c r="T50">
        <v>1.7710128265136599E-2</v>
      </c>
      <c r="U50">
        <v>-3.9287488895318997E-3</v>
      </c>
      <c r="V50">
        <v>-4.3659988215174004E-3</v>
      </c>
      <c r="W50">
        <v>1.25793006635978E-2</v>
      </c>
      <c r="X50">
        <v>3.7982679287545998E-3</v>
      </c>
      <c r="Y50">
        <v>1.5667676303369502E-2</v>
      </c>
      <c r="AA50" s="4">
        <f t="shared" si="1"/>
        <v>7.4910907771075588E-4</v>
      </c>
    </row>
    <row r="51" spans="1:27" x14ac:dyDescent="0.25">
      <c r="A51" s="1" t="s">
        <v>284</v>
      </c>
      <c r="B51" s="1">
        <v>-0.73322068438001775</v>
      </c>
      <c r="C51" s="1">
        <v>1.5738110794135181</v>
      </c>
      <c r="D51" s="1">
        <v>3.1322030136881529</v>
      </c>
      <c r="E51" s="1">
        <v>-3.2948336817533859</v>
      </c>
      <c r="F51" s="1">
        <v>1.6992493701738289</v>
      </c>
      <c r="G51" s="1">
        <v>2.2181882511610622</v>
      </c>
      <c r="H51" s="1"/>
      <c r="I51" s="1"/>
      <c r="J51" s="1"/>
      <c r="K51" s="8">
        <v>0.80042228591373299</v>
      </c>
      <c r="L51" s="9">
        <v>87</v>
      </c>
      <c r="M51" s="3">
        <v>0.44835388907017598</v>
      </c>
      <c r="N51" s="1"/>
      <c r="O51" s="1"/>
      <c r="P51">
        <v>-8.7808121157840005E-4</v>
      </c>
      <c r="Q51">
        <v>-5.3074442992142201E-2</v>
      </c>
      <c r="R51">
        <v>1.82542933324281E-2</v>
      </c>
      <c r="S51">
        <v>0.1028894437253734</v>
      </c>
      <c r="T51">
        <v>-0.14980897485180611</v>
      </c>
      <c r="U51">
        <v>-4.2797583467751803E-2</v>
      </c>
      <c r="V51">
        <v>-3.7688779520267203E-2</v>
      </c>
      <c r="W51">
        <v>-9.3080476254876393E-2</v>
      </c>
      <c r="X51">
        <v>-5.9909342846761103E-2</v>
      </c>
      <c r="Y51">
        <v>-8.0698899707741606E-2</v>
      </c>
      <c r="AA51" s="4">
        <f t="shared" si="1"/>
        <v>4.2452891324782352E-3</v>
      </c>
    </row>
    <row r="52" spans="1:27" x14ac:dyDescent="0.25">
      <c r="A52" s="1" t="s">
        <v>247</v>
      </c>
      <c r="B52" s="1">
        <v>1.058440350411739</v>
      </c>
      <c r="C52" s="1">
        <v>3.2405584181098939</v>
      </c>
      <c r="D52" s="1">
        <v>2.4750668577976258</v>
      </c>
      <c r="E52" s="1">
        <v>-3.30235845230388</v>
      </c>
      <c r="F52" s="1">
        <v>-1.2375822724402219</v>
      </c>
      <c r="G52" s="1">
        <v>1.591873501980986</v>
      </c>
      <c r="H52" s="1"/>
      <c r="I52" s="1"/>
      <c r="J52" s="1"/>
      <c r="K52" s="8">
        <v>0.80002700745632604</v>
      </c>
      <c r="L52" s="9">
        <v>55</v>
      </c>
      <c r="M52" s="3">
        <v>0.41291969695462732</v>
      </c>
      <c r="N52" s="1"/>
      <c r="O52" s="1"/>
      <c r="P52">
        <v>-3.7574109033316999E-3</v>
      </c>
      <c r="Q52">
        <v>7.2939472081192998E-3</v>
      </c>
      <c r="R52">
        <v>-9.7508871136417499E-2</v>
      </c>
      <c r="S52">
        <v>7.5074881332564403E-2</v>
      </c>
      <c r="T52">
        <v>-3.9703538563243303E-2</v>
      </c>
      <c r="U52">
        <v>-1.3875171760235601E-2</v>
      </c>
      <c r="V52">
        <v>3.1367855499136697E-2</v>
      </c>
      <c r="W52">
        <v>-4.5177388813703999E-2</v>
      </c>
      <c r="X52">
        <v>-3.7837129899861398E-2</v>
      </c>
      <c r="Y52">
        <v>1.7136487613045E-3</v>
      </c>
      <c r="AA52" s="4">
        <f t="shared" si="1"/>
        <v>1.9941552042950367E-3</v>
      </c>
    </row>
    <row r="53" spans="1:27" x14ac:dyDescent="0.25">
      <c r="A53" s="1" t="s">
        <v>381</v>
      </c>
      <c r="B53" s="1">
        <v>-0.25379337006433289</v>
      </c>
      <c r="C53" s="1">
        <v>-1.2091351932073</v>
      </c>
      <c r="D53" s="1">
        <v>0.9993727479983977</v>
      </c>
      <c r="E53" s="1">
        <v>2.8180983349826292</v>
      </c>
      <c r="F53" s="1">
        <v>-2.0612478245125581</v>
      </c>
      <c r="G53" s="1">
        <v>-0.87713752912501552</v>
      </c>
      <c r="H53" s="1">
        <v>-3.30523354964566</v>
      </c>
      <c r="I53" s="1"/>
      <c r="J53" s="1"/>
      <c r="K53" s="8">
        <v>0.79932087321267398</v>
      </c>
      <c r="L53" s="9">
        <v>94</v>
      </c>
      <c r="M53" s="3">
        <v>0.1322829447055649</v>
      </c>
      <c r="N53" s="1"/>
      <c r="O53" s="1"/>
      <c r="P53">
        <v>3.781595761372E-4</v>
      </c>
      <c r="Q53">
        <v>-3.0723419467054699E-2</v>
      </c>
      <c r="R53">
        <v>1.1519139811088E-2</v>
      </c>
      <c r="S53">
        <v>0.16008769887786961</v>
      </c>
      <c r="T53">
        <v>-0.1486511340028647</v>
      </c>
      <c r="U53">
        <v>-4.2878389011911003E-2</v>
      </c>
      <c r="V53">
        <v>-1.3659906366590299E-2</v>
      </c>
      <c r="W53">
        <v>-9.1948995777732398E-2</v>
      </c>
      <c r="X53">
        <v>4.2617367926160001E-3</v>
      </c>
      <c r="Y53">
        <v>-7.8434468791998002E-3</v>
      </c>
      <c r="AA53" s="4">
        <f t="shared" si="1"/>
        <v>5.6818739110484125E-3</v>
      </c>
    </row>
    <row r="54" spans="1:27" x14ac:dyDescent="0.25">
      <c r="A54" s="1" t="s">
        <v>459</v>
      </c>
      <c r="B54" s="1">
        <v>-0.28779546337066719</v>
      </c>
      <c r="C54" s="1">
        <v>-0.58176155556886089</v>
      </c>
      <c r="D54" s="1">
        <v>-2.177170305609192</v>
      </c>
      <c r="E54" s="1">
        <v>3.3060535291409718</v>
      </c>
      <c r="F54" s="1">
        <v>1.4676175818530111</v>
      </c>
      <c r="G54" s="1">
        <v>2.235600452483399</v>
      </c>
      <c r="H54" s="1">
        <v>-0.68778627951620841</v>
      </c>
      <c r="I54" s="1">
        <v>-1.2982486574328489</v>
      </c>
      <c r="J54" s="1"/>
      <c r="K54" s="8">
        <v>0.79672674673904698</v>
      </c>
      <c r="L54" s="9">
        <v>17</v>
      </c>
      <c r="M54" s="3">
        <v>0.60240763309890277</v>
      </c>
      <c r="N54" s="1"/>
      <c r="O54" s="1"/>
      <c r="P54">
        <v>8.1687331901950002E-4</v>
      </c>
      <c r="Q54">
        <v>3.2375997765724E-3</v>
      </c>
      <c r="R54">
        <v>1.4271262152009599E-2</v>
      </c>
      <c r="S54">
        <v>2.84826714236696E-2</v>
      </c>
      <c r="T54">
        <v>5.62354493469E-5</v>
      </c>
      <c r="U54">
        <v>1.7741296386572999E-3</v>
      </c>
      <c r="V54">
        <v>5.0157729095388999E-3</v>
      </c>
      <c r="W54">
        <v>-6.0243321384146004E-3</v>
      </c>
      <c r="X54">
        <v>-2.3773317612948001E-3</v>
      </c>
      <c r="Y54">
        <v>2.9931394923278301E-2</v>
      </c>
      <c r="AA54" s="4">
        <f t="shared" si="1"/>
        <v>1.4269546603849033E-4</v>
      </c>
    </row>
    <row r="55" spans="1:27" x14ac:dyDescent="0.25">
      <c r="A55" s="1" t="s">
        <v>480</v>
      </c>
      <c r="B55" s="1">
        <v>-0.43568200474520419</v>
      </c>
      <c r="C55" s="1">
        <v>-1.9254692964147031</v>
      </c>
      <c r="D55" s="1">
        <v>0.94706885983687272</v>
      </c>
      <c r="E55" s="1">
        <v>6.2874874367196201</v>
      </c>
      <c r="F55" s="1">
        <v>-3.4993543395315472</v>
      </c>
      <c r="G55" s="1">
        <v>0.66212050717150506</v>
      </c>
      <c r="H55" s="1">
        <v>-1.46345838880066</v>
      </c>
      <c r="I55" s="1">
        <v>-1.783324851501189</v>
      </c>
      <c r="J55" s="1"/>
      <c r="K55" s="8">
        <v>0.79634570687887296</v>
      </c>
      <c r="L55" s="9">
        <v>18</v>
      </c>
      <c r="M55" s="3">
        <v>0.72601770791125975</v>
      </c>
      <c r="N55" s="1"/>
      <c r="O55" s="1"/>
      <c r="P55">
        <v>-3.3486241131419999E-4</v>
      </c>
      <c r="Q55">
        <v>-1.71974058088467E-2</v>
      </c>
      <c r="R55">
        <v>2.252641896388E-4</v>
      </c>
      <c r="S55">
        <v>4.7660971403719003E-3</v>
      </c>
      <c r="T55">
        <v>-2.37617318555229E-2</v>
      </c>
      <c r="U55">
        <v>-9.7897645828715005E-3</v>
      </c>
      <c r="V55">
        <v>-1.34213281418616E-2</v>
      </c>
      <c r="W55">
        <v>-2.07495334194851E-2</v>
      </c>
      <c r="X55">
        <v>2.59177659456356E-2</v>
      </c>
      <c r="Y55">
        <v>1.2845932168195E-3</v>
      </c>
      <c r="AA55" s="4">
        <f t="shared" si="1"/>
        <v>1.9815987025587921E-4</v>
      </c>
    </row>
    <row r="56" spans="1:27" x14ac:dyDescent="0.25">
      <c r="A56" s="1" t="s">
        <v>473</v>
      </c>
      <c r="B56" s="1">
        <v>-0.47881861977491169</v>
      </c>
      <c r="C56" s="1">
        <v>-1.5669327879299479</v>
      </c>
      <c r="D56" s="1">
        <v>0.79754736305857676</v>
      </c>
      <c r="E56" s="1">
        <v>5.982404616976809</v>
      </c>
      <c r="F56" s="1">
        <v>-3.4610209919401922</v>
      </c>
      <c r="G56" s="1">
        <v>0.9895306252128141</v>
      </c>
      <c r="H56" s="1">
        <v>-1.8005800565280949</v>
      </c>
      <c r="I56" s="1">
        <v>-1.3947119462253461</v>
      </c>
      <c r="J56" s="1"/>
      <c r="K56" s="8">
        <v>0.79213837088490002</v>
      </c>
      <c r="L56" s="9">
        <v>6</v>
      </c>
      <c r="M56" s="3">
        <v>0.85070183091983609</v>
      </c>
      <c r="N56" s="1"/>
      <c r="O56" s="1"/>
      <c r="P56">
        <v>-3.8839723116969999E-4</v>
      </c>
      <c r="Q56">
        <v>-2.1051791050754999E-3</v>
      </c>
      <c r="R56">
        <v>-4.9965558274640996E-3</v>
      </c>
      <c r="S56">
        <v>-5.4177020652092997E-3</v>
      </c>
      <c r="T56">
        <v>-3.5232393127626999E-3</v>
      </c>
      <c r="U56">
        <v>2.4986653045364002E-3</v>
      </c>
      <c r="V56">
        <v>4.5759701561833002E-3</v>
      </c>
      <c r="W56">
        <v>-8.8709642919609997E-4</v>
      </c>
      <c r="X56">
        <v>-1.6013287679618099E-2</v>
      </c>
      <c r="Y56">
        <v>-9.9729677320300005E-4</v>
      </c>
      <c r="AA56" s="4">
        <f t="shared" si="1"/>
        <v>2.8242396690125842E-5</v>
      </c>
    </row>
    <row r="57" spans="1:27" x14ac:dyDescent="0.25">
      <c r="A57" s="1" t="s">
        <v>270</v>
      </c>
      <c r="B57" s="1">
        <v>-1.6330950280561709</v>
      </c>
      <c r="C57" s="1">
        <v>2.5158000051623879</v>
      </c>
      <c r="D57" s="1">
        <v>7.1378200041384856</v>
      </c>
      <c r="E57" s="1">
        <v>-3.2836561033790921</v>
      </c>
      <c r="F57" s="1">
        <v>-3.072575797151063</v>
      </c>
      <c r="G57" s="1">
        <v>2.7751278147843359</v>
      </c>
      <c r="H57" s="1"/>
      <c r="I57" s="1"/>
      <c r="J57" s="1"/>
      <c r="K57" s="8">
        <v>0.791800834106413</v>
      </c>
      <c r="L57" s="9">
        <v>56</v>
      </c>
      <c r="M57" s="3">
        <v>0.3924030271803659</v>
      </c>
      <c r="N57" s="1"/>
      <c r="O57" s="1"/>
      <c r="P57">
        <v>8.1318562423969998E-4</v>
      </c>
      <c r="Q57">
        <v>-3.2496099045861197E-2</v>
      </c>
      <c r="R57">
        <v>1.8547979274385399E-2</v>
      </c>
      <c r="S57">
        <v>2.4138078208484999E-3</v>
      </c>
      <c r="T57">
        <v>-2.9533354753537998E-3</v>
      </c>
      <c r="U57">
        <v>4.1927674288272003E-3</v>
      </c>
      <c r="V57">
        <v>-1.24599394102787E-2</v>
      </c>
      <c r="W57">
        <v>5.4870800705690004E-3</v>
      </c>
      <c r="X57">
        <v>-5.64629106859608E-2</v>
      </c>
      <c r="Y57">
        <v>-0.1409939161396907</v>
      </c>
      <c r="AA57" s="4">
        <f t="shared" si="1"/>
        <v>2.0109708153525615E-3</v>
      </c>
    </row>
    <row r="58" spans="1:27" x14ac:dyDescent="0.25">
      <c r="A58" s="1" t="s">
        <v>437</v>
      </c>
      <c r="B58" s="1">
        <v>-0.25073041765736331</v>
      </c>
      <c r="C58" s="1">
        <v>-1.5557157298582329</v>
      </c>
      <c r="D58" s="1">
        <v>2.1728830832507868</v>
      </c>
      <c r="E58" s="1">
        <v>-1.3995799144225149</v>
      </c>
      <c r="F58" s="1">
        <v>4.2695001889084132</v>
      </c>
      <c r="G58" s="1">
        <v>-1.9622351626360961</v>
      </c>
      <c r="H58" s="1">
        <v>-2.0359037723943829</v>
      </c>
      <c r="I58" s="1"/>
      <c r="J58" s="1"/>
      <c r="K58" s="8">
        <v>0.78998385554879702</v>
      </c>
      <c r="L58" s="9">
        <v>111</v>
      </c>
      <c r="M58" s="3">
        <v>0.22935240254124639</v>
      </c>
      <c r="N58" s="1"/>
      <c r="O58" s="1"/>
      <c r="P58">
        <v>-3.0053021605144E-3</v>
      </c>
      <c r="Q58">
        <v>-0.1733563763569784</v>
      </c>
      <c r="R58">
        <v>-2.0502205850908201E-2</v>
      </c>
      <c r="S58">
        <v>4.1051055201692499E-2</v>
      </c>
      <c r="T58">
        <v>-0.21098727305115139</v>
      </c>
      <c r="U58">
        <v>-3.11734566406968E-2</v>
      </c>
      <c r="V58">
        <v>-7.5814863561943793E-2</v>
      </c>
      <c r="W58">
        <v>-0.2008627224748562</v>
      </c>
      <c r="X58">
        <v>7.1494847158042704E-2</v>
      </c>
      <c r="Y58">
        <v>-1.55975865146534E-2</v>
      </c>
      <c r="AA58" s="4">
        <f t="shared" si="1"/>
        <v>9.08172961955858E-3</v>
      </c>
    </row>
    <row r="59" spans="1:27" x14ac:dyDescent="0.25">
      <c r="A59" s="1" t="s">
        <v>373</v>
      </c>
      <c r="B59" s="1">
        <v>-1.0099431466971349</v>
      </c>
      <c r="C59" s="1">
        <v>-1.358271247057645</v>
      </c>
      <c r="D59" s="1">
        <v>1.400105364595452</v>
      </c>
      <c r="E59" s="1">
        <v>1.1016009286910149</v>
      </c>
      <c r="F59" s="1">
        <v>-1.2949722105155539</v>
      </c>
      <c r="G59" s="1">
        <v>0.49360769906571877</v>
      </c>
      <c r="H59" s="1">
        <v>0.70286967341414297</v>
      </c>
      <c r="I59" s="1"/>
      <c r="J59" s="1"/>
      <c r="K59" s="8">
        <v>0.78901203597612601</v>
      </c>
      <c r="L59" s="9">
        <v>70</v>
      </c>
      <c r="M59" s="3">
        <v>0.20949723418173821</v>
      </c>
      <c r="N59" s="1"/>
      <c r="O59" s="1"/>
      <c r="P59">
        <v>-1.2748188426694E-3</v>
      </c>
      <c r="Q59">
        <v>-2.88311578872943E-2</v>
      </c>
      <c r="R59">
        <v>6.8204937050780001E-4</v>
      </c>
      <c r="S59">
        <v>-1.3689786493292701E-2</v>
      </c>
      <c r="T59">
        <v>-4.13632887596962E-2</v>
      </c>
      <c r="U59">
        <v>5.3672913678781001E-3</v>
      </c>
      <c r="V59">
        <v>1.3953555069859999E-4</v>
      </c>
      <c r="W59">
        <v>-3.4817528449180402E-2</v>
      </c>
      <c r="X59">
        <v>-0.1122306229776415</v>
      </c>
      <c r="Y59">
        <v>-0.1694224070640987</v>
      </c>
      <c r="AA59" s="4">
        <f t="shared" si="1"/>
        <v>2.9635072828986769E-3</v>
      </c>
    </row>
    <row r="60" spans="1:27" x14ac:dyDescent="0.25">
      <c r="A60" s="1" t="s">
        <v>429</v>
      </c>
      <c r="B60" s="1">
        <v>-0.43545174741881781</v>
      </c>
      <c r="C60" s="1">
        <v>-1.5363650465700609</v>
      </c>
      <c r="D60" s="1">
        <v>-1.4967734229191001</v>
      </c>
      <c r="E60" s="1">
        <v>2.0840488878192232</v>
      </c>
      <c r="F60" s="1">
        <v>2.6637124176740539</v>
      </c>
      <c r="G60" s="1">
        <v>-3.071232862873968</v>
      </c>
      <c r="H60" s="1">
        <v>-1.9312549263099179</v>
      </c>
      <c r="I60" s="1"/>
      <c r="J60" s="1"/>
      <c r="K60" s="8">
        <v>0.78766087521432104</v>
      </c>
      <c r="L60" s="9">
        <v>81</v>
      </c>
      <c r="M60" s="3">
        <v>0.54298250440673823</v>
      </c>
      <c r="N60" s="1"/>
      <c r="O60" s="1"/>
      <c r="P60">
        <v>-9.5729589174010001E-3</v>
      </c>
      <c r="Q60">
        <v>-0.12943115930886559</v>
      </c>
      <c r="R60">
        <v>-0.1289275362872063</v>
      </c>
      <c r="S60">
        <v>-3.4018866541399698E-2</v>
      </c>
      <c r="T60">
        <v>-0.20129822612140719</v>
      </c>
      <c r="U60">
        <v>-6.2947467459124801E-2</v>
      </c>
      <c r="V60">
        <v>-8.5586050954823606E-2</v>
      </c>
      <c r="W60">
        <v>-0.16902862131468069</v>
      </c>
      <c r="X60">
        <v>-6.6000306686975402E-2</v>
      </c>
      <c r="Y60">
        <v>-6.8194443698357003E-3</v>
      </c>
      <c r="AA60" s="4">
        <f t="shared" si="1"/>
        <v>3.9547639470948826E-3</v>
      </c>
    </row>
    <row r="61" spans="1:27" x14ac:dyDescent="0.25">
      <c r="A61" s="1" t="s">
        <v>483</v>
      </c>
      <c r="B61" s="1">
        <v>-0.28686399169123622</v>
      </c>
      <c r="C61" s="1">
        <v>-0.91213094160824937</v>
      </c>
      <c r="D61" s="1">
        <v>-1.158439720527578</v>
      </c>
      <c r="E61" s="1">
        <v>1.191343592476984</v>
      </c>
      <c r="F61" s="1">
        <v>1.0169135159423921</v>
      </c>
      <c r="G61" s="1">
        <v>-1.11926200519912</v>
      </c>
      <c r="H61" s="1">
        <v>0.39278356726217051</v>
      </c>
      <c r="I61" s="1">
        <v>0.67448176685802352</v>
      </c>
      <c r="J61" s="1"/>
      <c r="K61" s="8">
        <v>0.78285262703532099</v>
      </c>
      <c r="L61" s="9">
        <v>16</v>
      </c>
      <c r="M61" s="3">
        <v>0.7506286660757433</v>
      </c>
      <c r="N61" s="1"/>
      <c r="O61" s="1"/>
      <c r="P61">
        <v>3.3764818696629999E-4</v>
      </c>
      <c r="Q61">
        <v>3.9543735356914996E-3</v>
      </c>
      <c r="R61">
        <v>6.6588389805064003E-3</v>
      </c>
      <c r="S61">
        <v>5.4911705314827997E-3</v>
      </c>
      <c r="T61">
        <v>8.8448772657299998E-3</v>
      </c>
      <c r="U61">
        <v>1.21206155859306E-2</v>
      </c>
      <c r="V61">
        <v>1.05928123461605E-2</v>
      </c>
      <c r="W61">
        <v>1.4316908282319501E-2</v>
      </c>
      <c r="X61">
        <v>-2.5639689951149999E-2</v>
      </c>
      <c r="Y61">
        <v>-8.3387538867121004E-3</v>
      </c>
      <c r="AA61" s="4">
        <f t="shared" si="1"/>
        <v>1.279186632585181E-4</v>
      </c>
    </row>
    <row r="62" spans="1:27" x14ac:dyDescent="0.25">
      <c r="A62" s="1" t="s">
        <v>390</v>
      </c>
      <c r="B62" s="1">
        <v>-0.45385839496753949</v>
      </c>
      <c r="C62" s="1">
        <v>-4.2072738553350284</v>
      </c>
      <c r="D62" s="1">
        <v>5.3779634491501076</v>
      </c>
      <c r="E62" s="1">
        <v>1.731785247623727</v>
      </c>
      <c r="F62" s="1">
        <v>3.345061419082783</v>
      </c>
      <c r="G62" s="1">
        <v>-2.0140094470209808</v>
      </c>
      <c r="H62" s="1">
        <v>-1.4163890424090451</v>
      </c>
      <c r="I62" s="1"/>
      <c r="J62" s="1"/>
      <c r="K62" s="8">
        <v>0.78196787741366702</v>
      </c>
      <c r="L62" s="9">
        <v>4</v>
      </c>
      <c r="M62" s="3">
        <v>0.98296832098831999</v>
      </c>
      <c r="N62" s="1"/>
      <c r="O62" s="1"/>
      <c r="P62">
        <v>2.3112235607550001E-4</v>
      </c>
      <c r="Q62">
        <v>-2.8489849267687001E-3</v>
      </c>
      <c r="R62">
        <v>3.2936692624197001E-3</v>
      </c>
      <c r="S62">
        <v>3.855398878072E-3</v>
      </c>
      <c r="T62">
        <v>1.2586566872641999E-3</v>
      </c>
      <c r="U62">
        <v>2.1637149207588001E-3</v>
      </c>
      <c r="V62">
        <v>1.8466623144502E-3</v>
      </c>
      <c r="W62">
        <v>2.0200046882033998E-3</v>
      </c>
      <c r="X62">
        <v>-7.1504136517600003E-4</v>
      </c>
      <c r="Y62">
        <v>1.2601557567112801E-2</v>
      </c>
      <c r="AA62" s="4">
        <f t="shared" si="1"/>
        <v>1.5074843842262494E-5</v>
      </c>
    </row>
    <row r="63" spans="1:27" x14ac:dyDescent="0.25">
      <c r="A63" s="1" t="s">
        <v>430</v>
      </c>
      <c r="B63" s="1">
        <v>-0.64893982081852497</v>
      </c>
      <c r="C63" s="1">
        <v>-2.081104535778135</v>
      </c>
      <c r="D63" s="1">
        <v>5.7147840565179653</v>
      </c>
      <c r="E63" s="1">
        <v>-4.0717224865513844</v>
      </c>
      <c r="F63" s="1">
        <v>1.735349131222375</v>
      </c>
      <c r="G63" s="1">
        <v>-3.481409613499451</v>
      </c>
      <c r="H63" s="1">
        <v>-1.998229514994738</v>
      </c>
      <c r="I63" s="1"/>
      <c r="J63" s="1"/>
      <c r="K63" s="8">
        <v>0.78122730505222904</v>
      </c>
      <c r="L63" s="9">
        <v>50</v>
      </c>
      <c r="M63" s="3">
        <v>0.8951374050705958</v>
      </c>
      <c r="N63" s="1"/>
      <c r="O63" s="1"/>
      <c r="P63">
        <v>-1.6122629155709001E-3</v>
      </c>
      <c r="Q63">
        <v>-6.15595330311558E-2</v>
      </c>
      <c r="R63">
        <v>1.4408079587615899E-2</v>
      </c>
      <c r="S63">
        <v>-2.22742439747768E-2</v>
      </c>
      <c r="T63">
        <v>-9.1150195350236496E-2</v>
      </c>
      <c r="U63">
        <v>-4.1787489847642002E-3</v>
      </c>
      <c r="V63">
        <v>2.0778583998167101E-2</v>
      </c>
      <c r="W63">
        <v>-9.0367461714398994E-2</v>
      </c>
      <c r="X63">
        <v>-1.5180826818445599E-2</v>
      </c>
      <c r="Y63">
        <v>-4.0033495117129001E-3</v>
      </c>
      <c r="AA63" s="4">
        <f t="shared" si="1"/>
        <v>1.5156602402791196E-3</v>
      </c>
    </row>
    <row r="64" spans="1:27" x14ac:dyDescent="0.25">
      <c r="A64" s="1" t="s">
        <v>369</v>
      </c>
      <c r="B64" s="1">
        <v>-0.93140767622855969</v>
      </c>
      <c r="C64" s="1">
        <v>-1.202698302399527</v>
      </c>
      <c r="D64" s="1">
        <v>1.2449408257617081</v>
      </c>
      <c r="E64" s="1">
        <v>1.02624444073106</v>
      </c>
      <c r="F64" s="1">
        <v>-1.162895736490362</v>
      </c>
      <c r="G64" s="1">
        <v>0.43272183158170158</v>
      </c>
      <c r="H64" s="1">
        <v>0.67853873014918065</v>
      </c>
      <c r="I64" s="1"/>
      <c r="J64" s="1"/>
      <c r="K64" s="8">
        <v>0.78041800269988004</v>
      </c>
      <c r="L64" s="9">
        <v>74</v>
      </c>
      <c r="M64" s="3">
        <v>0.20400464726331169</v>
      </c>
      <c r="N64" s="1"/>
      <c r="O64" s="1"/>
      <c r="P64">
        <v>-1.414081379985E-3</v>
      </c>
      <c r="Q64">
        <v>-3.3411733363228197E-2</v>
      </c>
      <c r="R64">
        <v>-3.4487916192990002E-4</v>
      </c>
      <c r="S64">
        <v>-1.5552661389447499E-2</v>
      </c>
      <c r="T64">
        <v>-4.6357548385948799E-2</v>
      </c>
      <c r="U64">
        <v>6.9894275292209001E-3</v>
      </c>
      <c r="V64">
        <v>8.5248439933260001E-4</v>
      </c>
      <c r="W64">
        <v>-3.7992768375616E-2</v>
      </c>
      <c r="X64">
        <v>-0.1210065938984707</v>
      </c>
      <c r="Y64">
        <v>-0.17131527373684241</v>
      </c>
      <c r="AA64" s="4">
        <f t="shared" si="1"/>
        <v>3.1391393463988337E-3</v>
      </c>
    </row>
    <row r="65" spans="1:27" x14ac:dyDescent="0.25">
      <c r="A65" s="1" t="s">
        <v>359</v>
      </c>
      <c r="B65" s="1">
        <v>-1.882465875265199</v>
      </c>
      <c r="C65" s="1">
        <v>1.4801071066238149</v>
      </c>
      <c r="D65" s="1">
        <v>-1.0552788552238059</v>
      </c>
      <c r="E65" s="1">
        <v>1.570884489442631</v>
      </c>
      <c r="F65" s="1">
        <v>1.6844802925957201</v>
      </c>
      <c r="G65" s="1">
        <v>2.033062810831781</v>
      </c>
      <c r="H65" s="1">
        <v>-3.73363461626065</v>
      </c>
      <c r="I65" s="1"/>
      <c r="J65" s="1"/>
      <c r="K65" s="8">
        <v>0.77929749367656698</v>
      </c>
      <c r="L65" s="9">
        <v>65</v>
      </c>
      <c r="M65" s="3">
        <v>0.2364424124269455</v>
      </c>
      <c r="N65" s="1"/>
      <c r="O65" s="1"/>
      <c r="P65">
        <v>-2.5475525627856998E-3</v>
      </c>
      <c r="Q65">
        <v>-6.6998311058515406E-2</v>
      </c>
      <c r="R65">
        <v>3.5445233921114999E-3</v>
      </c>
      <c r="S65">
        <v>-5.6396009650838E-3</v>
      </c>
      <c r="T65">
        <v>-9.2485371149497494E-2</v>
      </c>
      <c r="U65">
        <v>8.9834295691349E-3</v>
      </c>
      <c r="V65">
        <v>-3.7216927594533399E-2</v>
      </c>
      <c r="W65">
        <v>-8.0251442498616404E-2</v>
      </c>
      <c r="X65">
        <v>-9.3018628707345993E-2</v>
      </c>
      <c r="Y65">
        <v>-0.14945439133477409</v>
      </c>
      <c r="AA65" s="4">
        <f t="shared" si="1"/>
        <v>2.545717161597598E-3</v>
      </c>
    </row>
    <row r="66" spans="1:27" x14ac:dyDescent="0.25">
      <c r="A66" s="1" t="s">
        <v>288</v>
      </c>
      <c r="B66" s="1">
        <v>-0.63903903323138711</v>
      </c>
      <c r="C66" s="1">
        <v>0.78427791305035599</v>
      </c>
      <c r="D66" s="1">
        <v>2.5812464862393809</v>
      </c>
      <c r="E66" s="1">
        <v>-2.8468984518997931</v>
      </c>
      <c r="F66" s="1">
        <v>1.519387790181109</v>
      </c>
      <c r="G66" s="1">
        <v>1.1294706782686541</v>
      </c>
      <c r="H66" s="1"/>
      <c r="I66" s="1"/>
      <c r="J66" s="1"/>
      <c r="K66" s="8">
        <v>0.777729237452636</v>
      </c>
      <c r="L66" s="9">
        <v>115</v>
      </c>
      <c r="M66" s="3">
        <v>0.1010331424755098</v>
      </c>
      <c r="N66" s="1"/>
      <c r="O66" s="1"/>
      <c r="P66">
        <v>-2.7241817412940999E-3</v>
      </c>
      <c r="Q66">
        <v>-7.3374705421367106E-2</v>
      </c>
      <c r="R66">
        <v>1.7980730681813001E-3</v>
      </c>
      <c r="S66">
        <v>0.1523034784418181</v>
      </c>
      <c r="T66">
        <v>-0.25575175714265391</v>
      </c>
      <c r="U66">
        <v>-9.0220151825433706E-2</v>
      </c>
      <c r="V66">
        <v>-9.1980584715413705E-2</v>
      </c>
      <c r="W66">
        <v>-0.214023511963497</v>
      </c>
      <c r="X66">
        <v>-6.5183045683378696E-2</v>
      </c>
      <c r="Y66">
        <v>-0.1021150179018369</v>
      </c>
      <c r="AA66" s="4">
        <f t="shared" ref="AA66:AA97" si="2">_xlfn.COVARIANCE.P(P66:Y66,P66:Y66)</f>
        <v>1.1613395664445993E-2</v>
      </c>
    </row>
    <row r="67" spans="1:27" x14ac:dyDescent="0.25">
      <c r="A67" s="1" t="s">
        <v>242</v>
      </c>
      <c r="B67" s="1">
        <v>1.1716791826616531</v>
      </c>
      <c r="C67" s="1">
        <v>2.0897555139899628</v>
      </c>
      <c r="D67" s="1">
        <v>3.530203322431575</v>
      </c>
      <c r="E67" s="1">
        <v>-2.518675388326761</v>
      </c>
      <c r="F67" s="1">
        <v>-1.782431618095883</v>
      </c>
      <c r="G67" s="1">
        <v>0.87445351246940628</v>
      </c>
      <c r="H67" s="1"/>
      <c r="I67" s="1"/>
      <c r="J67" s="1"/>
      <c r="K67" s="8">
        <v>0.77737170016621304</v>
      </c>
      <c r="L67" s="9">
        <v>125</v>
      </c>
      <c r="M67" s="3">
        <v>0.50267152671410242</v>
      </c>
      <c r="N67" s="1"/>
      <c r="O67" s="1"/>
      <c r="P67">
        <v>-2.2781632205952199E-2</v>
      </c>
      <c r="Q67">
        <v>-0.49137068587259308</v>
      </c>
      <c r="R67">
        <v>-7.3161320441941805E-2</v>
      </c>
      <c r="S67">
        <v>-8.1314862581347805E-2</v>
      </c>
      <c r="T67">
        <v>-0.9475510539595019</v>
      </c>
      <c r="U67">
        <v>-7.2404628908318294E-2</v>
      </c>
      <c r="V67">
        <v>-2.11130642470026E-2</v>
      </c>
      <c r="W67">
        <v>-0.73619760479757668</v>
      </c>
      <c r="X67">
        <v>-5.4284561542116097E-2</v>
      </c>
      <c r="Y67">
        <v>2.7147118799806701E-2</v>
      </c>
      <c r="AA67" s="4">
        <f t="shared" si="2"/>
        <v>0.10915518504204653</v>
      </c>
    </row>
    <row r="68" spans="1:27" x14ac:dyDescent="0.25">
      <c r="A68" s="1" t="s">
        <v>248</v>
      </c>
      <c r="B68" s="1">
        <v>0.57449617928635355</v>
      </c>
      <c r="C68" s="1">
        <v>6.1827508158226117</v>
      </c>
      <c r="D68" s="1">
        <v>0.88370529162556299</v>
      </c>
      <c r="E68" s="1">
        <v>-5.814523110402825</v>
      </c>
      <c r="F68" s="1">
        <v>-2.4989999814530601</v>
      </c>
      <c r="G68" s="1">
        <v>2.6063924597651611</v>
      </c>
      <c r="H68" s="1"/>
      <c r="I68" s="1"/>
      <c r="J68" s="1"/>
      <c r="K68" s="8">
        <v>0.77631962608106098</v>
      </c>
      <c r="L68" s="9">
        <v>34</v>
      </c>
      <c r="M68" s="3">
        <v>0.77288106209373775</v>
      </c>
      <c r="N68" s="1"/>
      <c r="O68" s="1"/>
      <c r="P68">
        <v>-4.9351541808535003E-3</v>
      </c>
      <c r="Q68">
        <v>-6.0834943381862197E-2</v>
      </c>
      <c r="R68">
        <v>-5.9354189480316302E-2</v>
      </c>
      <c r="S68">
        <v>-2.0834292297807099E-2</v>
      </c>
      <c r="T68">
        <v>-8.72517839672622E-2</v>
      </c>
      <c r="U68">
        <v>-5.90453172846368E-2</v>
      </c>
      <c r="V68">
        <v>-5.0572957017996703E-2</v>
      </c>
      <c r="W68">
        <v>-8.5304542663286506E-2</v>
      </c>
      <c r="X68">
        <v>-8.8661273293374199E-2</v>
      </c>
      <c r="Y68">
        <v>-7.6462907485992998E-3</v>
      </c>
      <c r="AA68" s="4">
        <f t="shared" si="2"/>
        <v>9.0314236210718019E-4</v>
      </c>
    </row>
    <row r="69" spans="1:27" x14ac:dyDescent="0.25">
      <c r="A69" s="1" t="s">
        <v>227</v>
      </c>
      <c r="B69" s="1">
        <v>-0.21607312278012031</v>
      </c>
      <c r="C69" s="1">
        <v>-0.66037619758483312</v>
      </c>
      <c r="D69" s="1">
        <v>-1.6771730843449231</v>
      </c>
      <c r="E69" s="1">
        <v>1.4141915815403989</v>
      </c>
      <c r="F69" s="1">
        <v>0.5862119769804871</v>
      </c>
      <c r="G69" s="1"/>
      <c r="H69" s="1"/>
      <c r="I69" s="1"/>
      <c r="J69" s="1"/>
      <c r="K69" s="8">
        <v>0.77626032739623396</v>
      </c>
      <c r="L69" s="9">
        <v>107</v>
      </c>
      <c r="M69" s="3">
        <v>0.19526767279405</v>
      </c>
      <c r="N69" s="1"/>
      <c r="O69" s="1"/>
      <c r="P69">
        <v>-9.9340104394511006E-3</v>
      </c>
      <c r="Q69">
        <v>-0.1456758436455293</v>
      </c>
      <c r="R69">
        <v>-0.19410544234956589</v>
      </c>
      <c r="S69">
        <v>-0.16869573453048961</v>
      </c>
      <c r="T69">
        <v>-8.8488319274144606E-2</v>
      </c>
      <c r="U69">
        <v>-4.8880920234269003E-3</v>
      </c>
      <c r="V69">
        <v>-3.3289111388400999E-3</v>
      </c>
      <c r="W69">
        <v>-0.25512975206995558</v>
      </c>
      <c r="X69">
        <v>-5.0631506860382E-3</v>
      </c>
      <c r="Y69">
        <v>-1.61123019515193E-2</v>
      </c>
      <c r="AA69" s="4">
        <f t="shared" si="2"/>
        <v>8.1233660058895405E-3</v>
      </c>
    </row>
    <row r="70" spans="1:27" x14ac:dyDescent="0.25">
      <c r="A70" s="1" t="s">
        <v>287</v>
      </c>
      <c r="B70" s="1">
        <v>-1.190958419430141</v>
      </c>
      <c r="C70" s="1">
        <v>1.1597026836384361</v>
      </c>
      <c r="D70" s="1">
        <v>2.2256329795251029</v>
      </c>
      <c r="E70" s="1">
        <v>-2.914814806996294</v>
      </c>
      <c r="F70" s="1">
        <v>2.3511753135305038</v>
      </c>
      <c r="G70" s="1">
        <v>0.89868083630225193</v>
      </c>
      <c r="H70" s="1"/>
      <c r="I70" s="1"/>
      <c r="J70" s="1"/>
      <c r="K70" s="8">
        <v>0.77622514771114903</v>
      </c>
      <c r="L70" s="9">
        <v>54</v>
      </c>
      <c r="M70" s="3">
        <v>0.83440471082587475</v>
      </c>
      <c r="N70" s="1"/>
      <c r="O70" s="1"/>
      <c r="P70">
        <v>6.1729063325459996E-4</v>
      </c>
      <c r="Q70">
        <v>-2.4175747318259201E-2</v>
      </c>
      <c r="R70">
        <v>2.9936349707705399E-2</v>
      </c>
      <c r="S70">
        <v>8.3227408550600193E-2</v>
      </c>
      <c r="T70">
        <v>-7.5809246850107398E-2</v>
      </c>
      <c r="U70">
        <v>-4.1123675124911198E-2</v>
      </c>
      <c r="V70">
        <v>-5.2085138290202199E-2</v>
      </c>
      <c r="W70">
        <v>-5.4043468787156997E-2</v>
      </c>
      <c r="X70">
        <v>-1.62448320307889E-2</v>
      </c>
      <c r="Y70">
        <v>4.5509076661263996E-3</v>
      </c>
      <c r="AA70" s="4">
        <f t="shared" si="2"/>
        <v>1.9657339757278526E-3</v>
      </c>
    </row>
    <row r="71" spans="1:27" x14ac:dyDescent="0.25">
      <c r="A71" s="1" t="s">
        <v>453</v>
      </c>
      <c r="B71" s="1">
        <v>-0.31025289764972819</v>
      </c>
      <c r="C71" s="1">
        <v>-2.645041506014445</v>
      </c>
      <c r="D71" s="1">
        <v>3.7497859274602598</v>
      </c>
      <c r="E71" s="1">
        <v>1.1160195872013161</v>
      </c>
      <c r="F71" s="1">
        <v>2.6789841251700741</v>
      </c>
      <c r="G71" s="1">
        <v>1.6081205376294549</v>
      </c>
      <c r="H71" s="1">
        <v>-1.992817647870246</v>
      </c>
      <c r="I71" s="1">
        <v>-1.839364613331046</v>
      </c>
      <c r="J71" s="1"/>
      <c r="K71" s="8">
        <v>0.77312649221268404</v>
      </c>
      <c r="L71" s="9">
        <v>73</v>
      </c>
      <c r="M71" s="3">
        <v>0.42773429932738999</v>
      </c>
      <c r="N71" s="1"/>
      <c r="O71" s="1"/>
      <c r="P71">
        <v>-1.9828720121653001E-3</v>
      </c>
      <c r="Q71">
        <v>-7.7640725665430496E-2</v>
      </c>
      <c r="R71">
        <v>-1.3170523698063999E-3</v>
      </c>
      <c r="S71">
        <v>1.68209423169365E-2</v>
      </c>
      <c r="T71">
        <v>-0.13486322194815081</v>
      </c>
      <c r="U71">
        <v>1.6969493973531501E-2</v>
      </c>
      <c r="V71">
        <v>1.54489440834154E-2</v>
      </c>
      <c r="W71">
        <v>-9.4527632108606693E-2</v>
      </c>
      <c r="X71">
        <v>-1.13812903066478E-2</v>
      </c>
      <c r="Y71">
        <v>4.10262323024463E-2</v>
      </c>
      <c r="AA71" s="4">
        <f t="shared" si="2"/>
        <v>3.0422793968647522E-3</v>
      </c>
    </row>
    <row r="72" spans="1:27" x14ac:dyDescent="0.25">
      <c r="A72" s="1" t="s">
        <v>239</v>
      </c>
      <c r="B72" s="1">
        <v>0.65166039549449772</v>
      </c>
      <c r="C72" s="1">
        <v>5.6802403728037456</v>
      </c>
      <c r="D72" s="1">
        <v>1.1873294074351499</v>
      </c>
      <c r="E72" s="1">
        <v>-5.1483644666520796</v>
      </c>
      <c r="F72" s="1">
        <v>-2.4485270721194499</v>
      </c>
      <c r="G72" s="1">
        <v>2.1302915643808591</v>
      </c>
      <c r="H72" s="1"/>
      <c r="I72" s="1"/>
      <c r="J72" s="1"/>
      <c r="K72" s="8">
        <v>0.77155482069387105</v>
      </c>
      <c r="L72" s="9">
        <v>38</v>
      </c>
      <c r="M72" s="3">
        <v>0.61717013705295098</v>
      </c>
      <c r="N72" s="1"/>
      <c r="O72" s="1"/>
      <c r="P72">
        <v>-4.9674522731051997E-3</v>
      </c>
      <c r="Q72">
        <v>-6.0616694380125402E-2</v>
      </c>
      <c r="R72">
        <v>-6.4863120920826398E-2</v>
      </c>
      <c r="S72">
        <v>-2.6076973066394699E-2</v>
      </c>
      <c r="T72">
        <v>-8.3143992496913996E-2</v>
      </c>
      <c r="U72">
        <v>-7.2318412443242205E-2</v>
      </c>
      <c r="V72">
        <v>-6.2385523727818901E-2</v>
      </c>
      <c r="W72">
        <v>-8.6117317080813494E-2</v>
      </c>
      <c r="X72">
        <v>-0.1179786068914631</v>
      </c>
      <c r="Y72">
        <v>-2.0812773446473101E-2</v>
      </c>
      <c r="AA72" s="4">
        <f t="shared" si="2"/>
        <v>1.0475681838240743E-3</v>
      </c>
    </row>
    <row r="73" spans="1:27" x14ac:dyDescent="0.25">
      <c r="A73" s="1" t="s">
        <v>235</v>
      </c>
      <c r="B73" s="1">
        <v>-1.1344672831837139</v>
      </c>
      <c r="C73" s="1">
        <v>2.164669276126117</v>
      </c>
      <c r="D73" s="1">
        <v>3.216489173873192</v>
      </c>
      <c r="E73" s="1">
        <v>-1.1566943026028209</v>
      </c>
      <c r="F73" s="1">
        <v>-3.1425392474715532</v>
      </c>
      <c r="G73" s="1">
        <v>-4.0655531222762944</v>
      </c>
      <c r="H73" s="1"/>
      <c r="I73" s="1"/>
      <c r="J73" s="1"/>
      <c r="K73" s="8">
        <v>0.77003156098515102</v>
      </c>
      <c r="L73" s="9">
        <v>72</v>
      </c>
      <c r="M73" s="3">
        <v>0.26821316439900922</v>
      </c>
      <c r="N73" s="1"/>
      <c r="O73" s="1"/>
      <c r="P73">
        <v>-6.3702425940206E-3</v>
      </c>
      <c r="Q73">
        <v>-5.9726578117833697E-2</v>
      </c>
      <c r="R73">
        <v>-0.1088676081959639</v>
      </c>
      <c r="S73">
        <v>-4.6310828572210097E-2</v>
      </c>
      <c r="T73">
        <v>-2.87707688140545E-2</v>
      </c>
      <c r="U73">
        <v>1.2975485363221901E-2</v>
      </c>
      <c r="V73">
        <v>1.8971381921890001E-2</v>
      </c>
      <c r="W73">
        <v>-2.58259299914009E-2</v>
      </c>
      <c r="X73">
        <v>-0.17005873847992711</v>
      </c>
      <c r="Y73">
        <v>-2.4481712724331101E-2</v>
      </c>
      <c r="AA73" s="4">
        <f t="shared" si="2"/>
        <v>2.9921831228843935E-3</v>
      </c>
    </row>
    <row r="74" spans="1:27" x14ac:dyDescent="0.25">
      <c r="A74" s="1" t="s">
        <v>156</v>
      </c>
      <c r="B74" s="1">
        <v>-1.305106177631207</v>
      </c>
      <c r="C74" s="1">
        <v>1.096241208902059</v>
      </c>
      <c r="D74" s="1">
        <v>0.62922523907160932</v>
      </c>
      <c r="E74" s="1">
        <v>2.0025495524589449</v>
      </c>
      <c r="F74" s="1">
        <v>-2.0316330743377549</v>
      </c>
      <c r="G74" s="1"/>
      <c r="H74" s="1"/>
      <c r="I74" s="1"/>
      <c r="J74" s="1"/>
      <c r="K74" s="8">
        <v>0.76983328248681104</v>
      </c>
      <c r="L74" s="9">
        <v>90</v>
      </c>
      <c r="M74" s="3">
        <v>0.1749443239595754</v>
      </c>
      <c r="N74" s="1"/>
      <c r="O74" s="1"/>
      <c r="P74">
        <v>-6.9160434105229997E-4</v>
      </c>
      <c r="Q74">
        <v>-0.1032086786305173</v>
      </c>
      <c r="R74">
        <v>3.6257272096563299E-2</v>
      </c>
      <c r="S74">
        <v>5.0130852379998897E-2</v>
      </c>
      <c r="T74">
        <v>-8.5865736733102396E-2</v>
      </c>
      <c r="U74">
        <v>3.127522722887E-3</v>
      </c>
      <c r="V74">
        <v>-0.14980308705063511</v>
      </c>
      <c r="W74">
        <v>-0.1209895504485651</v>
      </c>
      <c r="X74">
        <v>-4.3263766199015501E-2</v>
      </c>
      <c r="Y74">
        <v>-8.4097753131917696E-2</v>
      </c>
      <c r="AA74" s="4">
        <f t="shared" si="2"/>
        <v>4.3045822213558342E-3</v>
      </c>
    </row>
    <row r="75" spans="1:27" x14ac:dyDescent="0.25">
      <c r="A75" s="1" t="s">
        <v>448</v>
      </c>
      <c r="B75" s="1">
        <v>-0.35529925817948588</v>
      </c>
      <c r="C75" s="1">
        <v>-0.79757900592470321</v>
      </c>
      <c r="D75" s="1">
        <v>-1.0898799176862819</v>
      </c>
      <c r="E75" s="1">
        <v>2.1094732313818811</v>
      </c>
      <c r="F75" s="1">
        <v>-2.1745025166645622</v>
      </c>
      <c r="G75" s="1">
        <v>0.82511072963327847</v>
      </c>
      <c r="H75" s="1">
        <v>-2.2027429210855249</v>
      </c>
      <c r="I75" s="1"/>
      <c r="J75" s="1"/>
      <c r="K75" s="8">
        <v>0.76972373350420498</v>
      </c>
      <c r="L75" s="9">
        <v>53</v>
      </c>
      <c r="M75" s="3">
        <v>0.43627892152177872</v>
      </c>
      <c r="N75" s="1"/>
      <c r="O75" s="1"/>
      <c r="P75">
        <v>-7.8687904405079999E-4</v>
      </c>
      <c r="Q75">
        <v>3.6709985793697303E-2</v>
      </c>
      <c r="R75">
        <v>-3.81360085417023E-2</v>
      </c>
      <c r="S75">
        <v>2.5258797271568999E-2</v>
      </c>
      <c r="T75">
        <v>4.4707210794588899E-2</v>
      </c>
      <c r="U75">
        <v>1.5025161546469599E-2</v>
      </c>
      <c r="V75">
        <v>-8.7261392211517002E-3</v>
      </c>
      <c r="W75">
        <v>6.4161178282440404E-2</v>
      </c>
      <c r="X75">
        <v>-9.5241434601445199E-2</v>
      </c>
      <c r="Y75">
        <v>-3.2173511674509002E-3</v>
      </c>
      <c r="AA75" s="4">
        <f t="shared" si="2"/>
        <v>1.8781136722113728E-3</v>
      </c>
    </row>
    <row r="76" spans="1:27" x14ac:dyDescent="0.25">
      <c r="A76" s="1" t="s">
        <v>234</v>
      </c>
      <c r="B76" s="1">
        <v>1.655651700324279</v>
      </c>
      <c r="C76" s="1">
        <v>1.689982466206116</v>
      </c>
      <c r="D76" s="1">
        <v>3.1719590508239981</v>
      </c>
      <c r="E76" s="1">
        <v>-1.974070672356133</v>
      </c>
      <c r="F76" s="1">
        <v>-1.4793565064624199</v>
      </c>
      <c r="G76" s="1">
        <v>1.5405186137800171</v>
      </c>
      <c r="H76" s="1"/>
      <c r="I76" s="1"/>
      <c r="J76" s="1"/>
      <c r="K76" s="8">
        <v>0.76910331832560097</v>
      </c>
      <c r="L76" s="9">
        <v>128</v>
      </c>
      <c r="M76" s="3">
        <v>0.19513326784232321</v>
      </c>
      <c r="N76" s="1"/>
      <c r="O76" s="1"/>
      <c r="P76">
        <v>-2.4212974959808901E-2</v>
      </c>
      <c r="Q76">
        <v>-0.58136528321921088</v>
      </c>
      <c r="R76">
        <v>-7.7564524177312702E-2</v>
      </c>
      <c r="S76">
        <v>-0.1117671679206511</v>
      </c>
      <c r="T76">
        <v>-1.171721565400843</v>
      </c>
      <c r="U76">
        <v>-9.4564369014686206E-2</v>
      </c>
      <c r="V76">
        <v>-2.0405031607840199E-2</v>
      </c>
      <c r="W76">
        <v>-0.95580733421028641</v>
      </c>
      <c r="X76">
        <v>-0.1013938784340586</v>
      </c>
      <c r="Y76">
        <v>-7.4890556286183003E-3</v>
      </c>
      <c r="AA76" s="4">
        <f t="shared" si="2"/>
        <v>0.16733598708081859</v>
      </c>
    </row>
    <row r="77" spans="1:27" x14ac:dyDescent="0.25">
      <c r="A77" s="1" t="s">
        <v>463</v>
      </c>
      <c r="B77" s="1">
        <v>-0.22812127442205099</v>
      </c>
      <c r="C77" s="1">
        <v>-0.44005032982808728</v>
      </c>
      <c r="D77" s="1">
        <v>-0.99118982673287392</v>
      </c>
      <c r="E77" s="1">
        <v>0.95257834942715569</v>
      </c>
      <c r="F77" s="1">
        <v>2.0645328583823441</v>
      </c>
      <c r="G77" s="1">
        <v>-1.4746509379895689</v>
      </c>
      <c r="H77" s="1">
        <v>-0.77633519941327678</v>
      </c>
      <c r="I77" s="1">
        <v>-2.135437859565728</v>
      </c>
      <c r="J77" s="1"/>
      <c r="K77" s="8">
        <v>0.76774678011998498</v>
      </c>
      <c r="L77" s="9">
        <v>49</v>
      </c>
      <c r="M77" s="3">
        <v>0.1978391265072644</v>
      </c>
      <c r="N77" s="1"/>
      <c r="O77" s="1"/>
      <c r="P77">
        <v>-4.527059914747E-4</v>
      </c>
      <c r="Q77">
        <v>-5.0371788331380798E-2</v>
      </c>
      <c r="R77">
        <v>1.2904535466527299E-2</v>
      </c>
      <c r="S77">
        <v>-4.4356891316176998E-3</v>
      </c>
      <c r="T77">
        <v>-5.64626964462982E-2</v>
      </c>
      <c r="U77">
        <v>2.2743676615857199E-2</v>
      </c>
      <c r="V77">
        <v>1.8144218915230399E-2</v>
      </c>
      <c r="W77">
        <v>-4.2623137740314697E-2</v>
      </c>
      <c r="X77">
        <v>9.8604903840625001E-3</v>
      </c>
      <c r="Y77">
        <v>-9.6712294648595806E-2</v>
      </c>
      <c r="AA77" s="4">
        <f t="shared" si="2"/>
        <v>1.4513398995635314E-3</v>
      </c>
    </row>
    <row r="78" spans="1:27" x14ac:dyDescent="0.25">
      <c r="A78" s="1" t="s">
        <v>236</v>
      </c>
      <c r="B78" s="1">
        <v>-2.157348934664773</v>
      </c>
      <c r="C78" s="1">
        <v>1.2523222216592651</v>
      </c>
      <c r="D78" s="1">
        <v>3.6279776996200881</v>
      </c>
      <c r="E78" s="1">
        <v>-1.5794026907586161</v>
      </c>
      <c r="F78" s="1">
        <v>-2.61397835874256</v>
      </c>
      <c r="G78" s="1">
        <v>-5.4682309669090436</v>
      </c>
      <c r="H78" s="1"/>
      <c r="I78" s="1"/>
      <c r="J78" s="1"/>
      <c r="K78" s="8">
        <v>0.766116363112464</v>
      </c>
      <c r="L78" s="9">
        <v>88</v>
      </c>
      <c r="M78" s="3">
        <v>0.1000450754234999</v>
      </c>
      <c r="N78" s="1"/>
      <c r="O78" s="1"/>
      <c r="P78">
        <v>-8.5110571837583998E-3</v>
      </c>
      <c r="Q78">
        <v>-8.49328633095041E-2</v>
      </c>
      <c r="R78">
        <v>-0.17731763201432019</v>
      </c>
      <c r="S78">
        <v>-1.22287092137027E-2</v>
      </c>
      <c r="T78">
        <v>-5.7423680058319201E-2</v>
      </c>
      <c r="U78">
        <v>-2.4072271863451799E-2</v>
      </c>
      <c r="V78">
        <v>-3.43643769452988E-2</v>
      </c>
      <c r="W78">
        <v>-4.7341180126301799E-2</v>
      </c>
      <c r="X78">
        <v>-0.20459582829778111</v>
      </c>
      <c r="Y78">
        <v>-0.1149036573542199</v>
      </c>
      <c r="AA78" s="4">
        <f t="shared" si="2"/>
        <v>4.2610157781828939E-3</v>
      </c>
    </row>
    <row r="79" spans="1:27" x14ac:dyDescent="0.25">
      <c r="A79" s="1" t="s">
        <v>395</v>
      </c>
      <c r="B79" s="1">
        <v>-0.21827705970027511</v>
      </c>
      <c r="C79" s="1">
        <v>-0.54170426796481985</v>
      </c>
      <c r="D79" s="1">
        <v>2.7988688025391482</v>
      </c>
      <c r="E79" s="1">
        <v>2.0201668750995321</v>
      </c>
      <c r="F79" s="1">
        <v>-1.8667268018982699</v>
      </c>
      <c r="G79" s="1">
        <v>-2.0035498212688112</v>
      </c>
      <c r="H79" s="1">
        <v>-1.617296425855224</v>
      </c>
      <c r="I79" s="1"/>
      <c r="J79" s="1"/>
      <c r="K79" s="8">
        <v>0.76567791392459805</v>
      </c>
      <c r="L79" s="9">
        <v>25</v>
      </c>
      <c r="M79" s="3">
        <v>0.74244149323312658</v>
      </c>
      <c r="N79" s="1"/>
      <c r="O79" s="1"/>
      <c r="P79">
        <v>-1.1081871031411001E-3</v>
      </c>
      <c r="Q79">
        <v>1.9266482574363902E-2</v>
      </c>
      <c r="R79">
        <v>-1.82612924259117E-2</v>
      </c>
      <c r="S79">
        <v>9.3001773364019998E-3</v>
      </c>
      <c r="T79">
        <v>-3.0454678710355499E-2</v>
      </c>
      <c r="U79">
        <v>-9.0537231703020004E-4</v>
      </c>
      <c r="V79">
        <v>3.9117690684876E-3</v>
      </c>
      <c r="W79">
        <v>-4.30101511151363E-2</v>
      </c>
      <c r="X79">
        <v>-5.4165195513874E-3</v>
      </c>
      <c r="Y79">
        <v>-1.2155201236856501E-2</v>
      </c>
      <c r="AA79" s="4">
        <f t="shared" si="2"/>
        <v>3.1414995499527736E-4</v>
      </c>
    </row>
    <row r="80" spans="1:27" x14ac:dyDescent="0.25">
      <c r="A80" s="1" t="s">
        <v>407</v>
      </c>
      <c r="B80" s="1">
        <v>-0.20946287149178611</v>
      </c>
      <c r="C80" s="1">
        <v>-0.69062507381534877</v>
      </c>
      <c r="D80" s="1">
        <v>-1.0414847199584001</v>
      </c>
      <c r="E80" s="1">
        <v>1.9256399371499859</v>
      </c>
      <c r="F80" s="1">
        <v>-2.0076450439883722</v>
      </c>
      <c r="G80" s="1">
        <v>0.81098607483515062</v>
      </c>
      <c r="H80" s="1">
        <v>-2.1050522367290929</v>
      </c>
      <c r="I80" s="1"/>
      <c r="J80" s="1"/>
      <c r="K80" s="8">
        <v>0.76388222285731799</v>
      </c>
      <c r="L80" s="9">
        <v>60</v>
      </c>
      <c r="M80" s="3">
        <v>0.18887930360487901</v>
      </c>
      <c r="N80" s="1"/>
      <c r="O80" s="1"/>
      <c r="P80">
        <v>-1.2735110116859999E-4</v>
      </c>
      <c r="Q80">
        <v>5.0061484613260999E-3</v>
      </c>
      <c r="R80">
        <v>-1.47668042687199E-2</v>
      </c>
      <c r="S80">
        <v>2.1475963676984199E-2</v>
      </c>
      <c r="T80">
        <v>3.4703033190345699E-2</v>
      </c>
      <c r="U80">
        <v>-2.5030708652084899E-2</v>
      </c>
      <c r="V80">
        <v>-5.4445989135262197E-2</v>
      </c>
      <c r="W80">
        <v>3.82065934878172E-2</v>
      </c>
      <c r="X80">
        <v>-1.642606116526E-3</v>
      </c>
      <c r="Y80">
        <v>-0.13042446960184589</v>
      </c>
      <c r="AA80" s="4">
        <f t="shared" si="2"/>
        <v>2.2358466656904538E-3</v>
      </c>
    </row>
    <row r="81" spans="1:27" x14ac:dyDescent="0.25">
      <c r="A81" s="1" t="s">
        <v>286</v>
      </c>
      <c r="B81" s="1">
        <v>-1.2415952678354829</v>
      </c>
      <c r="C81" s="1">
        <v>2.3128227093848399</v>
      </c>
      <c r="D81" s="1">
        <v>-4.6058966764619846</v>
      </c>
      <c r="E81" s="1">
        <v>3.891025323394969</v>
      </c>
      <c r="F81" s="1">
        <v>2.6893539118761849</v>
      </c>
      <c r="G81" s="1">
        <v>2.0837164872305531</v>
      </c>
      <c r="H81" s="1"/>
      <c r="I81" s="1"/>
      <c r="J81" s="1"/>
      <c r="K81" s="8">
        <v>0.762951725308048</v>
      </c>
      <c r="L81" s="9">
        <v>92</v>
      </c>
      <c r="M81" s="3">
        <v>0.68576777898227115</v>
      </c>
      <c r="N81" s="1"/>
      <c r="O81" s="1"/>
      <c r="P81">
        <v>-1.8396765483054999E-3</v>
      </c>
      <c r="Q81">
        <v>-3.6770252542031798E-2</v>
      </c>
      <c r="R81">
        <v>-2.1415556541295198E-2</v>
      </c>
      <c r="S81">
        <v>-1.0827019744304099E-2</v>
      </c>
      <c r="T81">
        <v>-0.1231223186044666</v>
      </c>
      <c r="U81">
        <v>-7.7195013089154003E-3</v>
      </c>
      <c r="V81">
        <v>6.4987770862325406E-2</v>
      </c>
      <c r="W81">
        <v>-0.1754354583601167</v>
      </c>
      <c r="X81">
        <v>-9.0461200906273992E-3</v>
      </c>
      <c r="Y81">
        <v>4.2512507066446499E-2</v>
      </c>
      <c r="AA81" s="4">
        <f t="shared" si="2"/>
        <v>4.6274127854637886E-3</v>
      </c>
    </row>
    <row r="82" spans="1:27" x14ac:dyDescent="0.25">
      <c r="A82" s="1" t="s">
        <v>343</v>
      </c>
      <c r="B82" s="1">
        <v>-0.19821775508252429</v>
      </c>
      <c r="C82" s="1">
        <v>-0.34162165533001582</v>
      </c>
      <c r="D82" s="1">
        <v>-1.588376558964691</v>
      </c>
      <c r="E82" s="1">
        <v>3.4252977580511779</v>
      </c>
      <c r="F82" s="1">
        <v>-3.6114253000889369</v>
      </c>
      <c r="G82" s="1">
        <v>-2.1968798874685258</v>
      </c>
      <c r="H82" s="1"/>
      <c r="I82" s="1"/>
      <c r="J82" s="1"/>
      <c r="K82" s="8">
        <v>0.76222345985073803</v>
      </c>
      <c r="L82" s="9">
        <v>104</v>
      </c>
      <c r="M82" s="3">
        <v>0.1638220643998623</v>
      </c>
      <c r="N82" s="1"/>
      <c r="O82" s="1"/>
      <c r="P82">
        <v>-1.23242858802971E-2</v>
      </c>
      <c r="Q82">
        <v>-9.8144214970623103E-2</v>
      </c>
      <c r="R82">
        <v>-0.2169609140119946</v>
      </c>
      <c r="S82">
        <v>-0.11305983584014161</v>
      </c>
      <c r="T82">
        <v>5.70723585413484E-2</v>
      </c>
      <c r="U82">
        <v>2.1818989347785901E-2</v>
      </c>
      <c r="V82">
        <v>8.0291749691974307E-2</v>
      </c>
      <c r="W82">
        <v>-4.8836102395928498E-2</v>
      </c>
      <c r="X82">
        <v>4.2157043380073103E-2</v>
      </c>
      <c r="Y82">
        <v>-2.1234608972427E-3</v>
      </c>
      <c r="AA82" s="4">
        <f t="shared" si="2"/>
        <v>7.5569213190950311E-3</v>
      </c>
    </row>
    <row r="83" spans="1:27" x14ac:dyDescent="0.25">
      <c r="A83" s="1" t="s">
        <v>471</v>
      </c>
      <c r="B83" s="1">
        <v>-0.27964346541637358</v>
      </c>
      <c r="C83" s="1">
        <v>-1.674034517907778</v>
      </c>
      <c r="D83" s="1">
        <v>1.2670722198883531</v>
      </c>
      <c r="E83" s="1">
        <v>-1.067635886968276</v>
      </c>
      <c r="F83" s="1">
        <v>1.4875136816744501</v>
      </c>
      <c r="G83" s="1">
        <v>1.5642955175964639</v>
      </c>
      <c r="H83" s="1">
        <v>2.038945219585274</v>
      </c>
      <c r="I83" s="1">
        <v>-3.5345529869705552</v>
      </c>
      <c r="J83" s="1"/>
      <c r="K83" s="8">
        <v>0.76193506304580205</v>
      </c>
      <c r="L83" s="9">
        <v>7</v>
      </c>
      <c r="M83" s="3">
        <v>0.86655857869174824</v>
      </c>
      <c r="N83" s="1"/>
      <c r="O83" s="1"/>
      <c r="P83">
        <v>2.851682662847E-4</v>
      </c>
      <c r="Q83">
        <v>8.0775504177649001E-3</v>
      </c>
      <c r="R83">
        <v>1.0246404014980001E-3</v>
      </c>
      <c r="S83">
        <v>-4.5797029098079998E-4</v>
      </c>
      <c r="T83">
        <v>9.7377622973943007E-3</v>
      </c>
      <c r="U83">
        <v>2.5104574127803002E-3</v>
      </c>
      <c r="V83">
        <v>6.0815215143251002E-3</v>
      </c>
      <c r="W83">
        <v>9.2102186872867007E-3</v>
      </c>
      <c r="X83">
        <v>-1.0182543568104699E-2</v>
      </c>
      <c r="Y83">
        <v>3.6469276372493001E-3</v>
      </c>
      <c r="AA83" s="4">
        <f t="shared" si="2"/>
        <v>3.1690864853040647E-5</v>
      </c>
    </row>
    <row r="84" spans="1:27" x14ac:dyDescent="0.25">
      <c r="A84" s="1" t="s">
        <v>421</v>
      </c>
      <c r="B84" s="1">
        <v>-0.42461601324349241</v>
      </c>
      <c r="C84" s="1">
        <v>-1.4930636590393109</v>
      </c>
      <c r="D84" s="1">
        <v>-1.4367319369574321</v>
      </c>
      <c r="E84" s="1">
        <v>2.0389309890535592</v>
      </c>
      <c r="F84" s="1">
        <v>2.5777373734875741</v>
      </c>
      <c r="G84" s="1">
        <v>-2.9817457107622021</v>
      </c>
      <c r="H84" s="1">
        <v>-1.856648489250704</v>
      </c>
      <c r="I84" s="1"/>
      <c r="J84" s="1"/>
      <c r="K84" s="8">
        <v>0.76092151620259396</v>
      </c>
      <c r="L84" s="9">
        <v>61</v>
      </c>
      <c r="M84" s="3">
        <v>0.65469998820211983</v>
      </c>
      <c r="N84" s="1"/>
      <c r="O84" s="1"/>
      <c r="P84">
        <v>-6.0633151722307996E-3</v>
      </c>
      <c r="Q84">
        <v>-8.0091477889001103E-2</v>
      </c>
      <c r="R84">
        <v>-8.50889628460169E-2</v>
      </c>
      <c r="S84">
        <v>-2.6054178968492998E-2</v>
      </c>
      <c r="T84">
        <v>-0.15605631995775091</v>
      </c>
      <c r="U84">
        <v>-5.1555544737515703E-2</v>
      </c>
      <c r="V84">
        <v>-6.6452218622921694E-2</v>
      </c>
      <c r="W84">
        <v>-0.13603585463651441</v>
      </c>
      <c r="X84">
        <v>-5.9775811000539303E-2</v>
      </c>
      <c r="Y84">
        <v>-3.8011841969247001E-3</v>
      </c>
      <c r="AA84" s="4">
        <f t="shared" si="2"/>
        <v>2.2870429989352852E-3</v>
      </c>
    </row>
    <row r="85" spans="1:27" x14ac:dyDescent="0.25">
      <c r="A85" s="1" t="s">
        <v>426</v>
      </c>
      <c r="B85" s="1">
        <v>-0.36905792115927821</v>
      </c>
      <c r="C85" s="1">
        <v>-1.8243432671418871</v>
      </c>
      <c r="D85" s="1">
        <v>0.96974039381912314</v>
      </c>
      <c r="E85" s="1">
        <v>3.5270917424235888</v>
      </c>
      <c r="F85" s="1">
        <v>-2.5080888775867232</v>
      </c>
      <c r="G85" s="1">
        <v>0.8869809184437385</v>
      </c>
      <c r="H85" s="1">
        <v>-1.6459143377110059</v>
      </c>
      <c r="I85" s="1"/>
      <c r="J85" s="1"/>
      <c r="K85" s="8">
        <v>0.75796242328623598</v>
      </c>
      <c r="L85" s="9">
        <v>48</v>
      </c>
      <c r="M85" s="3">
        <v>0.34793509357718172</v>
      </c>
      <c r="N85" s="1"/>
      <c r="O85" s="1"/>
      <c r="P85">
        <v>1.8373257193398001E-3</v>
      </c>
      <c r="Q85">
        <v>1.8876829154240899E-2</v>
      </c>
      <c r="R85">
        <v>2.9094756800129701E-2</v>
      </c>
      <c r="S85">
        <v>1.9539824177872901E-2</v>
      </c>
      <c r="T85">
        <v>-4.8122196560099001E-2</v>
      </c>
      <c r="U85">
        <v>-4.3660632526868002E-3</v>
      </c>
      <c r="V85">
        <v>9.2360645591210197E-2</v>
      </c>
      <c r="W85">
        <v>-2.09401665859348E-2</v>
      </c>
      <c r="X85">
        <v>6.4341008002918601E-2</v>
      </c>
      <c r="Y85">
        <v>2.2908148653483999E-2</v>
      </c>
      <c r="AA85" s="4">
        <f t="shared" si="2"/>
        <v>1.4475274361848943E-3</v>
      </c>
    </row>
    <row r="86" spans="1:27" x14ac:dyDescent="0.25">
      <c r="A86" s="1" t="s">
        <v>486</v>
      </c>
      <c r="B86" s="1">
        <v>-0.29018051774785181</v>
      </c>
      <c r="C86" s="1">
        <v>-0.98775579125705493</v>
      </c>
      <c r="D86" s="1">
        <v>-1.3117608546468491</v>
      </c>
      <c r="E86" s="1">
        <v>1.3429726275456839</v>
      </c>
      <c r="F86" s="1">
        <v>1.0878720776016131</v>
      </c>
      <c r="G86" s="1">
        <v>-1.2455286124193621</v>
      </c>
      <c r="H86" s="1">
        <v>0.45126854917551468</v>
      </c>
      <c r="I86" s="1">
        <v>0.69742061884220874</v>
      </c>
      <c r="J86" s="1"/>
      <c r="K86" s="8">
        <v>0.757787800326157</v>
      </c>
      <c r="L86" s="9">
        <v>13</v>
      </c>
      <c r="M86" s="3">
        <v>0.80244896685013978</v>
      </c>
      <c r="N86" s="1"/>
      <c r="O86" s="1"/>
      <c r="P86">
        <v>3.1554901077410002E-4</v>
      </c>
      <c r="Q86">
        <v>3.857113214591E-3</v>
      </c>
      <c r="R86">
        <v>5.1991779191411999E-3</v>
      </c>
      <c r="S86">
        <v>3.6956843512924E-3</v>
      </c>
      <c r="T86">
        <v>8.4547198274164993E-3</v>
      </c>
      <c r="U86">
        <v>9.8415023120259001E-3</v>
      </c>
      <c r="V86">
        <v>8.6361181144464002E-3</v>
      </c>
      <c r="W86">
        <v>1.24127417065951E-2</v>
      </c>
      <c r="X86">
        <v>-2.02035914256165E-2</v>
      </c>
      <c r="Y86">
        <v>-6.8961648172572E-3</v>
      </c>
      <c r="AA86" s="4">
        <f t="shared" si="2"/>
        <v>8.4433073235405448E-5</v>
      </c>
    </row>
    <row r="87" spans="1:27" x14ac:dyDescent="0.25">
      <c r="A87" s="1" t="s">
        <v>356</v>
      </c>
      <c r="B87" s="1">
        <v>-2.1579334328948119</v>
      </c>
      <c r="C87" s="1">
        <v>2.036903623607992</v>
      </c>
      <c r="D87" s="1">
        <v>-1.0394991208626549</v>
      </c>
      <c r="E87" s="1">
        <v>3.1227211697394068</v>
      </c>
      <c r="F87" s="1">
        <v>-2.587809893826396</v>
      </c>
      <c r="G87" s="1">
        <v>0.74463539930373235</v>
      </c>
      <c r="H87" s="1">
        <v>-1.3343012070466791</v>
      </c>
      <c r="I87" s="1"/>
      <c r="J87" s="1"/>
      <c r="K87" s="8">
        <v>0.757138565438225</v>
      </c>
      <c r="L87" s="9">
        <v>80</v>
      </c>
      <c r="M87" s="3">
        <v>0.1089686379392189</v>
      </c>
      <c r="N87" s="1"/>
      <c r="O87" s="1"/>
      <c r="P87">
        <v>-4.6636439416877003E-3</v>
      </c>
      <c r="Q87">
        <v>-0.13664953230965721</v>
      </c>
      <c r="R87">
        <v>-1.9382365641788302E-2</v>
      </c>
      <c r="S87">
        <v>-3.33711218711433E-2</v>
      </c>
      <c r="T87">
        <v>-0.1514176800356915</v>
      </c>
      <c r="U87">
        <v>-2.0998566127605301E-2</v>
      </c>
      <c r="V87">
        <v>-4.1635961892058898E-2</v>
      </c>
      <c r="W87">
        <v>-0.137796955147855</v>
      </c>
      <c r="X87">
        <v>-2.6862213244469999E-2</v>
      </c>
      <c r="Y87">
        <v>-0.16406970217414191</v>
      </c>
      <c r="AA87" s="4">
        <f t="shared" si="2"/>
        <v>3.7619946031530863E-3</v>
      </c>
    </row>
    <row r="88" spans="1:27" x14ac:dyDescent="0.25">
      <c r="A88" s="1" t="s">
        <v>391</v>
      </c>
      <c r="B88" s="1">
        <v>-0.35411937455045239</v>
      </c>
      <c r="C88" s="1">
        <v>-2.566548336257032</v>
      </c>
      <c r="D88" s="1">
        <v>3.5200304194460852</v>
      </c>
      <c r="E88" s="1">
        <v>3.3493630876447398</v>
      </c>
      <c r="F88" s="1">
        <v>2.5060430121030008</v>
      </c>
      <c r="G88" s="1">
        <v>-2.0765820205605712</v>
      </c>
      <c r="H88" s="1">
        <v>-2.229852260695095</v>
      </c>
      <c r="I88" s="1"/>
      <c r="J88" s="1"/>
      <c r="K88" s="8">
        <v>0.75560109684582899</v>
      </c>
      <c r="L88" s="9">
        <v>10</v>
      </c>
      <c r="M88" s="3">
        <v>0.93008937672037084</v>
      </c>
      <c r="N88" s="1"/>
      <c r="O88" s="1"/>
      <c r="P88">
        <v>7.1296192856800005E-5</v>
      </c>
      <c r="Q88">
        <v>2.5007968894815002E-3</v>
      </c>
      <c r="R88">
        <v>-4.5834521216521996E-3</v>
      </c>
      <c r="S88">
        <v>1.0425588400413599E-2</v>
      </c>
      <c r="T88">
        <v>5.1583965353997003E-3</v>
      </c>
      <c r="U88">
        <v>3.5418994294324998E-3</v>
      </c>
      <c r="V88">
        <v>5.1985372291300999E-3</v>
      </c>
      <c r="W88">
        <v>1.7810960068991E-3</v>
      </c>
      <c r="X88">
        <v>-1.7914124048896999E-3</v>
      </c>
      <c r="Y88">
        <v>2.4395955273315201E-2</v>
      </c>
      <c r="AA88" s="4">
        <f t="shared" si="2"/>
        <v>5.856061143425036E-5</v>
      </c>
    </row>
    <row r="89" spans="1:27" x14ac:dyDescent="0.25">
      <c r="A89" s="1" t="s">
        <v>354</v>
      </c>
      <c r="B89" s="1">
        <v>-1.4636638165552951</v>
      </c>
      <c r="C89" s="1">
        <v>1.240367924162723</v>
      </c>
      <c r="D89" s="1">
        <v>0.56943746562461117</v>
      </c>
      <c r="E89" s="1">
        <v>1.0370575775122779</v>
      </c>
      <c r="F89" s="1">
        <v>2.3705731887112069</v>
      </c>
      <c r="G89" s="1">
        <v>-0.80560401933906567</v>
      </c>
      <c r="H89" s="1">
        <v>-2.483819302921678</v>
      </c>
      <c r="I89" s="1"/>
      <c r="J89" s="1"/>
      <c r="K89" s="8">
        <v>0.75265717798237397</v>
      </c>
      <c r="L89" s="9">
        <v>30</v>
      </c>
      <c r="M89" s="3">
        <v>0.87576732752300213</v>
      </c>
      <c r="N89" s="1"/>
      <c r="O89" s="1"/>
      <c r="P89">
        <v>6.3954906982660001E-4</v>
      </c>
      <c r="Q89">
        <v>2.2670019987876499E-2</v>
      </c>
      <c r="R89">
        <v>1.4679892403321E-3</v>
      </c>
      <c r="S89">
        <v>-3.1413163442157001E-3</v>
      </c>
      <c r="T89">
        <v>4.2693703277002899E-2</v>
      </c>
      <c r="U89">
        <v>5.1520413626526002E-3</v>
      </c>
      <c r="V89">
        <v>6.6162420677700999E-3</v>
      </c>
      <c r="W89">
        <v>3.7411362696766301E-2</v>
      </c>
      <c r="X89">
        <v>-2.2978263337690898E-2</v>
      </c>
      <c r="Y89">
        <v>-4.2750709850080899E-2</v>
      </c>
      <c r="AA89" s="4">
        <f t="shared" si="2"/>
        <v>5.9463672691122333E-4</v>
      </c>
    </row>
    <row r="90" spans="1:27" x14ac:dyDescent="0.25">
      <c r="A90" s="1" t="s">
        <v>307</v>
      </c>
      <c r="B90" s="1">
        <v>-0.84155727388848134</v>
      </c>
      <c r="C90" s="1">
        <v>-1.323994948879949</v>
      </c>
      <c r="D90" s="1">
        <v>1.116578150372372</v>
      </c>
      <c r="E90" s="1">
        <v>0.41363275379395292</v>
      </c>
      <c r="F90" s="1">
        <v>-0.46997538912630182</v>
      </c>
      <c r="G90" s="1">
        <v>0.83723372929280637</v>
      </c>
      <c r="H90" s="1"/>
      <c r="I90" s="1"/>
      <c r="J90" s="1"/>
      <c r="K90" s="8">
        <v>0.75104536351347895</v>
      </c>
      <c r="L90" s="9">
        <v>121</v>
      </c>
      <c r="M90" s="3">
        <v>0.2583057538052474</v>
      </c>
      <c r="N90" s="1"/>
      <c r="O90" s="1"/>
      <c r="P90">
        <v>-7.8705940384484994E-3</v>
      </c>
      <c r="Q90">
        <v>-0.19919204939697421</v>
      </c>
      <c r="R90">
        <v>-3.2650907261399402E-2</v>
      </c>
      <c r="S90">
        <v>-1.47608131856782E-2</v>
      </c>
      <c r="T90">
        <v>-0.41517784546543263</v>
      </c>
      <c r="U90">
        <v>-3.1724575814272897E-2</v>
      </c>
      <c r="V90">
        <v>-0.10217212057368689</v>
      </c>
      <c r="W90">
        <v>-0.37554030767270752</v>
      </c>
      <c r="X90">
        <v>-7.1320174381656401E-2</v>
      </c>
      <c r="Y90">
        <v>-0.15466317507488669</v>
      </c>
      <c r="AA90" s="4">
        <f t="shared" si="2"/>
        <v>1.9745651343616243E-2</v>
      </c>
    </row>
    <row r="91" spans="1:27" x14ac:dyDescent="0.25">
      <c r="A91" s="1" t="s">
        <v>246</v>
      </c>
      <c r="B91" s="1">
        <v>0.81170314477862626</v>
      </c>
      <c r="C91" s="1">
        <v>2.1502914008274101</v>
      </c>
      <c r="D91" s="1">
        <v>0.67197070236373047</v>
      </c>
      <c r="E91" s="1">
        <v>2.8507204443726262</v>
      </c>
      <c r="F91" s="1">
        <v>-2.265138693038558</v>
      </c>
      <c r="G91" s="1">
        <v>-2.0949185545414521</v>
      </c>
      <c r="H91" s="1"/>
      <c r="I91" s="1"/>
      <c r="J91" s="1"/>
      <c r="K91" s="8">
        <v>0.749450338185359</v>
      </c>
      <c r="L91" s="9">
        <v>124</v>
      </c>
      <c r="M91" s="3">
        <v>0.48663727550552088</v>
      </c>
      <c r="N91" s="1"/>
      <c r="O91" s="1"/>
      <c r="P91">
        <v>-1.9355271569442101E-2</v>
      </c>
      <c r="Q91">
        <v>-0.45173849609689132</v>
      </c>
      <c r="R91">
        <v>-6.6484833575724503E-2</v>
      </c>
      <c r="S91">
        <v>-8.4057495085375605E-2</v>
      </c>
      <c r="T91">
        <v>-0.9008167828966418</v>
      </c>
      <c r="U91">
        <v>-5.6620365709298903E-2</v>
      </c>
      <c r="V91">
        <v>-8.9419019843132996E-3</v>
      </c>
      <c r="W91">
        <v>-0.6904878880192783</v>
      </c>
      <c r="X91">
        <v>-7.8751705849931297E-2</v>
      </c>
      <c r="Y91">
        <v>1.93488305847547E-2</v>
      </c>
      <c r="AA91" s="4">
        <f t="shared" si="2"/>
        <v>9.6745421816621907E-2</v>
      </c>
    </row>
    <row r="92" spans="1:27" x14ac:dyDescent="0.25">
      <c r="A92" s="1" t="s">
        <v>402</v>
      </c>
      <c r="B92" s="1">
        <v>-0.21846709896690511</v>
      </c>
      <c r="C92" s="1">
        <v>-0.55352382402112255</v>
      </c>
      <c r="D92" s="1">
        <v>2.875132517818678</v>
      </c>
      <c r="E92" s="1">
        <v>2.0746472446654929</v>
      </c>
      <c r="F92" s="1">
        <v>-1.916390778113066</v>
      </c>
      <c r="G92" s="1">
        <v>-2.0724133176784858</v>
      </c>
      <c r="H92" s="1">
        <v>-1.6636720351787311</v>
      </c>
      <c r="I92" s="1"/>
      <c r="J92" s="1"/>
      <c r="K92" s="8">
        <v>0.74865617330404099</v>
      </c>
      <c r="L92" s="9">
        <v>29</v>
      </c>
      <c r="M92" s="3">
        <v>0.68096930218422058</v>
      </c>
      <c r="N92" s="1"/>
      <c r="O92" s="1"/>
      <c r="P92">
        <v>-1.1871582136783001E-3</v>
      </c>
      <c r="Q92">
        <v>1.8964236150999601E-2</v>
      </c>
      <c r="R92">
        <v>-1.9730105813540399E-2</v>
      </c>
      <c r="S92">
        <v>1.57214871868359E-2</v>
      </c>
      <c r="T92">
        <v>-3.7390778643755597E-2</v>
      </c>
      <c r="U92">
        <v>-6.560264274941E-4</v>
      </c>
      <c r="V92">
        <v>4.1564862171635996E-3</v>
      </c>
      <c r="W92">
        <v>-4.9150147131281102E-2</v>
      </c>
      <c r="X92">
        <v>-6.1239061451495002E-3</v>
      </c>
      <c r="Y92">
        <v>-1.0338412140384799E-2</v>
      </c>
      <c r="AA92" s="4">
        <f t="shared" si="2"/>
        <v>4.238355415573967E-4</v>
      </c>
    </row>
    <row r="93" spans="1:27" x14ac:dyDescent="0.25">
      <c r="A93" s="1" t="s">
        <v>292</v>
      </c>
      <c r="B93" s="1">
        <v>-1.206060609499769</v>
      </c>
      <c r="C93" s="1">
        <v>0.92880420874570546</v>
      </c>
      <c r="D93" s="1">
        <v>-4.3820417974802357</v>
      </c>
      <c r="E93" s="1">
        <v>3.7760389527069149</v>
      </c>
      <c r="F93" s="1">
        <v>0.81427723044613598</v>
      </c>
      <c r="G93" s="1">
        <v>1.471637494261169</v>
      </c>
      <c r="H93" s="1"/>
      <c r="I93" s="1"/>
      <c r="J93" s="1"/>
      <c r="K93" s="8">
        <v>0.74740915039177502</v>
      </c>
      <c r="L93" s="9">
        <v>75</v>
      </c>
      <c r="M93" s="3">
        <v>0.70372975816672356</v>
      </c>
      <c r="N93" s="1"/>
      <c r="O93" s="1"/>
      <c r="P93">
        <v>6.4072031849965001E-3</v>
      </c>
      <c r="Q93">
        <v>2.3537981990291199E-2</v>
      </c>
      <c r="R93">
        <v>0.11500621908764</v>
      </c>
      <c r="S93">
        <v>0.16569950149827201</v>
      </c>
      <c r="T93">
        <v>-7.4224516225050996E-3</v>
      </c>
      <c r="U93">
        <v>-8.0409519680254993E-3</v>
      </c>
      <c r="V93">
        <v>-1.0952574007872E-2</v>
      </c>
      <c r="W93">
        <v>1.5811231614971999E-2</v>
      </c>
      <c r="X93">
        <v>5.4894046526019003E-3</v>
      </c>
      <c r="Y93">
        <v>3.5915856885664198E-2</v>
      </c>
      <c r="AA93" s="4">
        <f t="shared" si="2"/>
        <v>3.1428722721057387E-3</v>
      </c>
    </row>
    <row r="94" spans="1:27" x14ac:dyDescent="0.25">
      <c r="A94" s="1" t="s">
        <v>348</v>
      </c>
      <c r="B94" s="1">
        <v>-1.302099364708758</v>
      </c>
      <c r="C94" s="1">
        <v>1.321370033003173</v>
      </c>
      <c r="D94" s="1">
        <v>1.673105812877369</v>
      </c>
      <c r="E94" s="1">
        <v>2.183603499883803</v>
      </c>
      <c r="F94" s="1">
        <v>0.86876845738674346</v>
      </c>
      <c r="G94" s="1">
        <v>-0.84609035318214598</v>
      </c>
      <c r="H94" s="1">
        <v>-3.0507237884645639</v>
      </c>
      <c r="I94" s="1"/>
      <c r="J94" s="1"/>
      <c r="K94" s="8">
        <v>0.74635571698042802</v>
      </c>
      <c r="L94" s="9">
        <v>64</v>
      </c>
      <c r="M94" s="3">
        <v>0.51882396988385682</v>
      </c>
      <c r="N94" s="1"/>
      <c r="O94" s="1"/>
      <c r="P94">
        <v>5.0299292394730003E-4</v>
      </c>
      <c r="Q94">
        <v>3.0630741036493301E-2</v>
      </c>
      <c r="R94">
        <v>-1.0175067191339999E-4</v>
      </c>
      <c r="S94">
        <v>-2.0178301972959998E-3</v>
      </c>
      <c r="T94">
        <v>5.80684497739214E-2</v>
      </c>
      <c r="U94">
        <v>2.3762219148848299E-2</v>
      </c>
      <c r="V94">
        <v>2.1264047885723902E-2</v>
      </c>
      <c r="W94">
        <v>6.7364610864755606E-2</v>
      </c>
      <c r="X94">
        <v>-9.6958214406439994E-2</v>
      </c>
      <c r="Y94">
        <v>-7.8827374903790895E-2</v>
      </c>
      <c r="AA94" s="4">
        <f t="shared" si="2"/>
        <v>2.5427854492654401E-3</v>
      </c>
    </row>
    <row r="95" spans="1:27" x14ac:dyDescent="0.25">
      <c r="A95" s="1" t="s">
        <v>166</v>
      </c>
      <c r="B95" s="1">
        <v>-1.3718464661703731</v>
      </c>
      <c r="C95" s="1">
        <v>1.154909129616156</v>
      </c>
      <c r="D95" s="1">
        <v>0.65654487742231216</v>
      </c>
      <c r="E95" s="1">
        <v>2.0883794437564629</v>
      </c>
      <c r="F95" s="1">
        <v>-2.134654388387986</v>
      </c>
      <c r="G95" s="1"/>
      <c r="H95" s="1"/>
      <c r="I95" s="1"/>
      <c r="J95" s="1"/>
      <c r="K95" s="8">
        <v>0.74465424493791998</v>
      </c>
      <c r="L95" s="9">
        <v>98</v>
      </c>
      <c r="M95" s="3">
        <v>0.1236564146965753</v>
      </c>
      <c r="N95" s="1"/>
      <c r="O95" s="1"/>
      <c r="P95">
        <v>-4.5092343926750002E-4</v>
      </c>
      <c r="Q95">
        <v>-0.1135401967000291</v>
      </c>
      <c r="R95">
        <v>4.9414661248278403E-2</v>
      </c>
      <c r="S95">
        <v>8.2694799397449795E-2</v>
      </c>
      <c r="T95">
        <v>-0.1039529316867545</v>
      </c>
      <c r="U95">
        <v>-1.27510715167902E-2</v>
      </c>
      <c r="V95">
        <v>-0.17212971122715401</v>
      </c>
      <c r="W95">
        <v>-0.1415716001149297</v>
      </c>
      <c r="X95">
        <v>-3.4512293020471402E-2</v>
      </c>
      <c r="Y95">
        <v>-7.9594329081768098E-2</v>
      </c>
      <c r="AA95" s="4">
        <f t="shared" si="2"/>
        <v>6.2629109255274611E-3</v>
      </c>
    </row>
    <row r="96" spans="1:27" x14ac:dyDescent="0.25">
      <c r="A96" s="1" t="s">
        <v>268</v>
      </c>
      <c r="B96" s="1">
        <v>0.68219792658801559</v>
      </c>
      <c r="C96" s="1">
        <v>5.4205504388920778</v>
      </c>
      <c r="D96" s="1">
        <v>0.69520931682527043</v>
      </c>
      <c r="E96" s="1">
        <v>-5.2540902808404972</v>
      </c>
      <c r="F96" s="1">
        <v>-2.1814224288676329</v>
      </c>
      <c r="G96" s="1">
        <v>2.7151484083429129</v>
      </c>
      <c r="H96" s="1"/>
      <c r="I96" s="1"/>
      <c r="J96" s="1"/>
      <c r="K96" s="8">
        <v>0.74435840520744401</v>
      </c>
      <c r="L96" s="9">
        <v>84</v>
      </c>
      <c r="M96" s="3">
        <v>0.26488058793287189</v>
      </c>
      <c r="N96" s="1"/>
      <c r="O96" s="1"/>
      <c r="P96">
        <v>-1.03775606564131E-2</v>
      </c>
      <c r="Q96">
        <v>-6.3621397992197196E-2</v>
      </c>
      <c r="R96">
        <v>-0.1353564476916288</v>
      </c>
      <c r="S96">
        <v>1.3069710530734999E-3</v>
      </c>
      <c r="T96">
        <v>-0.12782394512640141</v>
      </c>
      <c r="U96">
        <v>-0.165079052089601</v>
      </c>
      <c r="V96">
        <v>-0.14033884751721759</v>
      </c>
      <c r="W96">
        <v>-0.18991233302585109</v>
      </c>
      <c r="X96">
        <v>-0.13738689390924971</v>
      </c>
      <c r="Y96">
        <v>-3.9167252990570799E-2</v>
      </c>
      <c r="AA96" s="4">
        <f t="shared" si="2"/>
        <v>4.0682056500111691E-3</v>
      </c>
    </row>
    <row r="97" spans="1:27" x14ac:dyDescent="0.25">
      <c r="A97" s="1" t="s">
        <v>458</v>
      </c>
      <c r="B97" s="1">
        <v>-0.34728058023226732</v>
      </c>
      <c r="C97" s="1">
        <v>-0.45102966091577251</v>
      </c>
      <c r="D97" s="1">
        <v>-3.0317311904490478</v>
      </c>
      <c r="E97" s="1">
        <v>4.2131709565250031</v>
      </c>
      <c r="F97" s="1">
        <v>1.1117872621937059</v>
      </c>
      <c r="G97" s="1">
        <v>2.7033798393636741</v>
      </c>
      <c r="H97" s="1">
        <v>-1.3905662846404701</v>
      </c>
      <c r="I97" s="1">
        <v>-0.70456406784123515</v>
      </c>
      <c r="J97" s="1"/>
      <c r="K97" s="8">
        <v>0.743434586178499</v>
      </c>
      <c r="L97" s="9">
        <v>11</v>
      </c>
      <c r="M97" s="3">
        <v>0.72306967803544064</v>
      </c>
      <c r="N97" s="1"/>
      <c r="O97" s="1"/>
      <c r="P97">
        <v>9.9081437587869993E-4</v>
      </c>
      <c r="Q97">
        <v>7.7552509180073004E-3</v>
      </c>
      <c r="R97">
        <v>1.5246130077761001E-2</v>
      </c>
      <c r="S97">
        <v>2.6360157729932901E-2</v>
      </c>
      <c r="T97">
        <v>1.09998527656623E-2</v>
      </c>
      <c r="U97">
        <v>5.7213861590259003E-3</v>
      </c>
      <c r="V97">
        <v>5.7115585984102001E-3</v>
      </c>
      <c r="W97">
        <v>1.01724227898424E-2</v>
      </c>
      <c r="X97">
        <v>-2.0324973557021E-3</v>
      </c>
      <c r="Y97">
        <v>2.0555458714541501E-2</v>
      </c>
      <c r="AA97" s="4">
        <f t="shared" si="2"/>
        <v>6.7508716998641237E-5</v>
      </c>
    </row>
    <row r="98" spans="1:27" x14ac:dyDescent="0.25">
      <c r="A98" s="1" t="s">
        <v>290</v>
      </c>
      <c r="B98" s="1">
        <v>-3.446168606598135</v>
      </c>
      <c r="C98" s="1">
        <v>1.37352250531691</v>
      </c>
      <c r="D98" s="1">
        <v>-16.38986519013347</v>
      </c>
      <c r="E98" s="1">
        <v>8.0323881681884686</v>
      </c>
      <c r="F98" s="1">
        <v>6.2043676731075124</v>
      </c>
      <c r="G98" s="1">
        <v>4.2867321612888798</v>
      </c>
      <c r="H98" s="1"/>
      <c r="I98" s="1"/>
      <c r="J98" s="1"/>
      <c r="K98" s="8">
        <v>0.739121544345827</v>
      </c>
      <c r="L98" s="9">
        <v>57</v>
      </c>
      <c r="M98" s="3">
        <v>0.84362216814941771</v>
      </c>
      <c r="N98" s="1"/>
      <c r="O98" s="1"/>
      <c r="P98">
        <v>1.2398628006144E-2</v>
      </c>
      <c r="Q98">
        <v>3.76281735114041E-2</v>
      </c>
      <c r="R98">
        <v>0.12935591873701099</v>
      </c>
      <c r="S98">
        <v>0.14354574274184531</v>
      </c>
      <c r="T98">
        <v>2.8553750115621401E-2</v>
      </c>
      <c r="U98">
        <v>2.8662828710340801E-2</v>
      </c>
      <c r="V98">
        <v>1.4043785222576001E-2</v>
      </c>
      <c r="W98">
        <v>4.7544758599514299E-2</v>
      </c>
      <c r="X98">
        <v>5.0842176925079897E-2</v>
      </c>
      <c r="Y98">
        <v>9.3313092019558994E-3</v>
      </c>
      <c r="AA98" s="4">
        <f t="shared" ref="AA98:AA129" si="3">_xlfn.COVARIANCE.P(P98:Y98,P98:Y98)</f>
        <v>2.0483475175331117E-3</v>
      </c>
    </row>
    <row r="99" spans="1:27" x14ac:dyDescent="0.25">
      <c r="A99" s="1" t="s">
        <v>470</v>
      </c>
      <c r="B99" s="1">
        <v>-0.35478541263240132</v>
      </c>
      <c r="C99" s="1">
        <v>-1.961437802447479</v>
      </c>
      <c r="D99" s="1">
        <v>-4.5412595972753049</v>
      </c>
      <c r="E99" s="1">
        <v>2.9682907573908879</v>
      </c>
      <c r="F99" s="1">
        <v>1.492485963437592</v>
      </c>
      <c r="G99" s="1">
        <v>5.9597465098419313</v>
      </c>
      <c r="H99" s="1">
        <v>-5.7829556296621742</v>
      </c>
      <c r="I99" s="1">
        <v>-2.9607066014470762</v>
      </c>
      <c r="J99" s="1"/>
      <c r="K99" s="8">
        <v>0.73791240761073096</v>
      </c>
      <c r="L99" s="9">
        <v>9</v>
      </c>
      <c r="M99" s="3">
        <v>0.78980888511177938</v>
      </c>
      <c r="N99" s="1"/>
      <c r="O99" s="1"/>
      <c r="P99">
        <v>7.5708305495879996E-4</v>
      </c>
      <c r="Q99">
        <v>1.2185906276801E-2</v>
      </c>
      <c r="R99">
        <v>4.4083986543699003E-3</v>
      </c>
      <c r="S99">
        <v>2.1036117283634E-3</v>
      </c>
      <c r="T99">
        <v>2.6177142959588999E-3</v>
      </c>
      <c r="U99">
        <v>-1.8089271548194E-3</v>
      </c>
      <c r="V99">
        <v>1.9750936712393001E-3</v>
      </c>
      <c r="W99">
        <v>-3.2941336644974001E-3</v>
      </c>
      <c r="X99">
        <v>-1.6972396854257901E-2</v>
      </c>
      <c r="Y99">
        <v>3.4389484314726001E-3</v>
      </c>
      <c r="AA99" s="4">
        <f t="shared" si="3"/>
        <v>4.9476601094761868E-5</v>
      </c>
    </row>
    <row r="100" spans="1:27" x14ac:dyDescent="0.25">
      <c r="A100" s="1" t="s">
        <v>364</v>
      </c>
      <c r="B100" s="1">
        <v>-0.96903017080281861</v>
      </c>
      <c r="C100" s="1">
        <v>1.0860179320829639</v>
      </c>
      <c r="D100" s="1">
        <v>3.603738255866392</v>
      </c>
      <c r="E100" s="1">
        <v>0.98571906738449655</v>
      </c>
      <c r="F100" s="1">
        <v>1.286220476837111</v>
      </c>
      <c r="G100" s="1">
        <v>-3.0739901205946292</v>
      </c>
      <c r="H100" s="1">
        <v>-1.7925614148491971</v>
      </c>
      <c r="I100" s="1"/>
      <c r="J100" s="1"/>
      <c r="K100" s="8">
        <v>0.73688588214294104</v>
      </c>
      <c r="L100" s="9">
        <v>26</v>
      </c>
      <c r="M100" s="3">
        <v>0.756197264055957</v>
      </c>
      <c r="N100" s="1"/>
      <c r="O100" s="1"/>
      <c r="P100">
        <v>-1.9910935183037998E-3</v>
      </c>
      <c r="Q100">
        <v>-3.48387541126714E-2</v>
      </c>
      <c r="R100">
        <v>-1.94083774500644E-2</v>
      </c>
      <c r="S100">
        <v>-2.28161299484579E-2</v>
      </c>
      <c r="T100">
        <v>-4.5451751287661199E-2</v>
      </c>
      <c r="U100">
        <v>-1.85085105275524E-2</v>
      </c>
      <c r="V100">
        <v>-1.37016727066485E-2</v>
      </c>
      <c r="W100">
        <v>-4.0939313192319103E-2</v>
      </c>
      <c r="X100">
        <v>-7.1817809207713301E-2</v>
      </c>
      <c r="Y100">
        <v>-1.8299219054006399E-2</v>
      </c>
      <c r="AA100" s="4">
        <f t="shared" si="3"/>
        <v>3.5985044210788366E-4</v>
      </c>
    </row>
    <row r="101" spans="1:27" x14ac:dyDescent="0.25">
      <c r="A101" s="1" t="s">
        <v>357</v>
      </c>
      <c r="B101" s="1">
        <v>-1.484414693075065</v>
      </c>
      <c r="C101" s="1">
        <v>1.500985602958101</v>
      </c>
      <c r="D101" s="1">
        <v>1.8096803614967869</v>
      </c>
      <c r="E101" s="1">
        <v>2.3381491315343421</v>
      </c>
      <c r="F101" s="1">
        <v>0.97753148467450646</v>
      </c>
      <c r="G101" s="1">
        <v>-0.95806926571439166</v>
      </c>
      <c r="H101" s="1">
        <v>-3.322085199315179</v>
      </c>
      <c r="I101" s="1"/>
      <c r="J101" s="1"/>
      <c r="K101" s="8">
        <v>0.72728353577020499</v>
      </c>
      <c r="L101" s="9">
        <v>59</v>
      </c>
      <c r="M101" s="3">
        <v>0.59667636451878903</v>
      </c>
      <c r="N101" s="1"/>
      <c r="O101" s="1"/>
      <c r="P101">
        <v>7.2965311577480004E-4</v>
      </c>
      <c r="Q101">
        <v>3.3066482411287103E-2</v>
      </c>
      <c r="R101">
        <v>-8.5095665969399999E-5</v>
      </c>
      <c r="S101">
        <v>-1.6464299676542001E-3</v>
      </c>
      <c r="T101">
        <v>6.21680806558009E-2</v>
      </c>
      <c r="U101">
        <v>2.1447376385533099E-2</v>
      </c>
      <c r="V101">
        <v>2.0270930503794801E-2</v>
      </c>
      <c r="W101">
        <v>6.9074527505297106E-2</v>
      </c>
      <c r="X101">
        <v>-8.3225591423853301E-2</v>
      </c>
      <c r="Y101">
        <v>-6.7959478693600806E-2</v>
      </c>
      <c r="AA101" s="4">
        <f t="shared" si="3"/>
        <v>2.1858814160019362E-3</v>
      </c>
    </row>
    <row r="102" spans="1:27" x14ac:dyDescent="0.25">
      <c r="A102" s="1" t="s">
        <v>350</v>
      </c>
      <c r="B102" s="1">
        <v>-1.6188413928389009</v>
      </c>
      <c r="C102" s="1">
        <v>1.2737032781306989</v>
      </c>
      <c r="D102" s="1">
        <v>-0.92221099841495136</v>
      </c>
      <c r="E102" s="1">
        <v>1.4404629561315909</v>
      </c>
      <c r="F102" s="1">
        <v>1.5806205503656861</v>
      </c>
      <c r="G102" s="1">
        <v>1.7820160169415951</v>
      </c>
      <c r="H102" s="1">
        <v>-3.3568277979685321</v>
      </c>
      <c r="I102" s="1"/>
      <c r="J102" s="1"/>
      <c r="K102" s="8">
        <v>0.72612382679119802</v>
      </c>
      <c r="L102" s="9">
        <v>71</v>
      </c>
      <c r="M102" s="3">
        <v>0.22522084232072309</v>
      </c>
      <c r="N102" s="1"/>
      <c r="O102" s="1"/>
      <c r="P102">
        <v>-2.3504911461485999E-3</v>
      </c>
      <c r="Q102">
        <v>-6.6607708265787602E-2</v>
      </c>
      <c r="R102">
        <v>4.3003633561298996E-3</v>
      </c>
      <c r="S102">
        <v>-1.0590965459814699E-2</v>
      </c>
      <c r="T102">
        <v>-0.103008875814633</v>
      </c>
      <c r="U102">
        <v>1.2057609769559E-2</v>
      </c>
      <c r="V102">
        <v>-2.91662022958111E-2</v>
      </c>
      <c r="W102">
        <v>-8.8505509737347096E-2</v>
      </c>
      <c r="X102">
        <v>-0.10898474100338799</v>
      </c>
      <c r="Y102">
        <v>-0.15487504861519791</v>
      </c>
      <c r="AA102" s="4">
        <f t="shared" si="3"/>
        <v>2.9875847607534769E-3</v>
      </c>
    </row>
    <row r="103" spans="1:27" x14ac:dyDescent="0.25">
      <c r="A103" s="1" t="s">
        <v>363</v>
      </c>
      <c r="B103" s="1">
        <v>-1.677935867221215</v>
      </c>
      <c r="C103" s="1">
        <v>1.41625636515027</v>
      </c>
      <c r="D103" s="1">
        <v>0.64102350823563892</v>
      </c>
      <c r="E103" s="1">
        <v>1.0980676772481519</v>
      </c>
      <c r="F103" s="1">
        <v>2.5822718427162932</v>
      </c>
      <c r="G103" s="1">
        <v>-0.92241106591437605</v>
      </c>
      <c r="H103" s="1">
        <v>-2.711690424912633</v>
      </c>
      <c r="I103" s="1"/>
      <c r="J103" s="1"/>
      <c r="K103" s="8">
        <v>0.72559528402916595</v>
      </c>
      <c r="L103" s="9">
        <v>22</v>
      </c>
      <c r="M103" s="3">
        <v>0.93273414114997388</v>
      </c>
      <c r="N103" s="1"/>
      <c r="O103" s="1"/>
      <c r="P103">
        <v>6.1327450250540005E-4</v>
      </c>
      <c r="Q103">
        <v>1.8232797606191498E-2</v>
      </c>
      <c r="R103">
        <v>1.3784604140860001E-3</v>
      </c>
      <c r="S103">
        <v>-1.6274923729527001E-3</v>
      </c>
      <c r="T103">
        <v>3.00271349216207E-2</v>
      </c>
      <c r="U103">
        <v>1.5093474406039999E-4</v>
      </c>
      <c r="V103">
        <v>2.4181155931605001E-3</v>
      </c>
      <c r="W103">
        <v>2.48904740210492E-2</v>
      </c>
      <c r="X103">
        <v>-6.8161773494831001E-3</v>
      </c>
      <c r="Y103">
        <v>-2.89563233359444E-2</v>
      </c>
      <c r="AA103" s="4">
        <f t="shared" si="3"/>
        <v>2.5868241519887478E-4</v>
      </c>
    </row>
    <row r="104" spans="1:27" x14ac:dyDescent="0.25">
      <c r="A104" s="1" t="s">
        <v>151</v>
      </c>
      <c r="B104" s="1">
        <v>0.42723531896055938</v>
      </c>
      <c r="C104" s="1">
        <v>4.431713672176965</v>
      </c>
      <c r="D104" s="1">
        <v>-4.6156937103161484</v>
      </c>
      <c r="E104" s="1">
        <v>-1.431110210410508</v>
      </c>
      <c r="F104" s="1">
        <v>2.7675681642708989</v>
      </c>
      <c r="G104" s="1"/>
      <c r="H104" s="1"/>
      <c r="I104" s="1"/>
      <c r="J104" s="1"/>
      <c r="K104" s="8">
        <v>0.72508530963017204</v>
      </c>
      <c r="L104" s="9">
        <v>120</v>
      </c>
      <c r="M104" s="3">
        <v>0.1079884377822322</v>
      </c>
      <c r="N104" s="1"/>
      <c r="O104" s="1"/>
      <c r="P104">
        <v>1.0877722953596999E-3</v>
      </c>
      <c r="Q104">
        <v>5.7173897416612801E-2</v>
      </c>
      <c r="R104">
        <v>-1.26650795249027E-2</v>
      </c>
      <c r="S104">
        <v>2.5346842070853901E-2</v>
      </c>
      <c r="T104">
        <v>0.13395914961607441</v>
      </c>
      <c r="U104">
        <v>-0.25373526910281258</v>
      </c>
      <c r="V104">
        <v>-0.29328881267610302</v>
      </c>
      <c r="W104">
        <v>-0.20193117431751359</v>
      </c>
      <c r="X104">
        <v>-0.1352336054260965</v>
      </c>
      <c r="Y104">
        <v>-5.5015870634795502E-2</v>
      </c>
      <c r="AA104" s="4">
        <f t="shared" si="3"/>
        <v>1.8058898105863017E-2</v>
      </c>
    </row>
    <row r="105" spans="1:27" x14ac:dyDescent="0.25">
      <c r="A105" s="1" t="s">
        <v>164</v>
      </c>
      <c r="B105" s="1">
        <v>-1.230157576539584</v>
      </c>
      <c r="C105" s="1">
        <v>3.2209295792421262</v>
      </c>
      <c r="D105" s="1">
        <v>5.093523883755581</v>
      </c>
      <c r="E105" s="1">
        <v>-3.8774023670226239</v>
      </c>
      <c r="F105" s="1">
        <v>3.7742479030274509</v>
      </c>
      <c r="G105" s="1"/>
      <c r="H105" s="1"/>
      <c r="I105" s="1"/>
      <c r="J105" s="1"/>
      <c r="K105" s="8">
        <v>0.72228557400211402</v>
      </c>
      <c r="L105" s="9">
        <v>39</v>
      </c>
      <c r="M105" s="3">
        <v>0.99475080767461654</v>
      </c>
      <c r="N105" s="1"/>
      <c r="O105" s="1"/>
      <c r="P105">
        <v>-1.8651477988287999E-3</v>
      </c>
      <c r="Q105">
        <v>-2.6503893938899101E-2</v>
      </c>
      <c r="R105">
        <v>5.2467615666750003E-3</v>
      </c>
      <c r="S105">
        <v>1.5996560068181901E-2</v>
      </c>
      <c r="T105">
        <v>-8.0105686064740805E-2</v>
      </c>
      <c r="U105">
        <v>2.8937369686533E-3</v>
      </c>
      <c r="V105">
        <v>-2.37875768397512E-2</v>
      </c>
      <c r="W105">
        <v>-7.5754161198268402E-2</v>
      </c>
      <c r="X105">
        <v>7.8629431954508992E-3</v>
      </c>
      <c r="Y105">
        <v>3.8821591397388E-3</v>
      </c>
      <c r="AA105" s="4">
        <f t="shared" si="3"/>
        <v>1.0833065158374199E-3</v>
      </c>
    </row>
    <row r="106" spans="1:27" x14ac:dyDescent="0.25">
      <c r="A106" s="1" t="s">
        <v>267</v>
      </c>
      <c r="B106" s="1">
        <v>-0.52550089711801917</v>
      </c>
      <c r="C106" s="1">
        <v>2.9688615073999962</v>
      </c>
      <c r="D106" s="1">
        <v>2.1345456529218532</v>
      </c>
      <c r="E106" s="1">
        <v>-2.0037270651334129</v>
      </c>
      <c r="F106" s="1">
        <v>-2.1252218283772981</v>
      </c>
      <c r="G106" s="1">
        <v>-1.695231727327142</v>
      </c>
      <c r="H106" s="1"/>
      <c r="I106" s="1"/>
      <c r="J106" s="1"/>
      <c r="K106" s="8">
        <v>0.72178535290319201</v>
      </c>
      <c r="L106" s="9">
        <v>67</v>
      </c>
      <c r="M106" s="3">
        <v>0.23641414744620209</v>
      </c>
      <c r="N106" s="1"/>
      <c r="O106" s="1"/>
      <c r="P106">
        <v>-6.5544594854616998E-3</v>
      </c>
      <c r="Q106">
        <v>-4.2039936569011303E-2</v>
      </c>
      <c r="R106">
        <v>-0.1075517867096436</v>
      </c>
      <c r="S106">
        <v>-5.8808967290943703E-2</v>
      </c>
      <c r="T106">
        <v>-0.10182385513390731</v>
      </c>
      <c r="U106">
        <v>-5.3408226599971298E-2</v>
      </c>
      <c r="V106">
        <v>-4.4717196225070498E-2</v>
      </c>
      <c r="W106">
        <v>-0.10542346037667991</v>
      </c>
      <c r="X106">
        <v>-0.2022968730758076</v>
      </c>
      <c r="Y106">
        <v>-9.2249020836317794E-2</v>
      </c>
      <c r="AA106" s="4">
        <f t="shared" si="3"/>
        <v>2.6202447036105989E-3</v>
      </c>
    </row>
    <row r="107" spans="1:27" x14ac:dyDescent="0.25">
      <c r="A107" s="1" t="s">
        <v>464</v>
      </c>
      <c r="B107" s="1">
        <v>-0.20608812183672059</v>
      </c>
      <c r="C107" s="1">
        <v>-0.36415934192658661</v>
      </c>
      <c r="D107" s="1">
        <v>-0.48165201761595139</v>
      </c>
      <c r="E107" s="1">
        <v>1.659149954922347</v>
      </c>
      <c r="F107" s="1">
        <v>2.345706332055066</v>
      </c>
      <c r="G107" s="1">
        <v>-0.89482236305720586</v>
      </c>
      <c r="H107" s="1">
        <v>-1.9319494418404699</v>
      </c>
      <c r="I107" s="1">
        <v>-2.2420375551886589</v>
      </c>
      <c r="J107" s="1"/>
      <c r="K107" s="8">
        <v>0.71996904147514096</v>
      </c>
      <c r="L107" s="9">
        <v>28</v>
      </c>
      <c r="M107" s="3">
        <v>0.63601653754895393</v>
      </c>
      <c r="N107" s="1"/>
      <c r="O107" s="1"/>
      <c r="P107">
        <v>-7.3403160878669999E-4</v>
      </c>
      <c r="Q107">
        <v>-1.99438317809397E-2</v>
      </c>
      <c r="R107">
        <v>-9.1550690654495E-3</v>
      </c>
      <c r="S107">
        <v>-6.9140798702605998E-3</v>
      </c>
      <c r="T107">
        <v>-4.0600353952764602E-2</v>
      </c>
      <c r="U107">
        <v>-3.6814866414636E-3</v>
      </c>
      <c r="V107">
        <v>3.2182457585799001E-3</v>
      </c>
      <c r="W107">
        <v>-4.1670588391384197E-2</v>
      </c>
      <c r="X107">
        <v>-6.2865741371839999E-3</v>
      </c>
      <c r="Y107">
        <v>2.8162532034903501E-2</v>
      </c>
      <c r="AA107" s="4">
        <f t="shared" si="3"/>
        <v>3.8186231294177E-4</v>
      </c>
    </row>
    <row r="108" spans="1:27" x14ac:dyDescent="0.25">
      <c r="A108" s="1" t="s">
        <v>454</v>
      </c>
      <c r="B108" s="1">
        <v>-0.26709523250466949</v>
      </c>
      <c r="C108" s="1">
        <v>-1.6098584385178489</v>
      </c>
      <c r="D108" s="1">
        <v>-3.3883377316870611</v>
      </c>
      <c r="E108" s="1">
        <v>2.44889915789989</v>
      </c>
      <c r="F108" s="1">
        <v>1.2635676070222479</v>
      </c>
      <c r="G108" s="1">
        <v>4.5083678965988074</v>
      </c>
      <c r="H108" s="1">
        <v>-4.6237463375664074</v>
      </c>
      <c r="I108" s="1">
        <v>-2.4666828095300288</v>
      </c>
      <c r="J108" s="1"/>
      <c r="K108" s="8">
        <v>0.70957258386158195</v>
      </c>
      <c r="L108" s="9">
        <v>40</v>
      </c>
      <c r="M108" s="3">
        <v>0.1200003797312796</v>
      </c>
      <c r="N108" s="1"/>
      <c r="O108" s="1"/>
      <c r="P108">
        <v>-5.0386180931020997E-3</v>
      </c>
      <c r="Q108">
        <v>-6.88390839996805E-2</v>
      </c>
      <c r="R108">
        <v>-4.4289188680345697E-2</v>
      </c>
      <c r="S108">
        <v>-7.3612549435073003E-3</v>
      </c>
      <c r="T108">
        <v>-3.1932294563965603E-2</v>
      </c>
      <c r="U108">
        <v>-1.1940397726114001E-2</v>
      </c>
      <c r="V108">
        <v>-5.4488431091142597E-2</v>
      </c>
      <c r="W108">
        <v>-2.4095699045428999E-2</v>
      </c>
      <c r="X108">
        <v>3.3490657242718401E-2</v>
      </c>
      <c r="Y108">
        <v>-8.9942767172963206E-2</v>
      </c>
      <c r="AA108" s="4">
        <f t="shared" si="3"/>
        <v>1.1434895874433671E-3</v>
      </c>
    </row>
    <row r="109" spans="1:27" x14ac:dyDescent="0.25">
      <c r="A109" s="1" t="s">
        <v>360</v>
      </c>
      <c r="B109" s="1">
        <v>-0.61902379625556936</v>
      </c>
      <c r="C109" s="1">
        <v>1.011493611075871</v>
      </c>
      <c r="D109" s="1">
        <v>3.488097242589816</v>
      </c>
      <c r="E109" s="1">
        <v>1.4300925283058861</v>
      </c>
      <c r="F109" s="1">
        <v>0.92002006282437065</v>
      </c>
      <c r="G109" s="1">
        <v>-2.7637772729551551</v>
      </c>
      <c r="H109" s="1">
        <v>-1.899903329892541</v>
      </c>
      <c r="I109" s="1"/>
      <c r="J109" s="1"/>
      <c r="K109" s="8">
        <v>0.70790549868360098</v>
      </c>
      <c r="L109" s="9">
        <v>42</v>
      </c>
      <c r="M109" s="3">
        <v>0.32853801032222513</v>
      </c>
      <c r="N109" s="1"/>
      <c r="O109" s="1"/>
      <c r="P109">
        <v>-3.5910824050964002E-3</v>
      </c>
      <c r="Q109">
        <v>-4.61371486175726E-2</v>
      </c>
      <c r="R109">
        <v>-5.4557768820108703E-2</v>
      </c>
      <c r="S109">
        <v>-3.60268137853429E-2</v>
      </c>
      <c r="T109">
        <v>-5.7228622606023002E-2</v>
      </c>
      <c r="U109">
        <v>-3.9151664806849999E-2</v>
      </c>
      <c r="V109">
        <v>-2.87504956627882E-2</v>
      </c>
      <c r="W109">
        <v>-5.7704066980383099E-2</v>
      </c>
      <c r="X109">
        <v>-0.1489304586940102</v>
      </c>
      <c r="Y109">
        <v>-4.7472578006462603E-2</v>
      </c>
      <c r="AA109" s="4">
        <f t="shared" si="3"/>
        <v>1.2820966417386656E-3</v>
      </c>
    </row>
    <row r="110" spans="1:27" x14ac:dyDescent="0.25">
      <c r="A110" s="1" t="s">
        <v>424</v>
      </c>
      <c r="B110" s="1">
        <v>-0.31571872111444682</v>
      </c>
      <c r="C110" s="1">
        <v>-1.4676321336406271</v>
      </c>
      <c r="D110" s="1">
        <v>2.173506726738748</v>
      </c>
      <c r="E110" s="1">
        <v>6.7351723589370547</v>
      </c>
      <c r="F110" s="1">
        <v>-3.182258334402043</v>
      </c>
      <c r="G110" s="1">
        <v>-2.8347903831453269</v>
      </c>
      <c r="H110" s="1">
        <v>2.510024995788934</v>
      </c>
      <c r="I110" s="1"/>
      <c r="J110" s="1"/>
      <c r="K110" s="8">
        <v>0.6956839145814</v>
      </c>
      <c r="L110" s="9">
        <v>35</v>
      </c>
      <c r="M110" s="3">
        <v>0.96724011899471685</v>
      </c>
      <c r="N110" s="1"/>
      <c r="O110" s="1"/>
      <c r="P110">
        <v>9.3254600871149997E-4</v>
      </c>
      <c r="Q110">
        <v>4.2791177266376698E-2</v>
      </c>
      <c r="R110">
        <v>1.2337236514385001E-3</v>
      </c>
      <c r="S110">
        <v>-9.0487145485897997E-3</v>
      </c>
      <c r="T110">
        <v>7.8587924331850897E-2</v>
      </c>
      <c r="U110">
        <v>1.8767029193557199E-2</v>
      </c>
      <c r="V110">
        <v>2.6960020806326399E-2</v>
      </c>
      <c r="W110">
        <v>7.8566516199801706E-2</v>
      </c>
      <c r="X110">
        <v>6.1403658823744999E-3</v>
      </c>
      <c r="Y110">
        <v>3.9849951120782996E-3</v>
      </c>
      <c r="AA110" s="4">
        <f t="shared" si="3"/>
        <v>9.2008467163121033E-4</v>
      </c>
    </row>
    <row r="111" spans="1:27" x14ac:dyDescent="0.25">
      <c r="A111" s="1" t="s">
        <v>382</v>
      </c>
      <c r="B111" s="1">
        <v>-0.36015393358388192</v>
      </c>
      <c r="C111" s="1">
        <v>-2.5629953364310758</v>
      </c>
      <c r="D111" s="1">
        <v>1.433974066793833</v>
      </c>
      <c r="E111" s="1">
        <v>4.0535533485628727</v>
      </c>
      <c r="F111" s="1">
        <v>-1.819647889867922</v>
      </c>
      <c r="G111" s="1">
        <v>-2.9583634717612179</v>
      </c>
      <c r="H111" s="1">
        <v>-6.1170460512076534</v>
      </c>
      <c r="I111" s="1"/>
      <c r="J111" s="1"/>
      <c r="K111" s="8">
        <v>0.69358692225797303</v>
      </c>
      <c r="L111" s="9">
        <v>51</v>
      </c>
      <c r="M111" s="3">
        <v>0.76946225597381357</v>
      </c>
      <c r="N111" s="1"/>
      <c r="O111" s="1"/>
      <c r="P111">
        <v>1.109701958405E-4</v>
      </c>
      <c r="Q111">
        <v>-2.2785125544110701E-2</v>
      </c>
      <c r="R111">
        <v>2.25934676688677E-2</v>
      </c>
      <c r="S111">
        <v>7.2140831396982297E-2</v>
      </c>
      <c r="T111">
        <v>-8.7949361026642206E-2</v>
      </c>
      <c r="U111">
        <v>2.1514549267186E-3</v>
      </c>
      <c r="V111">
        <v>-7.6591352180318999E-3</v>
      </c>
      <c r="W111">
        <v>-4.26363066134057E-2</v>
      </c>
      <c r="X111">
        <v>2.0336290908685999E-3</v>
      </c>
      <c r="Y111">
        <v>-3.2718491884805002E-3</v>
      </c>
      <c r="AA111" s="4">
        <f t="shared" si="3"/>
        <v>1.5438979214841635E-3</v>
      </c>
    </row>
    <row r="112" spans="1:27" x14ac:dyDescent="0.25">
      <c r="A112" s="1" t="s">
        <v>389</v>
      </c>
      <c r="B112" s="1">
        <v>-0.56575731660484163</v>
      </c>
      <c r="C112" s="1">
        <v>-5.9801367690983893</v>
      </c>
      <c r="D112" s="1">
        <v>7.3893931669528206</v>
      </c>
      <c r="E112" s="1">
        <v>4.2234409652971854</v>
      </c>
      <c r="F112" s="1">
        <v>2.2157160726498861</v>
      </c>
      <c r="G112" s="1">
        <v>-1.791327799475132</v>
      </c>
      <c r="H112" s="1">
        <v>-2.9011474490714049</v>
      </c>
      <c r="I112" s="1"/>
      <c r="J112" s="1"/>
      <c r="K112" s="8">
        <v>0.68889134528085805</v>
      </c>
      <c r="L112" s="9">
        <v>12</v>
      </c>
      <c r="M112" s="3">
        <v>0.99142877280429653</v>
      </c>
      <c r="N112" s="1"/>
      <c r="O112" s="1"/>
      <c r="P112">
        <v>-9.9724700017129997E-4</v>
      </c>
      <c r="Q112">
        <v>-1.6469586547109401E-2</v>
      </c>
      <c r="R112">
        <v>-5.1298760241451002E-3</v>
      </c>
      <c r="S112">
        <v>-1.4849174243009199E-2</v>
      </c>
      <c r="T112">
        <v>-2.0175248269537399E-2</v>
      </c>
      <c r="U112">
        <v>-3.1717494124279999E-4</v>
      </c>
      <c r="V112">
        <v>-1.8414928791448001E-3</v>
      </c>
      <c r="W112">
        <v>-2.11858492851771E-2</v>
      </c>
      <c r="X112">
        <v>-1.5996614566867E-3</v>
      </c>
      <c r="Y112">
        <v>3.7152443003809999E-4</v>
      </c>
      <c r="AA112" s="4">
        <f t="shared" si="3"/>
        <v>7.0554303289634878E-5</v>
      </c>
    </row>
    <row r="113" spans="1:27" x14ac:dyDescent="0.25">
      <c r="A113" s="1" t="s">
        <v>472</v>
      </c>
      <c r="B113" s="1">
        <v>-0.4817739185223357</v>
      </c>
      <c r="C113" s="1">
        <v>-1.9706897766851641</v>
      </c>
      <c r="D113" s="1">
        <v>2.0644200499947809</v>
      </c>
      <c r="E113" s="1">
        <v>4.707234967181499</v>
      </c>
      <c r="F113" s="1">
        <v>-3.9092935752510578</v>
      </c>
      <c r="G113" s="1">
        <v>1.244060229565215</v>
      </c>
      <c r="H113" s="1">
        <v>-1.776864754107673</v>
      </c>
      <c r="I113" s="1">
        <v>2.2477393035365778</v>
      </c>
      <c r="J113" s="1"/>
      <c r="K113" s="8">
        <v>0.68849426002455105</v>
      </c>
      <c r="L113" s="9">
        <v>37</v>
      </c>
      <c r="M113" s="3">
        <v>0.57852574224514441</v>
      </c>
      <c r="N113" s="1"/>
      <c r="O113" s="1"/>
      <c r="P113">
        <v>-4.2504096101200001E-5</v>
      </c>
      <c r="Q113">
        <v>-2.7422168348163498E-2</v>
      </c>
      <c r="R113">
        <v>1.74242352177497E-2</v>
      </c>
      <c r="S113">
        <v>1.16761180624182E-2</v>
      </c>
      <c r="T113">
        <v>-6.4773766883506695E-2</v>
      </c>
      <c r="U113">
        <v>-1.05308510027731E-2</v>
      </c>
      <c r="V113">
        <v>-1.3291764650776999E-2</v>
      </c>
      <c r="W113">
        <v>-5.8249665377955298E-2</v>
      </c>
      <c r="X113">
        <v>4.4695866740137001E-2</v>
      </c>
      <c r="Y113">
        <v>5.2437297388339002E-3</v>
      </c>
      <c r="AA113" s="4">
        <f t="shared" si="3"/>
        <v>1.0185712284892692E-3</v>
      </c>
    </row>
    <row r="114" spans="1:27" x14ac:dyDescent="0.25">
      <c r="A114" s="1" t="s">
        <v>171</v>
      </c>
      <c r="B114" s="1">
        <v>-1.918681058644661</v>
      </c>
      <c r="C114" s="1">
        <v>3.020799034709023</v>
      </c>
      <c r="D114" s="1">
        <v>-1.761794199652803</v>
      </c>
      <c r="E114" s="1">
        <v>2.804497198598209</v>
      </c>
      <c r="F114" s="1">
        <v>-2.446767602336235</v>
      </c>
      <c r="G114" s="1"/>
      <c r="H114" s="1"/>
      <c r="I114" s="1"/>
      <c r="J114" s="1"/>
      <c r="K114" s="8">
        <v>0.68197764375588399</v>
      </c>
      <c r="L114" s="9">
        <v>82</v>
      </c>
      <c r="M114" s="3">
        <v>0.59400519878475677</v>
      </c>
      <c r="N114" s="1"/>
      <c r="O114" s="1"/>
      <c r="P114">
        <v>-1.3263312768274E-3</v>
      </c>
      <c r="Q114">
        <v>-9.7015052649042602E-2</v>
      </c>
      <c r="R114">
        <v>-2.7524368834663001E-3</v>
      </c>
      <c r="S114">
        <v>2.2963298500568802E-2</v>
      </c>
      <c r="T114">
        <v>-8.3076667423897105E-2</v>
      </c>
      <c r="U114">
        <v>-9.6152640711011303E-2</v>
      </c>
      <c r="V114">
        <v>-0.12410531672672651</v>
      </c>
      <c r="W114">
        <v>-0.1170527408503015</v>
      </c>
      <c r="X114">
        <v>6.8149475540564899E-2</v>
      </c>
      <c r="Y114">
        <v>-1.7409758205212601E-2</v>
      </c>
      <c r="AA114" s="4">
        <f t="shared" si="3"/>
        <v>4.0096027031332696E-3</v>
      </c>
    </row>
    <row r="115" spans="1:27" x14ac:dyDescent="0.25">
      <c r="A115" s="1" t="s">
        <v>460</v>
      </c>
      <c r="B115" s="1">
        <v>-0.37706060046454049</v>
      </c>
      <c r="C115" s="1">
        <v>-0.70055464623294972</v>
      </c>
      <c r="D115" s="1">
        <v>-3.299572780226125</v>
      </c>
      <c r="E115" s="1">
        <v>4.5361586050482199</v>
      </c>
      <c r="F115" s="1">
        <v>1.09877707987258</v>
      </c>
      <c r="G115" s="1">
        <v>2.6949433853835272</v>
      </c>
      <c r="H115" s="1">
        <v>-0.94979942931811145</v>
      </c>
      <c r="I115" s="1">
        <v>-1.049491194013203</v>
      </c>
      <c r="J115" s="1"/>
      <c r="K115" s="8">
        <v>0.67658701048293601</v>
      </c>
      <c r="L115" s="9">
        <v>1</v>
      </c>
      <c r="M115" s="3">
        <v>0.96526539046505389</v>
      </c>
      <c r="N115" s="1"/>
      <c r="O115" s="1"/>
      <c r="P115">
        <v>1.4223566109969999E-4</v>
      </c>
      <c r="Q115">
        <v>8.2881446116440005E-4</v>
      </c>
      <c r="R115">
        <v>2.3614619337753002E-3</v>
      </c>
      <c r="S115">
        <v>3.6745360638915999E-3</v>
      </c>
      <c r="T115">
        <v>4.870982833947E-4</v>
      </c>
      <c r="U115">
        <v>8.8258116202199997E-5</v>
      </c>
      <c r="V115">
        <v>-3.4569970406370001E-4</v>
      </c>
      <c r="W115">
        <v>7.3326838884619995E-4</v>
      </c>
      <c r="X115">
        <v>-9.8784548990699995E-5</v>
      </c>
      <c r="Y115">
        <v>2.6496236731637E-3</v>
      </c>
      <c r="AA115" s="4">
        <f t="shared" si="3"/>
        <v>1.6649641983457875E-6</v>
      </c>
    </row>
    <row r="116" spans="1:27" x14ac:dyDescent="0.25">
      <c r="A116" s="1" t="s">
        <v>431</v>
      </c>
      <c r="B116" s="1">
        <v>-0.31913236573739823</v>
      </c>
      <c r="C116" s="1">
        <v>-1.5583513617724549</v>
      </c>
      <c r="D116" s="1">
        <v>2.3335692514935902</v>
      </c>
      <c r="E116" s="1">
        <v>7.16445780143939</v>
      </c>
      <c r="F116" s="1">
        <v>-3.3740940652783449</v>
      </c>
      <c r="G116" s="1">
        <v>-3.0458407714993498</v>
      </c>
      <c r="H116" s="1">
        <v>2.689787086175218</v>
      </c>
      <c r="I116" s="1"/>
      <c r="J116" s="1"/>
      <c r="K116" s="8">
        <v>0.67590724188559503</v>
      </c>
      <c r="L116" s="9">
        <v>14</v>
      </c>
      <c r="M116" s="3">
        <v>0.99035256236056901</v>
      </c>
      <c r="N116" s="1"/>
      <c r="O116" s="1"/>
      <c r="P116">
        <v>1.042757276592E-4</v>
      </c>
      <c r="Q116">
        <v>-9.7714790303359E-3</v>
      </c>
      <c r="R116">
        <v>7.7143244476157004E-3</v>
      </c>
      <c r="S116">
        <v>8.0844104311897005E-3</v>
      </c>
      <c r="T116">
        <v>-2.0315332813794499E-2</v>
      </c>
      <c r="U116">
        <v>-3.0788715491437998E-3</v>
      </c>
      <c r="V116">
        <v>-6.9915572742178999E-3</v>
      </c>
      <c r="W116">
        <v>-1.9454342490542498E-2</v>
      </c>
      <c r="X116">
        <v>9.6057846860873996E-3</v>
      </c>
      <c r="Y116">
        <v>5.3533133044719999E-4</v>
      </c>
      <c r="AA116" s="4">
        <f t="shared" si="3"/>
        <v>1.0497869470257228E-4</v>
      </c>
    </row>
    <row r="117" spans="1:27" x14ac:dyDescent="0.25">
      <c r="A117" s="1" t="s">
        <v>189</v>
      </c>
      <c r="B117" s="1">
        <v>-0.35021671956357597</v>
      </c>
      <c r="C117" s="1">
        <v>-1.632047850432462</v>
      </c>
      <c r="D117" s="1">
        <v>3.486335274539607</v>
      </c>
      <c r="E117" s="1">
        <v>-3.6412835687649689</v>
      </c>
      <c r="F117" s="1">
        <v>-2.2278169207116192</v>
      </c>
      <c r="G117" s="1"/>
      <c r="H117" s="1"/>
      <c r="I117" s="1"/>
      <c r="J117" s="1"/>
      <c r="K117" s="8">
        <v>0.673885413424261</v>
      </c>
      <c r="L117" s="9">
        <v>101</v>
      </c>
      <c r="M117" s="3">
        <v>0.181922126752776</v>
      </c>
      <c r="N117" s="1"/>
      <c r="O117" s="1"/>
      <c r="P117">
        <v>-1.31331182525759E-2</v>
      </c>
      <c r="Q117">
        <v>-0.11219165330388881</v>
      </c>
      <c r="R117">
        <v>-0.2136198570947393</v>
      </c>
      <c r="S117">
        <v>-0.1210085295605357</v>
      </c>
      <c r="T117">
        <v>4.2404393781084E-3</v>
      </c>
      <c r="U117">
        <v>2.61647723569166E-2</v>
      </c>
      <c r="V117">
        <v>7.4719092527046893E-2</v>
      </c>
      <c r="W117">
        <v>-0.10108324198036039</v>
      </c>
      <c r="X117">
        <v>-2.6248652810682501E-2</v>
      </c>
      <c r="Y117">
        <v>-0.11626234874851871</v>
      </c>
      <c r="AA117" s="4">
        <f t="shared" si="3"/>
        <v>6.7934199823647731E-3</v>
      </c>
    </row>
    <row r="118" spans="1:27" x14ac:dyDescent="0.25">
      <c r="A118" s="1" t="s">
        <v>435</v>
      </c>
      <c r="B118" s="1">
        <v>-0.37414861789226589</v>
      </c>
      <c r="C118" s="1">
        <v>-2.1056771566676491</v>
      </c>
      <c r="D118" s="1">
        <v>1.149707048593114</v>
      </c>
      <c r="E118" s="1">
        <v>3.841432535527495</v>
      </c>
      <c r="F118" s="1">
        <v>-2.735050885622174</v>
      </c>
      <c r="G118" s="1">
        <v>0.90894540413292346</v>
      </c>
      <c r="H118" s="1">
        <v>-1.8071652371020051</v>
      </c>
      <c r="I118" s="1"/>
      <c r="J118" s="1"/>
      <c r="K118" s="8">
        <v>0.67174476116516402</v>
      </c>
      <c r="L118" s="9">
        <v>52</v>
      </c>
      <c r="M118" s="3">
        <v>0.42578094499293179</v>
      </c>
      <c r="N118" s="1"/>
      <c r="O118" s="1"/>
      <c r="P118">
        <v>8.1400926151439996E-4</v>
      </c>
      <c r="Q118">
        <v>-1.03542148194257E-2</v>
      </c>
      <c r="R118">
        <v>1.60288195385269E-2</v>
      </c>
      <c r="S118">
        <v>1.7313030470373799E-2</v>
      </c>
      <c r="T118">
        <v>-7.3850997694146603E-2</v>
      </c>
      <c r="U118">
        <v>-1.5322262431163599E-2</v>
      </c>
      <c r="V118">
        <v>5.9959360576836998E-2</v>
      </c>
      <c r="W118">
        <v>-4.41027876462423E-2</v>
      </c>
      <c r="X118">
        <v>7.2005361162498394E-2</v>
      </c>
      <c r="Y118">
        <v>1.8808536449738601E-2</v>
      </c>
      <c r="AA118" s="4">
        <f t="shared" si="3"/>
        <v>1.7261432379032336E-3</v>
      </c>
    </row>
    <row r="119" spans="1:27" x14ac:dyDescent="0.25">
      <c r="A119" s="1" t="s">
        <v>300</v>
      </c>
      <c r="B119" s="1">
        <v>-0.77068670635682235</v>
      </c>
      <c r="C119" s="1">
        <v>-1.0242315849636621</v>
      </c>
      <c r="D119" s="1">
        <v>2.0397008922208908</v>
      </c>
      <c r="E119" s="1">
        <v>-2.083843840130585</v>
      </c>
      <c r="F119" s="1">
        <v>0.81278543007098603</v>
      </c>
      <c r="G119" s="1">
        <v>-2.1330864018397988</v>
      </c>
      <c r="H119" s="1"/>
      <c r="I119" s="1"/>
      <c r="J119" s="1"/>
      <c r="K119" s="8">
        <v>0.66541820884395597</v>
      </c>
      <c r="L119" s="9">
        <v>95</v>
      </c>
      <c r="M119" s="3">
        <v>0.1073546372966605</v>
      </c>
      <c r="N119" s="1"/>
      <c r="O119" s="1"/>
      <c r="P119">
        <v>-4.5122781818140003E-3</v>
      </c>
      <c r="Q119">
        <v>-6.6321762380652599E-2</v>
      </c>
      <c r="R119">
        <v>-6.11708795037718E-2</v>
      </c>
      <c r="S119">
        <v>3.5258496960997002E-3</v>
      </c>
      <c r="T119">
        <v>-8.0306277005179505E-2</v>
      </c>
      <c r="U119">
        <v>-7.7951080201615003E-3</v>
      </c>
      <c r="V119">
        <v>-3.8946200520952601E-2</v>
      </c>
      <c r="W119">
        <v>-5.0659564629156099E-2</v>
      </c>
      <c r="X119">
        <v>-0.23356088657901619</v>
      </c>
      <c r="Y119">
        <v>-0.19982845914738931</v>
      </c>
      <c r="AA119" s="4">
        <f t="shared" si="3"/>
        <v>5.8551203796064636E-3</v>
      </c>
    </row>
    <row r="120" spans="1:27" x14ac:dyDescent="0.25">
      <c r="A120" s="1" t="s">
        <v>476</v>
      </c>
      <c r="B120" s="1">
        <v>-0.2858043189804203</v>
      </c>
      <c r="C120" s="1">
        <v>-1.9803603690131639</v>
      </c>
      <c r="D120" s="1">
        <v>1.4949518308740919</v>
      </c>
      <c r="E120" s="1">
        <v>-1.2506517545089459</v>
      </c>
      <c r="F120" s="1">
        <v>1.6405100800396351</v>
      </c>
      <c r="G120" s="1">
        <v>1.670903916069661</v>
      </c>
      <c r="H120" s="1">
        <v>2.3818903552689461</v>
      </c>
      <c r="I120" s="1">
        <v>-3.991185691620772</v>
      </c>
      <c r="J120" s="1"/>
      <c r="K120" s="8">
        <v>0.66494986160671399</v>
      </c>
      <c r="L120" s="9">
        <v>2</v>
      </c>
      <c r="M120" s="3">
        <v>0.96690021995709474</v>
      </c>
      <c r="N120" s="1"/>
      <c r="O120" s="1"/>
      <c r="P120">
        <v>9.6425982264399998E-5</v>
      </c>
      <c r="Q120">
        <v>2.1191946759744002E-3</v>
      </c>
      <c r="R120">
        <v>5.0474509277450002E-4</v>
      </c>
      <c r="S120">
        <v>-1.523580446957E-4</v>
      </c>
      <c r="T120">
        <v>2.2148897577521E-3</v>
      </c>
      <c r="U120">
        <v>5.2257438826600001E-4</v>
      </c>
      <c r="V120">
        <v>1.4138015210120999E-3</v>
      </c>
      <c r="W120">
        <v>1.9149442080442999E-3</v>
      </c>
      <c r="X120">
        <v>-2.4660200233988E-3</v>
      </c>
      <c r="Y120">
        <v>7.6861362075369998E-4</v>
      </c>
      <c r="AA120" s="4">
        <f t="shared" si="3"/>
        <v>1.7483018039055603E-6</v>
      </c>
    </row>
    <row r="121" spans="1:27" x14ac:dyDescent="0.25">
      <c r="A121" s="1" t="s">
        <v>383</v>
      </c>
      <c r="B121" s="1">
        <v>-0.3485099936262781</v>
      </c>
      <c r="C121" s="1">
        <v>-2.1223877766152839</v>
      </c>
      <c r="D121" s="1">
        <v>1.1699729404775061</v>
      </c>
      <c r="E121" s="1">
        <v>3.0566260452937248</v>
      </c>
      <c r="F121" s="1">
        <v>-1.9241907093666839</v>
      </c>
      <c r="G121" s="1">
        <v>-1.746466027597096</v>
      </c>
      <c r="H121" s="1">
        <v>-4.5002722082727651</v>
      </c>
      <c r="I121" s="1"/>
      <c r="J121" s="1"/>
      <c r="K121" s="8">
        <v>0.66470417748968302</v>
      </c>
      <c r="L121" s="9">
        <v>113</v>
      </c>
      <c r="M121" s="3">
        <v>0.17383620142765499</v>
      </c>
      <c r="N121" s="1"/>
      <c r="O121" s="1"/>
      <c r="P121">
        <v>-8.0936746213090003E-4</v>
      </c>
      <c r="Q121">
        <v>-8.2491681688227902E-2</v>
      </c>
      <c r="R121">
        <v>4.5120131147068303E-2</v>
      </c>
      <c r="S121">
        <v>0.15346089878830779</v>
      </c>
      <c r="T121">
        <v>-0.21339941825140141</v>
      </c>
      <c r="U121">
        <v>-4.0541941506373497E-2</v>
      </c>
      <c r="V121">
        <v>-6.3606181816677307E-2</v>
      </c>
      <c r="W121">
        <v>-0.17109573060967651</v>
      </c>
      <c r="X121">
        <v>1.7291373145668198E-2</v>
      </c>
      <c r="Y121">
        <v>-6.2975522880804505E-2</v>
      </c>
      <c r="AA121" s="4">
        <f t="shared" si="3"/>
        <v>9.9598894719639917E-3</v>
      </c>
    </row>
    <row r="122" spans="1:27" x14ac:dyDescent="0.25">
      <c r="A122" s="1" t="s">
        <v>484</v>
      </c>
      <c r="B122" s="1">
        <v>-0.37820564991414241</v>
      </c>
      <c r="C122" s="1">
        <v>-0.3260600099995602</v>
      </c>
      <c r="D122" s="1">
        <v>-1.987727853356257</v>
      </c>
      <c r="E122" s="1">
        <v>-3.483713719559383</v>
      </c>
      <c r="F122" s="1">
        <v>3.0098855180818789</v>
      </c>
      <c r="G122" s="1">
        <v>4.9038310821157696</v>
      </c>
      <c r="H122" s="1">
        <v>-4.1776959938453304</v>
      </c>
      <c r="I122" s="1">
        <v>-3.2150975702835431</v>
      </c>
      <c r="J122" s="1"/>
      <c r="K122" s="8">
        <v>0.66129422270919602</v>
      </c>
      <c r="L122" s="9">
        <v>15</v>
      </c>
      <c r="M122" s="3">
        <v>0.68064192853901861</v>
      </c>
      <c r="N122" s="1"/>
      <c r="O122" s="1"/>
      <c r="P122">
        <v>1.0192214941090001E-3</v>
      </c>
      <c r="Q122">
        <v>1.54268582202773E-2</v>
      </c>
      <c r="R122">
        <v>1.00388591253266E-2</v>
      </c>
      <c r="S122">
        <v>2.3257856212077002E-3</v>
      </c>
      <c r="T122">
        <v>-2.0923647666911999E-3</v>
      </c>
      <c r="U122">
        <v>-6.5745858501991003E-3</v>
      </c>
      <c r="V122">
        <v>-2.3238255470601999E-3</v>
      </c>
      <c r="W122">
        <v>-1.0828722831514301E-2</v>
      </c>
      <c r="X122">
        <v>-2.8066158248929999E-2</v>
      </c>
      <c r="Y122">
        <v>-8.1234672171210005E-4</v>
      </c>
      <c r="AA122" s="4">
        <f t="shared" si="3"/>
        <v>1.2559431566864615E-4</v>
      </c>
    </row>
    <row r="123" spans="1:27" x14ac:dyDescent="0.25">
      <c r="A123" s="1" t="s">
        <v>474</v>
      </c>
      <c r="B123" s="1">
        <v>-0.41363253360950991</v>
      </c>
      <c r="C123" s="1">
        <v>-1.64658575582704</v>
      </c>
      <c r="D123" s="1">
        <v>0.79510638111332044</v>
      </c>
      <c r="E123" s="1">
        <v>5.6434424038592939</v>
      </c>
      <c r="F123" s="1">
        <v>-3.1110370414801261</v>
      </c>
      <c r="G123" s="1">
        <v>0.64523559282320575</v>
      </c>
      <c r="H123" s="1">
        <v>-1.265580340003011</v>
      </c>
      <c r="I123" s="1">
        <v>-1.645986644176781</v>
      </c>
      <c r="J123" s="1"/>
      <c r="K123" s="8">
        <v>0.65609166652963502</v>
      </c>
      <c r="L123" s="9">
        <v>8</v>
      </c>
      <c r="M123" s="3">
        <v>0.84735875113702974</v>
      </c>
      <c r="N123" s="1"/>
      <c r="O123" s="1"/>
      <c r="P123">
        <v>4.9999550525199999E-5</v>
      </c>
      <c r="Q123">
        <v>-5.7166405677384E-3</v>
      </c>
      <c r="R123">
        <v>2.6186622726261E-3</v>
      </c>
      <c r="S123">
        <v>3.9237344957294001E-3</v>
      </c>
      <c r="T123">
        <v>-7.6912255814564996E-3</v>
      </c>
      <c r="U123">
        <v>-3.0099609080406998E-3</v>
      </c>
      <c r="V123">
        <v>-5.2753265652589997E-3</v>
      </c>
      <c r="W123">
        <v>-6.8090611772339002E-3</v>
      </c>
      <c r="X123">
        <v>1.5325698361721801E-2</v>
      </c>
      <c r="Y123">
        <v>6.7044164815960002E-4</v>
      </c>
      <c r="AA123" s="4">
        <f t="shared" si="3"/>
        <v>4.2917212689731457E-5</v>
      </c>
    </row>
    <row r="124" spans="1:27" x14ac:dyDescent="0.25">
      <c r="A124" s="1" t="s">
        <v>475</v>
      </c>
      <c r="B124" s="1">
        <v>-0.37930349583454931</v>
      </c>
      <c r="C124" s="1">
        <v>-1.983345961628999</v>
      </c>
      <c r="D124" s="1">
        <v>1.8497594074844601</v>
      </c>
      <c r="E124" s="1">
        <v>-0.98055729718203322</v>
      </c>
      <c r="F124" s="1">
        <v>3.019093893929929</v>
      </c>
      <c r="G124" s="1">
        <v>-2.5561754175663709</v>
      </c>
      <c r="H124" s="1">
        <v>0.72750270892301927</v>
      </c>
      <c r="I124" s="1">
        <v>-1.2209094869000181</v>
      </c>
      <c r="J124" s="1"/>
      <c r="K124" s="8">
        <v>0.65515706383926797</v>
      </c>
      <c r="L124" s="9">
        <v>108</v>
      </c>
      <c r="M124" s="3">
        <v>0.1850378219080894</v>
      </c>
      <c r="N124" s="1"/>
      <c r="O124" s="1"/>
      <c r="P124">
        <v>-5.8145627336653001E-3</v>
      </c>
      <c r="Q124">
        <v>-0.1527775105886969</v>
      </c>
      <c r="R124">
        <v>-3.9138690878428299E-2</v>
      </c>
      <c r="S124">
        <v>-3.5275430814223498E-2</v>
      </c>
      <c r="T124">
        <v>-0.22852493224413831</v>
      </c>
      <c r="U124">
        <v>-4.4660307909852502E-2</v>
      </c>
      <c r="V124">
        <v>-4.62069200202831E-2</v>
      </c>
      <c r="W124">
        <v>-0.2111754285294119</v>
      </c>
      <c r="X124">
        <v>7.1036373215229903E-2</v>
      </c>
      <c r="Y124">
        <v>-7.1942720568878996E-3</v>
      </c>
      <c r="AA124" s="4">
        <f t="shared" si="3"/>
        <v>8.3234779968528808E-3</v>
      </c>
    </row>
    <row r="125" spans="1:27" x14ac:dyDescent="0.25">
      <c r="A125" s="1" t="s">
        <v>461</v>
      </c>
      <c r="B125" s="1">
        <v>-0.20491190142881599</v>
      </c>
      <c r="C125" s="1">
        <v>-0.36162701626899652</v>
      </c>
      <c r="D125" s="1">
        <v>-0.46063329460024788</v>
      </c>
      <c r="E125" s="1">
        <v>1.600160174125409</v>
      </c>
      <c r="F125" s="1">
        <v>2.2714071795980399</v>
      </c>
      <c r="G125" s="1">
        <v>-0.86743505966503698</v>
      </c>
      <c r="H125" s="1">
        <v>-1.8411024182976721</v>
      </c>
      <c r="I125" s="1">
        <v>-2.1539581733519539</v>
      </c>
      <c r="J125" s="1"/>
      <c r="K125" s="8">
        <v>0.65335951031397599</v>
      </c>
      <c r="L125" s="9">
        <v>23</v>
      </c>
      <c r="M125" s="3">
        <v>0.67582937002005616</v>
      </c>
      <c r="N125" s="1"/>
      <c r="O125" s="1"/>
      <c r="P125">
        <v>-5.5640114387859999E-4</v>
      </c>
      <c r="Q125">
        <v>-1.52220688504629E-2</v>
      </c>
      <c r="R125">
        <v>-7.1165924937728001E-3</v>
      </c>
      <c r="S125">
        <v>-6.0923892181822996E-3</v>
      </c>
      <c r="T125">
        <v>-3.21770941512452E-2</v>
      </c>
      <c r="U125">
        <v>-3.437350034492E-3</v>
      </c>
      <c r="V125">
        <v>2.9227409814198998E-3</v>
      </c>
      <c r="W125">
        <v>-3.5139727471597E-2</v>
      </c>
      <c r="X125">
        <v>-5.4253671657719001E-3</v>
      </c>
      <c r="Y125">
        <v>2.5027314455170899E-2</v>
      </c>
      <c r="AA125" s="4">
        <f t="shared" si="3"/>
        <v>2.6698632535383804E-4</v>
      </c>
    </row>
    <row r="126" spans="1:27" x14ac:dyDescent="0.25">
      <c r="A126" s="1" t="s">
        <v>355</v>
      </c>
      <c r="B126" s="1">
        <v>-0.87726487204493209</v>
      </c>
      <c r="C126" s="1">
        <v>0.9986061731015432</v>
      </c>
      <c r="D126" s="1">
        <v>3.4279246744935938</v>
      </c>
      <c r="E126" s="1">
        <v>0.959889747970051</v>
      </c>
      <c r="F126" s="1">
        <v>1.230933798418373</v>
      </c>
      <c r="G126" s="1">
        <v>-2.9325941145249641</v>
      </c>
      <c r="H126" s="1">
        <v>-1.6883080517394231</v>
      </c>
      <c r="I126" s="1"/>
      <c r="J126" s="1"/>
      <c r="K126" s="8">
        <v>0.65260525932573799</v>
      </c>
      <c r="L126" s="9">
        <v>27</v>
      </c>
      <c r="M126" s="3">
        <v>0.71871414594590854</v>
      </c>
      <c r="N126" s="1"/>
      <c r="O126" s="1"/>
      <c r="P126">
        <v>-1.6360566385464001E-3</v>
      </c>
      <c r="Q126">
        <v>-2.63792815202629E-2</v>
      </c>
      <c r="R126">
        <v>-1.789108958476E-2</v>
      </c>
      <c r="S126">
        <v>-2.22699923225281E-2</v>
      </c>
      <c r="T126">
        <v>-3.1505980660760699E-2</v>
      </c>
      <c r="U126">
        <v>-1.9249785895263799E-2</v>
      </c>
      <c r="V126">
        <v>-1.45822739052826E-2</v>
      </c>
      <c r="W126">
        <v>-3.1663228564109899E-2</v>
      </c>
      <c r="X126">
        <v>-7.9480423362434494E-2</v>
      </c>
      <c r="Y126">
        <v>-2.67479524801956E-2</v>
      </c>
      <c r="AA126" s="4">
        <f t="shared" si="3"/>
        <v>3.7594361006375776E-4</v>
      </c>
    </row>
    <row r="127" spans="1:27" x14ac:dyDescent="0.25">
      <c r="A127" s="1" t="s">
        <v>455</v>
      </c>
      <c r="B127" s="1">
        <v>-0.24813344676963059</v>
      </c>
      <c r="C127" s="1">
        <v>-0.64301349618955461</v>
      </c>
      <c r="D127" s="1">
        <v>-0.72911203510825306</v>
      </c>
      <c r="E127" s="1">
        <v>1.206592419056034</v>
      </c>
      <c r="F127" s="1">
        <v>3.05741423013894</v>
      </c>
      <c r="G127" s="1">
        <v>-2.399770964031402</v>
      </c>
      <c r="H127" s="1">
        <v>-1.0232208618729219</v>
      </c>
      <c r="I127" s="1">
        <v>-3.5799803053485082</v>
      </c>
      <c r="J127" s="1"/>
      <c r="K127" s="8">
        <v>0.59371646293153801</v>
      </c>
      <c r="L127" s="9">
        <v>5</v>
      </c>
      <c r="M127" s="3">
        <v>0.84972860740667733</v>
      </c>
      <c r="N127" s="1"/>
      <c r="O127" s="1"/>
      <c r="P127">
        <v>-6.3796145641300002E-5</v>
      </c>
      <c r="Q127">
        <v>-3.2210725265992999E-3</v>
      </c>
      <c r="R127">
        <v>-8.7999968315940005E-4</v>
      </c>
      <c r="S127">
        <v>1.2906545538465999E-3</v>
      </c>
      <c r="T127">
        <v>3.37540851886E-4</v>
      </c>
      <c r="U127">
        <v>5.4020118297816999E-3</v>
      </c>
      <c r="V127">
        <v>5.4299096261244996E-3</v>
      </c>
      <c r="W127">
        <v>2.0457412657169999E-4</v>
      </c>
      <c r="X127">
        <v>-5.0333959350454998E-3</v>
      </c>
      <c r="Y127">
        <v>1.10522557641923E-2</v>
      </c>
      <c r="AA127" s="4">
        <f t="shared" si="3"/>
        <v>1.9804921961941235E-5</v>
      </c>
    </row>
    <row r="128" spans="1:27" x14ac:dyDescent="0.25">
      <c r="A128" s="1" t="s">
        <v>487</v>
      </c>
      <c r="B128" s="1">
        <v>-0.25703450026517022</v>
      </c>
      <c r="C128" s="1">
        <v>-0.74837499433096122</v>
      </c>
      <c r="D128" s="1">
        <v>-1.415302180733955</v>
      </c>
      <c r="E128" s="1">
        <v>0.74312421776213999</v>
      </c>
      <c r="F128" s="1">
        <v>0.58286574765536947</v>
      </c>
      <c r="G128" s="1">
        <v>1.3370104847940161</v>
      </c>
      <c r="H128" s="1">
        <v>-1.1355944097306001</v>
      </c>
      <c r="I128" s="1">
        <v>-1.0987968494390721</v>
      </c>
      <c r="J128" s="1"/>
      <c r="K128" s="8">
        <v>0.57383352273092403</v>
      </c>
      <c r="L128" s="9">
        <v>21</v>
      </c>
      <c r="M128" s="3">
        <v>0.6507664077012254</v>
      </c>
      <c r="N128" s="1"/>
      <c r="O128" s="1"/>
      <c r="P128">
        <v>1.6927269024089999E-4</v>
      </c>
      <c r="Q128">
        <v>3.4121836284156E-3</v>
      </c>
      <c r="R128">
        <v>8.2750821018777003E-3</v>
      </c>
      <c r="S128">
        <v>-5.9194565788896003E-3</v>
      </c>
      <c r="T128">
        <v>-1.195400987544E-3</v>
      </c>
      <c r="U128">
        <v>2.2080969709530201E-2</v>
      </c>
      <c r="V128">
        <v>2.75226217334009E-2</v>
      </c>
      <c r="W128">
        <v>3.5330144269526001E-3</v>
      </c>
      <c r="X128">
        <v>-3.2863664105071203E-2</v>
      </c>
      <c r="Y128">
        <v>-7.0504649284802001E-3</v>
      </c>
      <c r="AA128" s="4">
        <f t="shared" si="3"/>
        <v>2.4716220831610036E-4</v>
      </c>
    </row>
    <row r="129" spans="1:27" x14ac:dyDescent="0.25">
      <c r="A129" s="2" t="s">
        <v>478</v>
      </c>
      <c r="B129" s="2">
        <v>-0.51257467259060541</v>
      </c>
      <c r="C129" s="2">
        <v>-1.8483404018130101</v>
      </c>
      <c r="D129" s="2">
        <v>0.96009794132486714</v>
      </c>
      <c r="E129" s="2">
        <v>6.7196220584397226</v>
      </c>
      <c r="F129" s="2">
        <v>-3.9306981582156268</v>
      </c>
      <c r="G129" s="2">
        <v>1.076645224086362</v>
      </c>
      <c r="H129" s="2">
        <v>-2.1165059863442779</v>
      </c>
      <c r="I129" s="2">
        <v>-1.4892148595936261</v>
      </c>
      <c r="J129" s="1"/>
      <c r="K129" s="8">
        <v>0.45274232324140201</v>
      </c>
      <c r="L129" s="9">
        <v>3</v>
      </c>
      <c r="M129" s="5">
        <v>0.92867123352724268</v>
      </c>
      <c r="N129" s="1"/>
      <c r="O129" s="1"/>
      <c r="P129">
        <v>-1.2306626235729999E-4</v>
      </c>
      <c r="Q129">
        <v>6.4341954467399999E-5</v>
      </c>
      <c r="R129">
        <v>-1.5336755271592999E-3</v>
      </c>
      <c r="S129">
        <v>-1.9628416566393999E-3</v>
      </c>
      <c r="T129">
        <v>-4.5850975813099998E-5</v>
      </c>
      <c r="U129">
        <v>1.9431271845786E-3</v>
      </c>
      <c r="V129">
        <v>2.8203036459889998E-3</v>
      </c>
      <c r="W129">
        <v>1.0275830230018E-3</v>
      </c>
      <c r="X129">
        <v>-7.3082086554434999E-3</v>
      </c>
      <c r="Y129">
        <v>-5.0709090569510005E-4</v>
      </c>
      <c r="AA129" s="4">
        <f t="shared" si="3"/>
        <v>6.9514645252734843E-6</v>
      </c>
    </row>
  </sheetData>
  <sortState ref="A1:AA129">
    <sortCondition descending="1" ref="K1:K129"/>
  </sortState>
  <conditionalFormatting sqref="AA2:AA129">
    <cfRule type="cellIs" dxfId="2" priority="1" operator="greaterThan">
      <formula>0.053668826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29"/>
  <sheetViews>
    <sheetView zoomScale="45" workbookViewId="0">
      <selection sqref="A1:AA129"/>
    </sheetView>
  </sheetViews>
  <sheetFormatPr defaultRowHeight="15" x14ac:dyDescent="0.25"/>
  <cols>
    <col min="11" max="12" width="8.85546875" bestFit="1" customWidth="1"/>
    <col min="13" max="13" width="9.28515625" style="4" bestFit="1" customWidth="1"/>
    <col min="16" max="16" width="15.5703125" bestFit="1" customWidth="1"/>
    <col min="17" max="17" width="13.42578125" bestFit="1" customWidth="1"/>
    <col min="18" max="19" width="9.5703125" bestFit="1" customWidth="1"/>
    <col min="20" max="21" width="14.5703125" bestFit="1" customWidth="1"/>
    <col min="22" max="23" width="9.5703125" bestFit="1" customWidth="1"/>
    <col min="24" max="24" width="15.5703125" bestFit="1" customWidth="1"/>
    <col min="25" max="25" width="9.5703125" bestFit="1" customWidth="1"/>
    <col min="27" max="27" width="14.5703125" style="4" bestFit="1" customWidth="1"/>
  </cols>
  <sheetData>
    <row r="1" spans="1:27" x14ac:dyDescent="0.25">
      <c r="A1" t="s">
        <v>493</v>
      </c>
      <c r="B1" s="10" t="s">
        <v>494</v>
      </c>
      <c r="C1" s="10"/>
      <c r="D1" s="10"/>
      <c r="E1" s="10"/>
      <c r="F1" s="10"/>
      <c r="G1" s="10"/>
      <c r="H1" s="10"/>
      <c r="I1" s="10"/>
      <c r="J1" s="6"/>
      <c r="K1" t="s">
        <v>507</v>
      </c>
      <c r="M1" s="4" t="s">
        <v>495</v>
      </c>
      <c r="P1" t="s">
        <v>496</v>
      </c>
      <c r="Q1" t="s">
        <v>497</v>
      </c>
      <c r="R1" t="s">
        <v>498</v>
      </c>
      <c r="S1" t="s">
        <v>499</v>
      </c>
      <c r="T1" t="s">
        <v>500</v>
      </c>
      <c r="U1" t="s">
        <v>501</v>
      </c>
      <c r="V1" t="s">
        <v>502</v>
      </c>
      <c r="W1" t="s">
        <v>503</v>
      </c>
      <c r="X1" t="s">
        <v>504</v>
      </c>
      <c r="Y1" t="s">
        <v>505</v>
      </c>
      <c r="AA1" s="4" t="s">
        <v>506</v>
      </c>
    </row>
    <row r="2" spans="1:27" x14ac:dyDescent="0.25">
      <c r="A2" s="1" t="s">
        <v>460</v>
      </c>
      <c r="B2" s="1">
        <v>-0.37706060046454049</v>
      </c>
      <c r="C2" s="1">
        <v>-0.70055464623294972</v>
      </c>
      <c r="D2" s="1">
        <v>-3.299572780226125</v>
      </c>
      <c r="E2" s="1">
        <v>4.5361586050482199</v>
      </c>
      <c r="F2" s="1">
        <v>1.09877707987258</v>
      </c>
      <c r="G2" s="1">
        <v>2.6949433853835272</v>
      </c>
      <c r="H2" s="1">
        <v>-0.94979942931811145</v>
      </c>
      <c r="I2" s="1">
        <v>-1.049491194013203</v>
      </c>
      <c r="J2" s="1"/>
      <c r="K2" s="8">
        <v>0.67658701048293601</v>
      </c>
      <c r="L2" s="9">
        <v>1</v>
      </c>
      <c r="M2" s="3">
        <v>0.96526539046505389</v>
      </c>
      <c r="N2" s="1"/>
      <c r="O2" s="1"/>
      <c r="P2">
        <v>1.4223566109969999E-4</v>
      </c>
      <c r="Q2">
        <v>8.2881446116440005E-4</v>
      </c>
      <c r="R2">
        <v>2.3614619337753002E-3</v>
      </c>
      <c r="S2">
        <v>3.6745360638915999E-3</v>
      </c>
      <c r="T2">
        <v>4.870982833947E-4</v>
      </c>
      <c r="U2">
        <v>8.8258116202199997E-5</v>
      </c>
      <c r="V2">
        <v>-3.4569970406370001E-4</v>
      </c>
      <c r="W2">
        <v>7.3326838884619995E-4</v>
      </c>
      <c r="X2">
        <v>-9.8784548990699995E-5</v>
      </c>
      <c r="Y2">
        <v>2.6496236731637E-3</v>
      </c>
      <c r="AA2" s="4">
        <f t="shared" ref="AA2:AA33" si="0">_xlfn.COVARIANCE.P(P2:Y2,P2:Y2)</f>
        <v>1.6649641983457875E-6</v>
      </c>
    </row>
    <row r="3" spans="1:27" x14ac:dyDescent="0.25">
      <c r="A3" s="1" t="s">
        <v>476</v>
      </c>
      <c r="B3" s="1">
        <v>-0.2858043189804203</v>
      </c>
      <c r="C3" s="1">
        <v>-1.9803603690131639</v>
      </c>
      <c r="D3" s="1">
        <v>1.4949518308740919</v>
      </c>
      <c r="E3" s="1">
        <v>-1.2506517545089459</v>
      </c>
      <c r="F3" s="1">
        <v>1.6405100800396351</v>
      </c>
      <c r="G3" s="1">
        <v>1.670903916069661</v>
      </c>
      <c r="H3" s="1">
        <v>2.3818903552689461</v>
      </c>
      <c r="I3" s="1">
        <v>-3.991185691620772</v>
      </c>
      <c r="J3" s="1"/>
      <c r="K3" s="8">
        <v>0.66494986160671399</v>
      </c>
      <c r="L3" s="9">
        <v>2</v>
      </c>
      <c r="M3" s="3">
        <v>0.96690021995709474</v>
      </c>
      <c r="N3" s="1"/>
      <c r="O3" s="1"/>
      <c r="P3">
        <v>9.6425982264399998E-5</v>
      </c>
      <c r="Q3">
        <v>2.1191946759744002E-3</v>
      </c>
      <c r="R3">
        <v>5.0474509277450002E-4</v>
      </c>
      <c r="S3">
        <v>-1.523580446957E-4</v>
      </c>
      <c r="T3">
        <v>2.2148897577521E-3</v>
      </c>
      <c r="U3">
        <v>5.2257438826600001E-4</v>
      </c>
      <c r="V3">
        <v>1.4138015210120999E-3</v>
      </c>
      <c r="W3">
        <v>1.9149442080442999E-3</v>
      </c>
      <c r="X3">
        <v>-2.4660200233988E-3</v>
      </c>
      <c r="Y3">
        <v>7.6861362075369998E-4</v>
      </c>
      <c r="AA3" s="4">
        <f t="shared" si="0"/>
        <v>1.7483018039055603E-6</v>
      </c>
    </row>
    <row r="4" spans="1:27" x14ac:dyDescent="0.25">
      <c r="A4" s="1" t="s">
        <v>478</v>
      </c>
      <c r="B4" s="1">
        <v>-0.51257467259060541</v>
      </c>
      <c r="C4" s="1">
        <v>-1.8483404018130101</v>
      </c>
      <c r="D4" s="1">
        <v>0.96009794132486714</v>
      </c>
      <c r="E4" s="1">
        <v>6.7196220584397226</v>
      </c>
      <c r="F4" s="1">
        <v>-3.9306981582156268</v>
      </c>
      <c r="G4" s="1">
        <v>1.076645224086362</v>
      </c>
      <c r="H4" s="1">
        <v>-2.1165059863442779</v>
      </c>
      <c r="I4" s="1">
        <v>-1.4892148595936261</v>
      </c>
      <c r="J4" s="1"/>
      <c r="K4" s="8">
        <v>0.45274232324140201</v>
      </c>
      <c r="L4" s="9">
        <v>3</v>
      </c>
      <c r="M4" s="3">
        <v>0.92867123352724268</v>
      </c>
      <c r="N4" s="1"/>
      <c r="O4" s="1"/>
      <c r="P4">
        <v>-1.2306626235729999E-4</v>
      </c>
      <c r="Q4">
        <v>6.4341954467399999E-5</v>
      </c>
      <c r="R4">
        <v>-1.5336755271592999E-3</v>
      </c>
      <c r="S4">
        <v>-1.9628416566393999E-3</v>
      </c>
      <c r="T4">
        <v>-4.5850975813099998E-5</v>
      </c>
      <c r="U4">
        <v>1.9431271845786E-3</v>
      </c>
      <c r="V4">
        <v>2.8203036459889998E-3</v>
      </c>
      <c r="W4">
        <v>1.0275830230018E-3</v>
      </c>
      <c r="X4">
        <v>-7.3082086554434999E-3</v>
      </c>
      <c r="Y4">
        <v>-5.0709090569510005E-4</v>
      </c>
      <c r="AA4" s="4">
        <f t="shared" si="0"/>
        <v>6.9514645252734843E-6</v>
      </c>
    </row>
    <row r="5" spans="1:27" x14ac:dyDescent="0.25">
      <c r="A5" s="1" t="s">
        <v>390</v>
      </c>
      <c r="B5" s="1">
        <v>-0.45385839496753949</v>
      </c>
      <c r="C5" s="1">
        <v>-4.2072738553350284</v>
      </c>
      <c r="D5" s="1">
        <v>5.3779634491501076</v>
      </c>
      <c r="E5" s="1">
        <v>1.731785247623727</v>
      </c>
      <c r="F5" s="1">
        <v>3.345061419082783</v>
      </c>
      <c r="G5" s="1">
        <v>-2.0140094470209808</v>
      </c>
      <c r="H5" s="1">
        <v>-1.4163890424090451</v>
      </c>
      <c r="I5" s="1"/>
      <c r="J5" s="1"/>
      <c r="K5" s="8">
        <v>0.78196787741366702</v>
      </c>
      <c r="L5" s="9">
        <v>4</v>
      </c>
      <c r="M5" s="3">
        <v>0.98296832098831999</v>
      </c>
      <c r="N5" s="1"/>
      <c r="O5" s="1"/>
      <c r="P5">
        <v>2.3112235607550001E-4</v>
      </c>
      <c r="Q5">
        <v>-2.8489849267687001E-3</v>
      </c>
      <c r="R5">
        <v>3.2936692624197001E-3</v>
      </c>
      <c r="S5">
        <v>3.855398878072E-3</v>
      </c>
      <c r="T5">
        <v>1.2586566872641999E-3</v>
      </c>
      <c r="U5">
        <v>2.1637149207588001E-3</v>
      </c>
      <c r="V5">
        <v>1.8466623144502E-3</v>
      </c>
      <c r="W5">
        <v>2.0200046882033998E-3</v>
      </c>
      <c r="X5">
        <v>-7.1504136517600003E-4</v>
      </c>
      <c r="Y5">
        <v>1.2601557567112801E-2</v>
      </c>
      <c r="AA5" s="4">
        <f t="shared" si="0"/>
        <v>1.5074843842262494E-5</v>
      </c>
    </row>
    <row r="6" spans="1:27" x14ac:dyDescent="0.25">
      <c r="A6" s="1" t="s">
        <v>455</v>
      </c>
      <c r="B6" s="1">
        <v>-0.24813344676963059</v>
      </c>
      <c r="C6" s="1">
        <v>-0.64301349618955461</v>
      </c>
      <c r="D6" s="1">
        <v>-0.72911203510825306</v>
      </c>
      <c r="E6" s="1">
        <v>1.206592419056034</v>
      </c>
      <c r="F6" s="1">
        <v>3.05741423013894</v>
      </c>
      <c r="G6" s="1">
        <v>-2.399770964031402</v>
      </c>
      <c r="H6" s="1">
        <v>-1.0232208618729219</v>
      </c>
      <c r="I6" s="1">
        <v>-3.5799803053485082</v>
      </c>
      <c r="J6" s="1"/>
      <c r="K6" s="8">
        <v>0.59371646293153801</v>
      </c>
      <c r="L6" s="9">
        <v>5</v>
      </c>
      <c r="M6" s="3">
        <v>0.84972860740667733</v>
      </c>
      <c r="N6" s="1"/>
      <c r="O6" s="1"/>
      <c r="P6">
        <v>-6.3796145641300002E-5</v>
      </c>
      <c r="Q6">
        <v>-3.2210725265992999E-3</v>
      </c>
      <c r="R6">
        <v>-8.7999968315940005E-4</v>
      </c>
      <c r="S6">
        <v>1.2906545538465999E-3</v>
      </c>
      <c r="T6">
        <v>3.37540851886E-4</v>
      </c>
      <c r="U6">
        <v>5.4020118297816999E-3</v>
      </c>
      <c r="V6">
        <v>5.4299096261244996E-3</v>
      </c>
      <c r="W6">
        <v>2.0457412657169999E-4</v>
      </c>
      <c r="X6">
        <v>-5.0333959350454998E-3</v>
      </c>
      <c r="Y6">
        <v>1.10522557641923E-2</v>
      </c>
      <c r="AA6" s="4">
        <f t="shared" si="0"/>
        <v>1.9804921961941235E-5</v>
      </c>
    </row>
    <row r="7" spans="1:27" x14ac:dyDescent="0.25">
      <c r="A7" s="1" t="s">
        <v>473</v>
      </c>
      <c r="B7" s="1">
        <v>-0.47881861977491169</v>
      </c>
      <c r="C7" s="1">
        <v>-1.5669327879299479</v>
      </c>
      <c r="D7" s="1">
        <v>0.79754736305857676</v>
      </c>
      <c r="E7" s="1">
        <v>5.982404616976809</v>
      </c>
      <c r="F7" s="1">
        <v>-3.4610209919401922</v>
      </c>
      <c r="G7" s="1">
        <v>0.9895306252128141</v>
      </c>
      <c r="H7" s="1">
        <v>-1.8005800565280949</v>
      </c>
      <c r="I7" s="1">
        <v>-1.3947119462253461</v>
      </c>
      <c r="J7" s="1"/>
      <c r="K7" s="8">
        <v>0.79213837088490002</v>
      </c>
      <c r="L7" s="9">
        <v>6</v>
      </c>
      <c r="M7" s="3">
        <v>0.85070183091983609</v>
      </c>
      <c r="N7" s="1"/>
      <c r="O7" s="1"/>
      <c r="P7">
        <v>-3.8839723116969999E-4</v>
      </c>
      <c r="Q7">
        <v>-2.1051791050754999E-3</v>
      </c>
      <c r="R7">
        <v>-4.9965558274640996E-3</v>
      </c>
      <c r="S7">
        <v>-5.4177020652092997E-3</v>
      </c>
      <c r="T7">
        <v>-3.5232393127626999E-3</v>
      </c>
      <c r="U7">
        <v>2.4986653045364002E-3</v>
      </c>
      <c r="V7">
        <v>4.5759701561833002E-3</v>
      </c>
      <c r="W7">
        <v>-8.8709642919609997E-4</v>
      </c>
      <c r="X7">
        <v>-1.6013287679618099E-2</v>
      </c>
      <c r="Y7">
        <v>-9.9729677320300005E-4</v>
      </c>
      <c r="AA7" s="4">
        <f t="shared" si="0"/>
        <v>2.8242396690125842E-5</v>
      </c>
    </row>
    <row r="8" spans="1:27" x14ac:dyDescent="0.25">
      <c r="A8" s="1" t="s">
        <v>471</v>
      </c>
      <c r="B8" s="1">
        <v>-0.27964346541637358</v>
      </c>
      <c r="C8" s="1">
        <v>-1.674034517907778</v>
      </c>
      <c r="D8" s="1">
        <v>1.2670722198883531</v>
      </c>
      <c r="E8" s="1">
        <v>-1.067635886968276</v>
      </c>
      <c r="F8" s="1">
        <v>1.4875136816744501</v>
      </c>
      <c r="G8" s="1">
        <v>1.5642955175964639</v>
      </c>
      <c r="H8" s="1">
        <v>2.038945219585274</v>
      </c>
      <c r="I8" s="1">
        <v>-3.5345529869705552</v>
      </c>
      <c r="J8" s="1"/>
      <c r="K8" s="8">
        <v>0.76193506304580205</v>
      </c>
      <c r="L8" s="9">
        <v>7</v>
      </c>
      <c r="M8" s="3">
        <v>0.86655857869174824</v>
      </c>
      <c r="N8" s="1"/>
      <c r="O8" s="1"/>
      <c r="P8">
        <v>2.851682662847E-4</v>
      </c>
      <c r="Q8">
        <v>8.0775504177649001E-3</v>
      </c>
      <c r="R8">
        <v>1.0246404014980001E-3</v>
      </c>
      <c r="S8">
        <v>-4.5797029098079998E-4</v>
      </c>
      <c r="T8">
        <v>9.7377622973943007E-3</v>
      </c>
      <c r="U8">
        <v>2.5104574127803002E-3</v>
      </c>
      <c r="V8">
        <v>6.0815215143251002E-3</v>
      </c>
      <c r="W8">
        <v>9.2102186872867007E-3</v>
      </c>
      <c r="X8">
        <v>-1.0182543568104699E-2</v>
      </c>
      <c r="Y8">
        <v>3.6469276372493001E-3</v>
      </c>
      <c r="AA8" s="4">
        <f t="shared" si="0"/>
        <v>3.1690864853040647E-5</v>
      </c>
    </row>
    <row r="9" spans="1:27" x14ac:dyDescent="0.25">
      <c r="A9" s="1" t="s">
        <v>474</v>
      </c>
      <c r="B9" s="1">
        <v>-0.41363253360950991</v>
      </c>
      <c r="C9" s="1">
        <v>-1.64658575582704</v>
      </c>
      <c r="D9" s="1">
        <v>0.79510638111332044</v>
      </c>
      <c r="E9" s="1">
        <v>5.6434424038592939</v>
      </c>
      <c r="F9" s="1">
        <v>-3.1110370414801261</v>
      </c>
      <c r="G9" s="1">
        <v>0.64523559282320575</v>
      </c>
      <c r="H9" s="1">
        <v>-1.265580340003011</v>
      </c>
      <c r="I9" s="1">
        <v>-1.645986644176781</v>
      </c>
      <c r="J9" s="1"/>
      <c r="K9" s="8">
        <v>0.65609166652963502</v>
      </c>
      <c r="L9" s="9">
        <v>8</v>
      </c>
      <c r="M9" s="3">
        <v>0.84735875113702974</v>
      </c>
      <c r="N9" s="1"/>
      <c r="O9" s="1"/>
      <c r="P9">
        <v>4.9999550525199999E-5</v>
      </c>
      <c r="Q9">
        <v>-5.7166405677384E-3</v>
      </c>
      <c r="R9">
        <v>2.6186622726261E-3</v>
      </c>
      <c r="S9">
        <v>3.9237344957294001E-3</v>
      </c>
      <c r="T9">
        <v>-7.6912255814564996E-3</v>
      </c>
      <c r="U9">
        <v>-3.0099609080406998E-3</v>
      </c>
      <c r="V9">
        <v>-5.2753265652589997E-3</v>
      </c>
      <c r="W9">
        <v>-6.8090611772339002E-3</v>
      </c>
      <c r="X9">
        <v>1.5325698361721801E-2</v>
      </c>
      <c r="Y9">
        <v>6.7044164815960002E-4</v>
      </c>
      <c r="AA9" s="4">
        <f t="shared" si="0"/>
        <v>4.2917212689731457E-5</v>
      </c>
    </row>
    <row r="10" spans="1:27" x14ac:dyDescent="0.25">
      <c r="A10" s="1" t="s">
        <v>470</v>
      </c>
      <c r="B10" s="1">
        <v>-0.35478541263240132</v>
      </c>
      <c r="C10" s="1">
        <v>-1.961437802447479</v>
      </c>
      <c r="D10" s="1">
        <v>-4.5412595972753049</v>
      </c>
      <c r="E10" s="1">
        <v>2.9682907573908879</v>
      </c>
      <c r="F10" s="1">
        <v>1.492485963437592</v>
      </c>
      <c r="G10" s="1">
        <v>5.9597465098419313</v>
      </c>
      <c r="H10" s="1">
        <v>-5.7829556296621742</v>
      </c>
      <c r="I10" s="1">
        <v>-2.9607066014470762</v>
      </c>
      <c r="J10" s="1"/>
      <c r="K10" s="8">
        <v>0.73791240761073096</v>
      </c>
      <c r="L10" s="9">
        <v>9</v>
      </c>
      <c r="M10" s="3">
        <v>0.78980888511177938</v>
      </c>
      <c r="N10" s="1"/>
      <c r="O10" s="1"/>
      <c r="P10">
        <v>7.5708305495879996E-4</v>
      </c>
      <c r="Q10">
        <v>1.2185906276801E-2</v>
      </c>
      <c r="R10">
        <v>4.4083986543699003E-3</v>
      </c>
      <c r="S10">
        <v>2.1036117283634E-3</v>
      </c>
      <c r="T10">
        <v>2.6177142959588999E-3</v>
      </c>
      <c r="U10">
        <v>-1.8089271548194E-3</v>
      </c>
      <c r="V10">
        <v>1.9750936712393001E-3</v>
      </c>
      <c r="W10">
        <v>-3.2941336644974001E-3</v>
      </c>
      <c r="X10">
        <v>-1.6972396854257901E-2</v>
      </c>
      <c r="Y10">
        <v>3.4389484314726001E-3</v>
      </c>
      <c r="AA10" s="4">
        <f t="shared" si="0"/>
        <v>4.9476601094761868E-5</v>
      </c>
    </row>
    <row r="11" spans="1:27" x14ac:dyDescent="0.25">
      <c r="A11" s="1" t="s">
        <v>391</v>
      </c>
      <c r="B11" s="1">
        <v>-0.35411937455045239</v>
      </c>
      <c r="C11" s="1">
        <v>-2.566548336257032</v>
      </c>
      <c r="D11" s="1">
        <v>3.5200304194460852</v>
      </c>
      <c r="E11" s="1">
        <v>3.3493630876447398</v>
      </c>
      <c r="F11" s="1">
        <v>2.5060430121030008</v>
      </c>
      <c r="G11" s="1">
        <v>-2.0765820205605712</v>
      </c>
      <c r="H11" s="1">
        <v>-2.229852260695095</v>
      </c>
      <c r="I11" s="1"/>
      <c r="J11" s="1"/>
      <c r="K11" s="8">
        <v>0.75560109684582899</v>
      </c>
      <c r="L11" s="9">
        <v>10</v>
      </c>
      <c r="M11" s="3">
        <v>0.93008937672037084</v>
      </c>
      <c r="N11" s="1"/>
      <c r="O11" s="1"/>
      <c r="P11">
        <v>7.1296192856800005E-5</v>
      </c>
      <c r="Q11">
        <v>2.5007968894815002E-3</v>
      </c>
      <c r="R11">
        <v>-4.5834521216521996E-3</v>
      </c>
      <c r="S11">
        <v>1.0425588400413599E-2</v>
      </c>
      <c r="T11">
        <v>5.1583965353997003E-3</v>
      </c>
      <c r="U11">
        <v>3.5418994294324998E-3</v>
      </c>
      <c r="V11">
        <v>5.1985372291300999E-3</v>
      </c>
      <c r="W11">
        <v>1.7810960068991E-3</v>
      </c>
      <c r="X11">
        <v>-1.7914124048896999E-3</v>
      </c>
      <c r="Y11">
        <v>2.4395955273315201E-2</v>
      </c>
      <c r="AA11" s="4">
        <f t="shared" si="0"/>
        <v>5.856061143425036E-5</v>
      </c>
    </row>
    <row r="12" spans="1:27" x14ac:dyDescent="0.25">
      <c r="A12" s="1" t="s">
        <v>458</v>
      </c>
      <c r="B12" s="1">
        <v>-0.34728058023226732</v>
      </c>
      <c r="C12" s="1">
        <v>-0.45102966091577251</v>
      </c>
      <c r="D12" s="1">
        <v>-3.0317311904490478</v>
      </c>
      <c r="E12" s="1">
        <v>4.2131709565250031</v>
      </c>
      <c r="F12" s="1">
        <v>1.1117872621937059</v>
      </c>
      <c r="G12" s="1">
        <v>2.7033798393636741</v>
      </c>
      <c r="H12" s="1">
        <v>-1.3905662846404701</v>
      </c>
      <c r="I12" s="1">
        <v>-0.70456406784123515</v>
      </c>
      <c r="J12" s="1"/>
      <c r="K12" s="8">
        <v>0.743434586178499</v>
      </c>
      <c r="L12" s="9">
        <v>11</v>
      </c>
      <c r="M12" s="3">
        <v>0.72306967803544064</v>
      </c>
      <c r="N12" s="1"/>
      <c r="O12" s="1"/>
      <c r="P12">
        <v>9.9081437587869993E-4</v>
      </c>
      <c r="Q12">
        <v>7.7552509180073004E-3</v>
      </c>
      <c r="R12">
        <v>1.5246130077761001E-2</v>
      </c>
      <c r="S12">
        <v>2.6360157729932901E-2</v>
      </c>
      <c r="T12">
        <v>1.09998527656623E-2</v>
      </c>
      <c r="U12">
        <v>5.7213861590259003E-3</v>
      </c>
      <c r="V12">
        <v>5.7115585984102001E-3</v>
      </c>
      <c r="W12">
        <v>1.01724227898424E-2</v>
      </c>
      <c r="X12">
        <v>-2.0324973557021E-3</v>
      </c>
      <c r="Y12">
        <v>2.0555458714541501E-2</v>
      </c>
      <c r="AA12" s="4">
        <f t="shared" si="0"/>
        <v>6.7508716998641237E-5</v>
      </c>
    </row>
    <row r="13" spans="1:27" x14ac:dyDescent="0.25">
      <c r="A13" s="1" t="s">
        <v>389</v>
      </c>
      <c r="B13" s="1">
        <v>-0.56575731660484163</v>
      </c>
      <c r="C13" s="1">
        <v>-5.9801367690983893</v>
      </c>
      <c r="D13" s="1">
        <v>7.3893931669528206</v>
      </c>
      <c r="E13" s="1">
        <v>4.2234409652971854</v>
      </c>
      <c r="F13" s="1">
        <v>2.2157160726498861</v>
      </c>
      <c r="G13" s="1">
        <v>-1.791327799475132</v>
      </c>
      <c r="H13" s="1">
        <v>-2.9011474490714049</v>
      </c>
      <c r="I13" s="1"/>
      <c r="J13" s="1"/>
      <c r="K13" s="8">
        <v>0.68889134528085805</v>
      </c>
      <c r="L13" s="9">
        <v>12</v>
      </c>
      <c r="M13" s="3">
        <v>0.99142877280429653</v>
      </c>
      <c r="N13" s="1"/>
      <c r="O13" s="1"/>
      <c r="P13">
        <v>-9.9724700017129997E-4</v>
      </c>
      <c r="Q13">
        <v>-1.6469586547109401E-2</v>
      </c>
      <c r="R13">
        <v>-5.1298760241451002E-3</v>
      </c>
      <c r="S13">
        <v>-1.4849174243009199E-2</v>
      </c>
      <c r="T13">
        <v>-2.0175248269537399E-2</v>
      </c>
      <c r="U13">
        <v>-3.1717494124279999E-4</v>
      </c>
      <c r="V13">
        <v>-1.8414928791448001E-3</v>
      </c>
      <c r="W13">
        <v>-2.11858492851771E-2</v>
      </c>
      <c r="X13">
        <v>-1.5996614566867E-3</v>
      </c>
      <c r="Y13">
        <v>3.7152443003809999E-4</v>
      </c>
      <c r="AA13" s="4">
        <f t="shared" si="0"/>
        <v>7.0554303289634878E-5</v>
      </c>
    </row>
    <row r="14" spans="1:27" x14ac:dyDescent="0.25">
      <c r="A14" s="1" t="s">
        <v>486</v>
      </c>
      <c r="B14" s="1">
        <v>-0.29018051774785181</v>
      </c>
      <c r="C14" s="1">
        <v>-0.98775579125705493</v>
      </c>
      <c r="D14" s="1">
        <v>-1.3117608546468491</v>
      </c>
      <c r="E14" s="1">
        <v>1.3429726275456839</v>
      </c>
      <c r="F14" s="1">
        <v>1.0878720776016131</v>
      </c>
      <c r="G14" s="1">
        <v>-1.2455286124193621</v>
      </c>
      <c r="H14" s="1">
        <v>0.45126854917551468</v>
      </c>
      <c r="I14" s="1">
        <v>0.69742061884220874</v>
      </c>
      <c r="J14" s="1"/>
      <c r="K14" s="8">
        <v>0.757787800326157</v>
      </c>
      <c r="L14" s="9">
        <v>13</v>
      </c>
      <c r="M14" s="3">
        <v>0.80244896685013978</v>
      </c>
      <c r="N14" s="1"/>
      <c r="O14" s="1"/>
      <c r="P14">
        <v>3.1554901077410002E-4</v>
      </c>
      <c r="Q14">
        <v>3.857113214591E-3</v>
      </c>
      <c r="R14">
        <v>5.1991779191411999E-3</v>
      </c>
      <c r="S14">
        <v>3.6956843512924E-3</v>
      </c>
      <c r="T14">
        <v>8.4547198274164993E-3</v>
      </c>
      <c r="U14">
        <v>9.8415023120259001E-3</v>
      </c>
      <c r="V14">
        <v>8.6361181144464002E-3</v>
      </c>
      <c r="W14">
        <v>1.24127417065951E-2</v>
      </c>
      <c r="X14">
        <v>-2.02035914256165E-2</v>
      </c>
      <c r="Y14">
        <v>-6.8961648172572E-3</v>
      </c>
      <c r="AA14" s="4">
        <f t="shared" si="0"/>
        <v>8.4433073235405448E-5</v>
      </c>
    </row>
    <row r="15" spans="1:27" x14ac:dyDescent="0.25">
      <c r="A15" s="1" t="s">
        <v>431</v>
      </c>
      <c r="B15" s="1">
        <v>-0.31913236573739823</v>
      </c>
      <c r="C15" s="1">
        <v>-1.5583513617724549</v>
      </c>
      <c r="D15" s="1">
        <v>2.3335692514935902</v>
      </c>
      <c r="E15" s="1">
        <v>7.16445780143939</v>
      </c>
      <c r="F15" s="1">
        <v>-3.3740940652783449</v>
      </c>
      <c r="G15" s="1">
        <v>-3.0458407714993498</v>
      </c>
      <c r="H15" s="1">
        <v>2.689787086175218</v>
      </c>
      <c r="I15" s="1"/>
      <c r="J15" s="1"/>
      <c r="K15" s="8">
        <v>0.67590724188559503</v>
      </c>
      <c r="L15" s="9">
        <v>14</v>
      </c>
      <c r="M15" s="3">
        <v>0.99035256236056901</v>
      </c>
      <c r="N15" s="1"/>
      <c r="O15" s="1"/>
      <c r="P15">
        <v>1.042757276592E-4</v>
      </c>
      <c r="Q15">
        <v>-9.7714790303359E-3</v>
      </c>
      <c r="R15">
        <v>7.7143244476157004E-3</v>
      </c>
      <c r="S15">
        <v>8.0844104311897005E-3</v>
      </c>
      <c r="T15">
        <v>-2.0315332813794499E-2</v>
      </c>
      <c r="U15">
        <v>-3.0788715491437998E-3</v>
      </c>
      <c r="V15">
        <v>-6.9915572742178999E-3</v>
      </c>
      <c r="W15">
        <v>-1.9454342490542498E-2</v>
      </c>
      <c r="X15">
        <v>9.6057846860873996E-3</v>
      </c>
      <c r="Y15">
        <v>5.3533133044719999E-4</v>
      </c>
      <c r="AA15" s="4">
        <f t="shared" si="0"/>
        <v>1.0497869470257228E-4</v>
      </c>
    </row>
    <row r="16" spans="1:27" x14ac:dyDescent="0.25">
      <c r="A16" s="1" t="s">
        <v>484</v>
      </c>
      <c r="B16" s="1">
        <v>-0.37820564991414241</v>
      </c>
      <c r="C16" s="1">
        <v>-0.3260600099995602</v>
      </c>
      <c r="D16" s="1">
        <v>-1.987727853356257</v>
      </c>
      <c r="E16" s="1">
        <v>-3.483713719559383</v>
      </c>
      <c r="F16" s="1">
        <v>3.0098855180818789</v>
      </c>
      <c r="G16" s="1">
        <v>4.9038310821157696</v>
      </c>
      <c r="H16" s="1">
        <v>-4.1776959938453304</v>
      </c>
      <c r="I16" s="1">
        <v>-3.2150975702835431</v>
      </c>
      <c r="J16" s="1"/>
      <c r="K16" s="8">
        <v>0.66129422270919602</v>
      </c>
      <c r="L16" s="9">
        <v>15</v>
      </c>
      <c r="M16" s="3">
        <v>0.68064192853901861</v>
      </c>
      <c r="N16" s="1"/>
      <c r="O16" s="1"/>
      <c r="P16">
        <v>1.0192214941090001E-3</v>
      </c>
      <c r="Q16">
        <v>1.54268582202773E-2</v>
      </c>
      <c r="R16">
        <v>1.00388591253266E-2</v>
      </c>
      <c r="S16">
        <v>2.3257856212077002E-3</v>
      </c>
      <c r="T16">
        <v>-2.0923647666911999E-3</v>
      </c>
      <c r="U16">
        <v>-6.5745858501991003E-3</v>
      </c>
      <c r="V16">
        <v>-2.3238255470601999E-3</v>
      </c>
      <c r="W16">
        <v>-1.0828722831514301E-2</v>
      </c>
      <c r="X16">
        <v>-2.8066158248929999E-2</v>
      </c>
      <c r="Y16">
        <v>-8.1234672171210005E-4</v>
      </c>
      <c r="AA16" s="4">
        <f t="shared" si="0"/>
        <v>1.2559431566864615E-4</v>
      </c>
    </row>
    <row r="17" spans="1:27" x14ac:dyDescent="0.25">
      <c r="A17" s="1" t="s">
        <v>483</v>
      </c>
      <c r="B17" s="1">
        <v>-0.28686399169123622</v>
      </c>
      <c r="C17" s="1">
        <v>-0.91213094160824937</v>
      </c>
      <c r="D17" s="1">
        <v>-1.158439720527578</v>
      </c>
      <c r="E17" s="1">
        <v>1.191343592476984</v>
      </c>
      <c r="F17" s="1">
        <v>1.0169135159423921</v>
      </c>
      <c r="G17" s="1">
        <v>-1.11926200519912</v>
      </c>
      <c r="H17" s="1">
        <v>0.39278356726217051</v>
      </c>
      <c r="I17" s="1">
        <v>0.67448176685802352</v>
      </c>
      <c r="J17" s="1"/>
      <c r="K17" s="8">
        <v>0.78285262703532099</v>
      </c>
      <c r="L17" s="9">
        <v>16</v>
      </c>
      <c r="M17" s="3">
        <v>0.7506286660757433</v>
      </c>
      <c r="N17" s="1"/>
      <c r="O17" s="1"/>
      <c r="P17">
        <v>3.3764818696629999E-4</v>
      </c>
      <c r="Q17">
        <v>3.9543735356914996E-3</v>
      </c>
      <c r="R17">
        <v>6.6588389805064003E-3</v>
      </c>
      <c r="S17">
        <v>5.4911705314827997E-3</v>
      </c>
      <c r="T17">
        <v>8.8448772657299998E-3</v>
      </c>
      <c r="U17">
        <v>1.21206155859306E-2</v>
      </c>
      <c r="V17">
        <v>1.05928123461605E-2</v>
      </c>
      <c r="W17">
        <v>1.4316908282319501E-2</v>
      </c>
      <c r="X17">
        <v>-2.5639689951149999E-2</v>
      </c>
      <c r="Y17">
        <v>-8.3387538867121004E-3</v>
      </c>
      <c r="AA17" s="4">
        <f t="shared" si="0"/>
        <v>1.279186632585181E-4</v>
      </c>
    </row>
    <row r="18" spans="1:27" x14ac:dyDescent="0.25">
      <c r="A18" s="1" t="s">
        <v>459</v>
      </c>
      <c r="B18" s="1">
        <v>-0.28779546337066719</v>
      </c>
      <c r="C18" s="1">
        <v>-0.58176155556886089</v>
      </c>
      <c r="D18" s="1">
        <v>-2.177170305609192</v>
      </c>
      <c r="E18" s="1">
        <v>3.3060535291409718</v>
      </c>
      <c r="F18" s="1">
        <v>1.4676175818530111</v>
      </c>
      <c r="G18" s="1">
        <v>2.235600452483399</v>
      </c>
      <c r="H18" s="1">
        <v>-0.68778627951620841</v>
      </c>
      <c r="I18" s="1">
        <v>-1.2982486574328489</v>
      </c>
      <c r="J18" s="1"/>
      <c r="K18" s="8">
        <v>0.79672674673904698</v>
      </c>
      <c r="L18" s="9">
        <v>17</v>
      </c>
      <c r="M18" s="3">
        <v>0.60240763309890277</v>
      </c>
      <c r="N18" s="1"/>
      <c r="O18" s="1"/>
      <c r="P18">
        <v>8.1687331901950002E-4</v>
      </c>
      <c r="Q18">
        <v>3.2375997765724E-3</v>
      </c>
      <c r="R18">
        <v>1.4271262152009599E-2</v>
      </c>
      <c r="S18">
        <v>2.84826714236696E-2</v>
      </c>
      <c r="T18">
        <v>5.62354493469E-5</v>
      </c>
      <c r="U18">
        <v>1.7741296386572999E-3</v>
      </c>
      <c r="V18">
        <v>5.0157729095388999E-3</v>
      </c>
      <c r="W18">
        <v>-6.0243321384146004E-3</v>
      </c>
      <c r="X18">
        <v>-2.3773317612948001E-3</v>
      </c>
      <c r="Y18">
        <v>2.9931394923278301E-2</v>
      </c>
      <c r="AA18" s="4">
        <f t="shared" si="0"/>
        <v>1.4269546603849033E-4</v>
      </c>
    </row>
    <row r="19" spans="1:27" x14ac:dyDescent="0.25">
      <c r="A19" s="1" t="s">
        <v>480</v>
      </c>
      <c r="B19" s="1">
        <v>-0.43568200474520419</v>
      </c>
      <c r="C19" s="1">
        <v>-1.9254692964147031</v>
      </c>
      <c r="D19" s="1">
        <v>0.94706885983687272</v>
      </c>
      <c r="E19" s="1">
        <v>6.2874874367196201</v>
      </c>
      <c r="F19" s="1">
        <v>-3.4993543395315472</v>
      </c>
      <c r="G19" s="1">
        <v>0.66212050717150506</v>
      </c>
      <c r="H19" s="1">
        <v>-1.46345838880066</v>
      </c>
      <c r="I19" s="1">
        <v>-1.783324851501189</v>
      </c>
      <c r="J19" s="1"/>
      <c r="K19" s="8">
        <v>0.79634570687887296</v>
      </c>
      <c r="L19" s="9">
        <v>18</v>
      </c>
      <c r="M19" s="3">
        <v>0.72601770791125975</v>
      </c>
      <c r="N19" s="1"/>
      <c r="O19" s="1"/>
      <c r="P19">
        <v>-3.3486241131419999E-4</v>
      </c>
      <c r="Q19">
        <v>-1.71974058088467E-2</v>
      </c>
      <c r="R19">
        <v>2.252641896388E-4</v>
      </c>
      <c r="S19">
        <v>4.7660971403719003E-3</v>
      </c>
      <c r="T19">
        <v>-2.37617318555229E-2</v>
      </c>
      <c r="U19">
        <v>-9.7897645828715005E-3</v>
      </c>
      <c r="V19">
        <v>-1.34213281418616E-2</v>
      </c>
      <c r="W19">
        <v>-2.07495334194851E-2</v>
      </c>
      <c r="X19">
        <v>2.59177659456356E-2</v>
      </c>
      <c r="Y19">
        <v>1.2845932168195E-3</v>
      </c>
      <c r="AA19" s="4">
        <f t="shared" si="0"/>
        <v>1.9815987025587921E-4</v>
      </c>
    </row>
    <row r="20" spans="1:27" x14ac:dyDescent="0.25">
      <c r="A20" s="1" t="s">
        <v>481</v>
      </c>
      <c r="B20" s="1">
        <v>-0.35506735358816988</v>
      </c>
      <c r="C20" s="1">
        <v>-0.31102325633392558</v>
      </c>
      <c r="D20" s="1">
        <v>-1.61826408907029</v>
      </c>
      <c r="E20" s="1">
        <v>-2.7301119852740601</v>
      </c>
      <c r="F20" s="1">
        <v>2.5820829363854698</v>
      </c>
      <c r="G20" s="1">
        <v>3.9020666153238008</v>
      </c>
      <c r="H20" s="1">
        <v>-3.3971217230658199</v>
      </c>
      <c r="I20" s="1">
        <v>-2.658774561154289</v>
      </c>
      <c r="J20" s="1"/>
      <c r="K20" s="8">
        <v>0.86429193132377602</v>
      </c>
      <c r="L20" s="9">
        <v>19</v>
      </c>
      <c r="M20" s="3">
        <v>0.56996931103138504</v>
      </c>
      <c r="N20" s="1"/>
      <c r="O20" s="1"/>
      <c r="P20">
        <v>7.7962044574430005E-4</v>
      </c>
      <c r="Q20">
        <v>1.6197144089317599E-2</v>
      </c>
      <c r="R20">
        <v>7.6619308131135001E-3</v>
      </c>
      <c r="S20">
        <v>2.4104386357583999E-3</v>
      </c>
      <c r="T20">
        <v>-6.0365679330306003E-3</v>
      </c>
      <c r="U20">
        <v>-7.5393662222015996E-3</v>
      </c>
      <c r="V20">
        <v>-1.7436020501938999E-3</v>
      </c>
      <c r="W20">
        <v>-1.52549797543978E-2</v>
      </c>
      <c r="X20">
        <v>-3.9386516047385398E-2</v>
      </c>
      <c r="Y20">
        <v>3.94210568087E-4</v>
      </c>
      <c r="AA20" s="4">
        <f t="shared" si="0"/>
        <v>2.0271851074195579E-4</v>
      </c>
    </row>
    <row r="21" spans="1:27" x14ac:dyDescent="0.25">
      <c r="A21" s="1" t="s">
        <v>282</v>
      </c>
      <c r="B21" s="1">
        <v>-1.3909032519785021</v>
      </c>
      <c r="C21" s="1">
        <v>2.1465497631064498</v>
      </c>
      <c r="D21" s="1">
        <v>2.471743068988896</v>
      </c>
      <c r="E21" s="1">
        <v>-3.0603521708761598</v>
      </c>
      <c r="F21" s="1">
        <v>2.6243257885800322</v>
      </c>
      <c r="G21" s="1">
        <v>2.1027194739648771</v>
      </c>
      <c r="H21" s="1"/>
      <c r="I21" s="1"/>
      <c r="J21" s="1"/>
      <c r="K21" s="8">
        <v>0.81147448029492797</v>
      </c>
      <c r="L21" s="9">
        <v>20</v>
      </c>
      <c r="M21" s="3">
        <v>0.92948158652986834</v>
      </c>
      <c r="N21" s="1"/>
      <c r="O21" s="1"/>
      <c r="P21">
        <v>1.7625139988568001E-3</v>
      </c>
      <c r="Q21">
        <v>1.7370172053055799E-2</v>
      </c>
      <c r="R21">
        <v>1.1506088561559401E-2</v>
      </c>
      <c r="S21">
        <v>2.0853526210973701E-2</v>
      </c>
      <c r="T21">
        <v>2.1557362554163999E-2</v>
      </c>
      <c r="U21">
        <v>-1.8129874610769E-3</v>
      </c>
      <c r="V21">
        <v>1.0475702314855199E-2</v>
      </c>
      <c r="W21">
        <v>6.2930996346049995E-4</v>
      </c>
      <c r="X21">
        <v>-3.1296244352128098E-2</v>
      </c>
      <c r="Y21">
        <v>1.71260755440058E-2</v>
      </c>
      <c r="AA21" s="4">
        <f t="shared" si="0"/>
        <v>2.2582539045364002E-4</v>
      </c>
    </row>
    <row r="22" spans="1:27" x14ac:dyDescent="0.25">
      <c r="A22" s="1" t="s">
        <v>487</v>
      </c>
      <c r="B22" s="1">
        <v>-0.25703450026517022</v>
      </c>
      <c r="C22" s="1">
        <v>-0.74837499433096122</v>
      </c>
      <c r="D22" s="1">
        <v>-1.415302180733955</v>
      </c>
      <c r="E22" s="1">
        <v>0.74312421776213999</v>
      </c>
      <c r="F22" s="1">
        <v>0.58286574765536947</v>
      </c>
      <c r="G22" s="1">
        <v>1.3370104847940161</v>
      </c>
      <c r="H22" s="1">
        <v>-1.1355944097306001</v>
      </c>
      <c r="I22" s="1">
        <v>-1.0987968494390721</v>
      </c>
      <c r="J22" s="1"/>
      <c r="K22" s="8">
        <v>0.57383352273092403</v>
      </c>
      <c r="L22" s="9">
        <v>21</v>
      </c>
      <c r="M22" s="3">
        <v>0.6507664077012254</v>
      </c>
      <c r="N22" s="1"/>
      <c r="O22" s="1"/>
      <c r="P22">
        <v>1.6927269024089999E-4</v>
      </c>
      <c r="Q22">
        <v>3.4121836284156E-3</v>
      </c>
      <c r="R22">
        <v>8.2750821018777003E-3</v>
      </c>
      <c r="S22">
        <v>-5.9194565788896003E-3</v>
      </c>
      <c r="T22">
        <v>-1.195400987544E-3</v>
      </c>
      <c r="U22">
        <v>2.2080969709530201E-2</v>
      </c>
      <c r="V22">
        <v>2.75226217334009E-2</v>
      </c>
      <c r="W22">
        <v>3.5330144269526001E-3</v>
      </c>
      <c r="X22">
        <v>-3.2863664105071203E-2</v>
      </c>
      <c r="Y22">
        <v>-7.0504649284802001E-3</v>
      </c>
      <c r="AA22" s="4">
        <f t="shared" si="0"/>
        <v>2.4716220831610036E-4</v>
      </c>
    </row>
    <row r="23" spans="1:27" x14ac:dyDescent="0.25">
      <c r="A23" s="1" t="s">
        <v>363</v>
      </c>
      <c r="B23" s="1">
        <v>-1.677935867221215</v>
      </c>
      <c r="C23" s="1">
        <v>1.41625636515027</v>
      </c>
      <c r="D23" s="1">
        <v>0.64102350823563892</v>
      </c>
      <c r="E23" s="1">
        <v>1.0980676772481519</v>
      </c>
      <c r="F23" s="1">
        <v>2.5822718427162932</v>
      </c>
      <c r="G23" s="1">
        <v>-0.92241106591437605</v>
      </c>
      <c r="H23" s="1">
        <v>-2.711690424912633</v>
      </c>
      <c r="I23" s="1"/>
      <c r="J23" s="1"/>
      <c r="K23" s="8">
        <v>0.72559528402916595</v>
      </c>
      <c r="L23" s="9">
        <v>22</v>
      </c>
      <c r="M23" s="3">
        <v>0.93273414114997388</v>
      </c>
      <c r="N23" s="1"/>
      <c r="O23" s="1"/>
      <c r="P23">
        <v>6.1327450250540005E-4</v>
      </c>
      <c r="Q23">
        <v>1.8232797606191498E-2</v>
      </c>
      <c r="R23">
        <v>1.3784604140860001E-3</v>
      </c>
      <c r="S23">
        <v>-1.6274923729527001E-3</v>
      </c>
      <c r="T23">
        <v>3.00271349216207E-2</v>
      </c>
      <c r="U23">
        <v>1.5093474406039999E-4</v>
      </c>
      <c r="V23">
        <v>2.4181155931605001E-3</v>
      </c>
      <c r="W23">
        <v>2.48904740210492E-2</v>
      </c>
      <c r="X23">
        <v>-6.8161773494831001E-3</v>
      </c>
      <c r="Y23">
        <v>-2.89563233359444E-2</v>
      </c>
      <c r="AA23" s="4">
        <f t="shared" si="0"/>
        <v>2.5868241519887478E-4</v>
      </c>
    </row>
    <row r="24" spans="1:27" x14ac:dyDescent="0.25">
      <c r="A24" s="1" t="s">
        <v>461</v>
      </c>
      <c r="B24" s="1">
        <v>-0.20491190142881599</v>
      </c>
      <c r="C24" s="1">
        <v>-0.36162701626899652</v>
      </c>
      <c r="D24" s="1">
        <v>-0.46063329460024788</v>
      </c>
      <c r="E24" s="1">
        <v>1.600160174125409</v>
      </c>
      <c r="F24" s="1">
        <v>2.2714071795980399</v>
      </c>
      <c r="G24" s="1">
        <v>-0.86743505966503698</v>
      </c>
      <c r="H24" s="1">
        <v>-1.8411024182976721</v>
      </c>
      <c r="I24" s="1">
        <v>-2.1539581733519539</v>
      </c>
      <c r="J24" s="1"/>
      <c r="K24" s="8">
        <v>0.65335951031397599</v>
      </c>
      <c r="L24" s="9">
        <v>23</v>
      </c>
      <c r="M24" s="3">
        <v>0.67582937002005616</v>
      </c>
      <c r="N24" s="1"/>
      <c r="O24" s="1"/>
      <c r="P24">
        <v>-5.5640114387859999E-4</v>
      </c>
      <c r="Q24">
        <v>-1.52220688504629E-2</v>
      </c>
      <c r="R24">
        <v>-7.1165924937728001E-3</v>
      </c>
      <c r="S24">
        <v>-6.0923892181822996E-3</v>
      </c>
      <c r="T24">
        <v>-3.21770941512452E-2</v>
      </c>
      <c r="U24">
        <v>-3.437350034492E-3</v>
      </c>
      <c r="V24">
        <v>2.9227409814198998E-3</v>
      </c>
      <c r="W24">
        <v>-3.5139727471597E-2</v>
      </c>
      <c r="X24">
        <v>-5.4253671657719001E-3</v>
      </c>
      <c r="Y24">
        <v>2.5027314455170899E-2</v>
      </c>
      <c r="AA24" s="4">
        <f t="shared" si="0"/>
        <v>2.6698632535383804E-4</v>
      </c>
    </row>
    <row r="25" spans="1:27" x14ac:dyDescent="0.25">
      <c r="A25" s="1" t="s">
        <v>387</v>
      </c>
      <c r="B25" s="1">
        <v>-0.44706341626981078</v>
      </c>
      <c r="C25" s="1">
        <v>-1.730827700761195</v>
      </c>
      <c r="D25" s="1">
        <v>1.806037002924634</v>
      </c>
      <c r="E25" s="1">
        <v>4.5888591971096986</v>
      </c>
      <c r="F25" s="1">
        <v>-1.8186255967980409</v>
      </c>
      <c r="G25" s="1">
        <v>-3.4777382992392281</v>
      </c>
      <c r="H25" s="1">
        <v>-5.510845123921702</v>
      </c>
      <c r="I25" s="1"/>
      <c r="J25" s="1"/>
      <c r="K25" s="8">
        <v>0.86236214636275799</v>
      </c>
      <c r="L25" s="9">
        <v>24</v>
      </c>
      <c r="M25" s="3">
        <v>0.93425399770073236</v>
      </c>
      <c r="N25" s="1"/>
      <c r="O25" s="1"/>
      <c r="P25">
        <v>1.3924806647252E-3</v>
      </c>
      <c r="Q25">
        <v>1.7326648699761901E-2</v>
      </c>
      <c r="R25">
        <v>2.0031862384463001E-3</v>
      </c>
      <c r="S25">
        <v>-3.4679809707149998E-4</v>
      </c>
      <c r="T25">
        <v>5.0594096756647798E-2</v>
      </c>
      <c r="U25">
        <v>7.6492019270030004E-4</v>
      </c>
      <c r="V25">
        <v>2.0725500555437001E-3</v>
      </c>
      <c r="W25">
        <v>2.9003474163621399E-2</v>
      </c>
      <c r="X25">
        <v>-3.7193281349762E-3</v>
      </c>
      <c r="Y25">
        <v>2.3905262559892799E-2</v>
      </c>
      <c r="AA25" s="4">
        <f t="shared" si="0"/>
        <v>2.7846107367680828E-4</v>
      </c>
    </row>
    <row r="26" spans="1:27" x14ac:dyDescent="0.25">
      <c r="A26" s="1" t="s">
        <v>395</v>
      </c>
      <c r="B26" s="1">
        <v>-0.21827705970027511</v>
      </c>
      <c r="C26" s="1">
        <v>-0.54170426796481985</v>
      </c>
      <c r="D26" s="1">
        <v>2.7988688025391482</v>
      </c>
      <c r="E26" s="1">
        <v>2.0201668750995321</v>
      </c>
      <c r="F26" s="1">
        <v>-1.8667268018982699</v>
      </c>
      <c r="G26" s="1">
        <v>-2.0035498212688112</v>
      </c>
      <c r="H26" s="1">
        <v>-1.617296425855224</v>
      </c>
      <c r="I26" s="1"/>
      <c r="J26" s="1"/>
      <c r="K26" s="8">
        <v>0.76567791392459805</v>
      </c>
      <c r="L26" s="9">
        <v>25</v>
      </c>
      <c r="M26" s="3">
        <v>0.74244149323312658</v>
      </c>
      <c r="N26" s="1"/>
      <c r="O26" s="1"/>
      <c r="P26">
        <v>-1.1081871031411001E-3</v>
      </c>
      <c r="Q26">
        <v>1.9266482574363902E-2</v>
      </c>
      <c r="R26">
        <v>-1.82612924259117E-2</v>
      </c>
      <c r="S26">
        <v>9.3001773364019998E-3</v>
      </c>
      <c r="T26">
        <v>-3.0454678710355499E-2</v>
      </c>
      <c r="U26">
        <v>-9.0537231703020004E-4</v>
      </c>
      <c r="V26">
        <v>3.9117690684876E-3</v>
      </c>
      <c r="W26">
        <v>-4.30101511151363E-2</v>
      </c>
      <c r="X26">
        <v>-5.4165195513874E-3</v>
      </c>
      <c r="Y26">
        <v>-1.2155201236856501E-2</v>
      </c>
      <c r="AA26" s="4">
        <f t="shared" si="0"/>
        <v>3.1414995499527736E-4</v>
      </c>
    </row>
    <row r="27" spans="1:27" x14ac:dyDescent="0.25">
      <c r="A27" s="1" t="s">
        <v>364</v>
      </c>
      <c r="B27" s="1">
        <v>-0.96903017080281861</v>
      </c>
      <c r="C27" s="1">
        <v>1.0860179320829639</v>
      </c>
      <c r="D27" s="1">
        <v>3.603738255866392</v>
      </c>
      <c r="E27" s="1">
        <v>0.98571906738449655</v>
      </c>
      <c r="F27" s="1">
        <v>1.286220476837111</v>
      </c>
      <c r="G27" s="1">
        <v>-3.0739901205946292</v>
      </c>
      <c r="H27" s="1">
        <v>-1.7925614148491971</v>
      </c>
      <c r="I27" s="1"/>
      <c r="J27" s="1"/>
      <c r="K27" s="8">
        <v>0.73688588214294104</v>
      </c>
      <c r="L27" s="9">
        <v>26</v>
      </c>
      <c r="M27" s="3">
        <v>0.756197264055957</v>
      </c>
      <c r="N27" s="1"/>
      <c r="O27" s="1"/>
      <c r="P27">
        <v>-1.9910935183037998E-3</v>
      </c>
      <c r="Q27">
        <v>-3.48387541126714E-2</v>
      </c>
      <c r="R27">
        <v>-1.94083774500644E-2</v>
      </c>
      <c r="S27">
        <v>-2.28161299484579E-2</v>
      </c>
      <c r="T27">
        <v>-4.5451751287661199E-2</v>
      </c>
      <c r="U27">
        <v>-1.85085105275524E-2</v>
      </c>
      <c r="V27">
        <v>-1.37016727066485E-2</v>
      </c>
      <c r="W27">
        <v>-4.0939313192319103E-2</v>
      </c>
      <c r="X27">
        <v>-7.1817809207713301E-2</v>
      </c>
      <c r="Y27">
        <v>-1.8299219054006399E-2</v>
      </c>
      <c r="AA27" s="4">
        <f t="shared" si="0"/>
        <v>3.5985044210788366E-4</v>
      </c>
    </row>
    <row r="28" spans="1:27" x14ac:dyDescent="0.25">
      <c r="A28" s="1" t="s">
        <v>355</v>
      </c>
      <c r="B28" s="1">
        <v>-0.87726487204493209</v>
      </c>
      <c r="C28" s="1">
        <v>0.9986061731015432</v>
      </c>
      <c r="D28" s="1">
        <v>3.4279246744935938</v>
      </c>
      <c r="E28" s="1">
        <v>0.959889747970051</v>
      </c>
      <c r="F28" s="1">
        <v>1.230933798418373</v>
      </c>
      <c r="G28" s="1">
        <v>-2.9325941145249641</v>
      </c>
      <c r="H28" s="1">
        <v>-1.6883080517394231</v>
      </c>
      <c r="I28" s="1"/>
      <c r="J28" s="1"/>
      <c r="K28" s="8">
        <v>0.65260525932573799</v>
      </c>
      <c r="L28" s="9">
        <v>27</v>
      </c>
      <c r="M28" s="3">
        <v>0.71871414594590854</v>
      </c>
      <c r="N28" s="1"/>
      <c r="O28" s="1"/>
      <c r="P28">
        <v>-1.6360566385464001E-3</v>
      </c>
      <c r="Q28">
        <v>-2.63792815202629E-2</v>
      </c>
      <c r="R28">
        <v>-1.789108958476E-2</v>
      </c>
      <c r="S28">
        <v>-2.22699923225281E-2</v>
      </c>
      <c r="T28">
        <v>-3.1505980660760699E-2</v>
      </c>
      <c r="U28">
        <v>-1.9249785895263799E-2</v>
      </c>
      <c r="V28">
        <v>-1.45822739052826E-2</v>
      </c>
      <c r="W28">
        <v>-3.1663228564109899E-2</v>
      </c>
      <c r="X28">
        <v>-7.9480423362434494E-2</v>
      </c>
      <c r="Y28">
        <v>-2.67479524801956E-2</v>
      </c>
      <c r="AA28" s="4">
        <f t="shared" si="0"/>
        <v>3.7594361006375776E-4</v>
      </c>
    </row>
    <row r="29" spans="1:27" x14ac:dyDescent="0.25">
      <c r="A29" s="1" t="s">
        <v>464</v>
      </c>
      <c r="B29" s="1">
        <v>-0.20608812183672059</v>
      </c>
      <c r="C29" s="1">
        <v>-0.36415934192658661</v>
      </c>
      <c r="D29" s="1">
        <v>-0.48165201761595139</v>
      </c>
      <c r="E29" s="1">
        <v>1.659149954922347</v>
      </c>
      <c r="F29" s="1">
        <v>2.345706332055066</v>
      </c>
      <c r="G29" s="1">
        <v>-0.89482236305720586</v>
      </c>
      <c r="H29" s="1">
        <v>-1.9319494418404699</v>
      </c>
      <c r="I29" s="1">
        <v>-2.2420375551886589</v>
      </c>
      <c r="J29" s="1"/>
      <c r="K29" s="8">
        <v>0.71996904147514096</v>
      </c>
      <c r="L29" s="9">
        <v>28</v>
      </c>
      <c r="M29" s="3">
        <v>0.63601653754895393</v>
      </c>
      <c r="N29" s="1"/>
      <c r="O29" s="1"/>
      <c r="P29">
        <v>-7.3403160878669999E-4</v>
      </c>
      <c r="Q29">
        <v>-1.99438317809397E-2</v>
      </c>
      <c r="R29">
        <v>-9.1550690654495E-3</v>
      </c>
      <c r="S29">
        <v>-6.9140798702605998E-3</v>
      </c>
      <c r="T29">
        <v>-4.0600353952764602E-2</v>
      </c>
      <c r="U29">
        <v>-3.6814866414636E-3</v>
      </c>
      <c r="V29">
        <v>3.2182457585799001E-3</v>
      </c>
      <c r="W29">
        <v>-4.1670588391384197E-2</v>
      </c>
      <c r="X29">
        <v>-6.2865741371839999E-3</v>
      </c>
      <c r="Y29">
        <v>2.8162532034903501E-2</v>
      </c>
      <c r="AA29" s="4">
        <f t="shared" si="0"/>
        <v>3.8186231294177E-4</v>
      </c>
    </row>
    <row r="30" spans="1:27" x14ac:dyDescent="0.25">
      <c r="A30" s="1" t="s">
        <v>402</v>
      </c>
      <c r="B30" s="1">
        <v>-0.21846709896690511</v>
      </c>
      <c r="C30" s="1">
        <v>-0.55352382402112255</v>
      </c>
      <c r="D30" s="1">
        <v>2.875132517818678</v>
      </c>
      <c r="E30" s="1">
        <v>2.0746472446654929</v>
      </c>
      <c r="F30" s="1">
        <v>-1.916390778113066</v>
      </c>
      <c r="G30" s="1">
        <v>-2.0724133176784858</v>
      </c>
      <c r="H30" s="1">
        <v>-1.6636720351787311</v>
      </c>
      <c r="I30" s="1"/>
      <c r="J30" s="1"/>
      <c r="K30" s="8">
        <v>0.74865617330404099</v>
      </c>
      <c r="L30" s="9">
        <v>29</v>
      </c>
      <c r="M30" s="3">
        <v>0.68096930218422058</v>
      </c>
      <c r="N30" s="1"/>
      <c r="O30" s="1"/>
      <c r="P30">
        <v>-1.1871582136783001E-3</v>
      </c>
      <c r="Q30">
        <v>1.8964236150999601E-2</v>
      </c>
      <c r="R30">
        <v>-1.9730105813540399E-2</v>
      </c>
      <c r="S30">
        <v>1.57214871868359E-2</v>
      </c>
      <c r="T30">
        <v>-3.7390778643755597E-2</v>
      </c>
      <c r="U30">
        <v>-6.560264274941E-4</v>
      </c>
      <c r="V30">
        <v>4.1564862171635996E-3</v>
      </c>
      <c r="W30">
        <v>-4.9150147131281102E-2</v>
      </c>
      <c r="X30">
        <v>-6.1239061451495002E-3</v>
      </c>
      <c r="Y30">
        <v>-1.0338412140384799E-2</v>
      </c>
      <c r="AA30" s="4">
        <f t="shared" si="0"/>
        <v>4.238355415573967E-4</v>
      </c>
    </row>
    <row r="31" spans="1:27" x14ac:dyDescent="0.25">
      <c r="A31" s="1" t="s">
        <v>354</v>
      </c>
      <c r="B31" s="1">
        <v>-1.4636638165552951</v>
      </c>
      <c r="C31" s="1">
        <v>1.240367924162723</v>
      </c>
      <c r="D31" s="1">
        <v>0.56943746562461117</v>
      </c>
      <c r="E31" s="1">
        <v>1.0370575775122779</v>
      </c>
      <c r="F31" s="1">
        <v>2.3705731887112069</v>
      </c>
      <c r="G31" s="1">
        <v>-0.80560401933906567</v>
      </c>
      <c r="H31" s="1">
        <v>-2.483819302921678</v>
      </c>
      <c r="I31" s="1"/>
      <c r="J31" s="1"/>
      <c r="K31" s="8">
        <v>0.75265717798237397</v>
      </c>
      <c r="L31" s="9">
        <v>30</v>
      </c>
      <c r="M31" s="3">
        <v>0.87576732752300213</v>
      </c>
      <c r="N31" s="1"/>
      <c r="O31" s="1"/>
      <c r="P31">
        <v>6.3954906982660001E-4</v>
      </c>
      <c r="Q31">
        <v>2.2670019987876499E-2</v>
      </c>
      <c r="R31">
        <v>1.4679892403321E-3</v>
      </c>
      <c r="S31">
        <v>-3.1413163442157001E-3</v>
      </c>
      <c r="T31">
        <v>4.2693703277002899E-2</v>
      </c>
      <c r="U31">
        <v>5.1520413626526002E-3</v>
      </c>
      <c r="V31">
        <v>6.6162420677700999E-3</v>
      </c>
      <c r="W31">
        <v>3.7411362696766301E-2</v>
      </c>
      <c r="X31">
        <v>-2.2978263337690898E-2</v>
      </c>
      <c r="Y31">
        <v>-4.2750709850080899E-2</v>
      </c>
      <c r="AA31" s="4">
        <f t="shared" si="0"/>
        <v>5.9463672691122333E-4</v>
      </c>
    </row>
    <row r="32" spans="1:27" x14ac:dyDescent="0.25">
      <c r="A32" s="1" t="s">
        <v>366</v>
      </c>
      <c r="B32" s="1">
        <v>-2.1866337269569249</v>
      </c>
      <c r="C32" s="1">
        <v>2.2984117854619841</v>
      </c>
      <c r="D32" s="1">
        <v>-5.5213332242099789</v>
      </c>
      <c r="E32" s="1">
        <v>4.4147969578487336</v>
      </c>
      <c r="F32" s="1">
        <v>1.5676701182677539</v>
      </c>
      <c r="G32" s="1">
        <v>1.7790576048985629</v>
      </c>
      <c r="H32" s="1">
        <v>1.971062601610565</v>
      </c>
      <c r="I32" s="1"/>
      <c r="J32" s="1"/>
      <c r="K32" s="8">
        <v>0.80057459556361599</v>
      </c>
      <c r="L32" s="9">
        <v>31</v>
      </c>
      <c r="M32" s="3">
        <v>0.92366180927910158</v>
      </c>
      <c r="N32" s="1"/>
      <c r="O32" s="1"/>
      <c r="P32">
        <v>5.3455057890816997E-3</v>
      </c>
      <c r="Q32">
        <v>2.26231173087642E-2</v>
      </c>
      <c r="R32">
        <v>7.6691059481261106E-2</v>
      </c>
      <c r="S32">
        <v>7.0756271909340002E-2</v>
      </c>
      <c r="T32">
        <v>1.7710128265136599E-2</v>
      </c>
      <c r="U32">
        <v>-3.9287488895318997E-3</v>
      </c>
      <c r="V32">
        <v>-4.3659988215174004E-3</v>
      </c>
      <c r="W32">
        <v>1.25793006635978E-2</v>
      </c>
      <c r="X32">
        <v>3.7982679287545998E-3</v>
      </c>
      <c r="Y32">
        <v>1.5667676303369502E-2</v>
      </c>
      <c r="AA32" s="4">
        <f t="shared" si="0"/>
        <v>7.4910907771075588E-4</v>
      </c>
    </row>
    <row r="33" spans="1:27" x14ac:dyDescent="0.25">
      <c r="A33" s="1" t="s">
        <v>370</v>
      </c>
      <c r="B33" s="1">
        <v>-0.59896323234112292</v>
      </c>
      <c r="C33" s="1">
        <v>-1.3572543953210821</v>
      </c>
      <c r="D33" s="1">
        <v>2.2828353761119691</v>
      </c>
      <c r="E33" s="1">
        <v>-1.228084811350366</v>
      </c>
      <c r="F33" s="1">
        <v>1.9453612397871569</v>
      </c>
      <c r="G33" s="1">
        <v>-2.0142065437827101</v>
      </c>
      <c r="H33" s="1">
        <v>0.80291245765880781</v>
      </c>
      <c r="I33" s="1"/>
      <c r="J33" s="1"/>
      <c r="K33" s="8">
        <v>0.87655910332859399</v>
      </c>
      <c r="L33" s="9">
        <v>32</v>
      </c>
      <c r="M33" s="3">
        <v>0.45483383074542522</v>
      </c>
      <c r="N33" s="1"/>
      <c r="O33" s="1"/>
      <c r="P33">
        <v>-1.5096887040835E-3</v>
      </c>
      <c r="Q33">
        <v>-4.22147534873887E-2</v>
      </c>
      <c r="R33">
        <v>-1.7927340939071501E-2</v>
      </c>
      <c r="S33">
        <v>-2.4085288429456501E-2</v>
      </c>
      <c r="T33">
        <v>-5.4839388327934897E-2</v>
      </c>
      <c r="U33">
        <v>1.2431324940311E-3</v>
      </c>
      <c r="V33">
        <v>-9.4322770816752007E-3</v>
      </c>
      <c r="W33">
        <v>-5.4869546652885001E-2</v>
      </c>
      <c r="X33">
        <v>1.02600456221485E-2</v>
      </c>
      <c r="Y33">
        <v>-8.4608465524521004E-2</v>
      </c>
      <c r="AA33" s="4">
        <f t="shared" si="0"/>
        <v>8.3307685335554365E-4</v>
      </c>
    </row>
    <row r="34" spans="1:27" x14ac:dyDescent="0.25">
      <c r="A34" s="1" t="s">
        <v>154</v>
      </c>
      <c r="B34" s="1">
        <v>-1.1328236025340239</v>
      </c>
      <c r="C34" s="1">
        <v>3.027895043816923</v>
      </c>
      <c r="D34" s="1">
        <v>4.8581010217361253</v>
      </c>
      <c r="E34" s="1">
        <v>-3.67659214588044</v>
      </c>
      <c r="F34" s="1">
        <v>3.5885753933825688</v>
      </c>
      <c r="G34" s="1"/>
      <c r="H34" s="1"/>
      <c r="I34" s="1"/>
      <c r="J34" s="1"/>
      <c r="K34" s="8">
        <v>0.90437817732780401</v>
      </c>
      <c r="L34" s="9">
        <v>33</v>
      </c>
      <c r="M34" s="3">
        <v>0.99696668917794118</v>
      </c>
      <c r="N34" s="1"/>
      <c r="O34" s="1"/>
      <c r="P34">
        <v>-2.2756773829207002E-3</v>
      </c>
      <c r="Q34">
        <v>-2.5243904618961501E-2</v>
      </c>
      <c r="R34">
        <v>-1.6492877000907999E-3</v>
      </c>
      <c r="S34">
        <v>6.7668535629484003E-3</v>
      </c>
      <c r="T34">
        <v>-7.7079489944767293E-2</v>
      </c>
      <c r="U34">
        <v>5.9086304206623997E-3</v>
      </c>
      <c r="V34">
        <v>-1.6240551722772899E-2</v>
      </c>
      <c r="W34">
        <v>-7.1863666472982105E-2</v>
      </c>
      <c r="X34">
        <v>3.1023048353903998E-3</v>
      </c>
      <c r="Y34">
        <v>-2.2200319378919999E-4</v>
      </c>
      <c r="AA34" s="4">
        <f t="shared" ref="AA34:AA65" si="1">_xlfn.COVARIANCE.P(P34:Y34,P34:Y34)</f>
        <v>8.908089937806656E-4</v>
      </c>
    </row>
    <row r="35" spans="1:27" x14ac:dyDescent="0.25">
      <c r="A35" s="1" t="s">
        <v>248</v>
      </c>
      <c r="B35" s="1">
        <v>0.57449617928635355</v>
      </c>
      <c r="C35" s="1">
        <v>6.1827508158226117</v>
      </c>
      <c r="D35" s="1">
        <v>0.88370529162556299</v>
      </c>
      <c r="E35" s="1">
        <v>-5.814523110402825</v>
      </c>
      <c r="F35" s="1">
        <v>-2.4989999814530601</v>
      </c>
      <c r="G35" s="1">
        <v>2.6063924597651611</v>
      </c>
      <c r="H35" s="1"/>
      <c r="I35" s="1"/>
      <c r="J35" s="1"/>
      <c r="K35" s="8">
        <v>0.77631962608106098</v>
      </c>
      <c r="L35" s="9">
        <v>34</v>
      </c>
      <c r="M35" s="3">
        <v>0.77288106209373775</v>
      </c>
      <c r="N35" s="1"/>
      <c r="O35" s="1"/>
      <c r="P35">
        <v>-4.9351541808535003E-3</v>
      </c>
      <c r="Q35">
        <v>-6.0834943381862197E-2</v>
      </c>
      <c r="R35">
        <v>-5.9354189480316302E-2</v>
      </c>
      <c r="S35">
        <v>-2.0834292297807099E-2</v>
      </c>
      <c r="T35">
        <v>-8.72517839672622E-2</v>
      </c>
      <c r="U35">
        <v>-5.90453172846368E-2</v>
      </c>
      <c r="V35">
        <v>-5.0572957017996703E-2</v>
      </c>
      <c r="W35">
        <v>-8.5304542663286506E-2</v>
      </c>
      <c r="X35">
        <v>-8.8661273293374199E-2</v>
      </c>
      <c r="Y35">
        <v>-7.6462907485992998E-3</v>
      </c>
      <c r="AA35" s="4">
        <f t="shared" si="1"/>
        <v>9.0314236210718019E-4</v>
      </c>
    </row>
    <row r="36" spans="1:27" x14ac:dyDescent="0.25">
      <c r="A36" s="1" t="s">
        <v>424</v>
      </c>
      <c r="B36" s="1">
        <v>-0.31571872111444682</v>
      </c>
      <c r="C36" s="1">
        <v>-1.4676321336406271</v>
      </c>
      <c r="D36" s="1">
        <v>2.173506726738748</v>
      </c>
      <c r="E36" s="1">
        <v>6.7351723589370547</v>
      </c>
      <c r="F36" s="1">
        <v>-3.182258334402043</v>
      </c>
      <c r="G36" s="1">
        <v>-2.8347903831453269</v>
      </c>
      <c r="H36" s="1">
        <v>2.510024995788934</v>
      </c>
      <c r="I36" s="1"/>
      <c r="J36" s="1"/>
      <c r="K36" s="8">
        <v>0.6956839145814</v>
      </c>
      <c r="L36" s="9">
        <v>35</v>
      </c>
      <c r="M36" s="3">
        <v>0.96724011899471685</v>
      </c>
      <c r="N36" s="1"/>
      <c r="O36" s="1"/>
      <c r="P36">
        <v>9.3254600871149997E-4</v>
      </c>
      <c r="Q36">
        <v>4.2791177266376698E-2</v>
      </c>
      <c r="R36">
        <v>1.2337236514385001E-3</v>
      </c>
      <c r="S36">
        <v>-9.0487145485897997E-3</v>
      </c>
      <c r="T36">
        <v>7.8587924331850897E-2</v>
      </c>
      <c r="U36">
        <v>1.8767029193557199E-2</v>
      </c>
      <c r="V36">
        <v>2.6960020806326399E-2</v>
      </c>
      <c r="W36">
        <v>7.8566516199801706E-2</v>
      </c>
      <c r="X36">
        <v>6.1403658823744999E-3</v>
      </c>
      <c r="Y36">
        <v>3.9849951120782996E-3</v>
      </c>
      <c r="AA36" s="4">
        <f t="shared" si="1"/>
        <v>9.2008467163121033E-4</v>
      </c>
    </row>
    <row r="37" spans="1:27" x14ac:dyDescent="0.25">
      <c r="A37" s="1" t="s">
        <v>375</v>
      </c>
      <c r="B37" s="1">
        <v>-0.64954597186176577</v>
      </c>
      <c r="C37" s="1">
        <v>-1.527729352059825</v>
      </c>
      <c r="D37" s="1">
        <v>2.4464158535423182</v>
      </c>
      <c r="E37" s="1">
        <v>-1.2467727503342529</v>
      </c>
      <c r="F37" s="1">
        <v>1.9894373172813471</v>
      </c>
      <c r="G37" s="1">
        <v>-2.036522245919056</v>
      </c>
      <c r="H37" s="1">
        <v>0.78398315001304442</v>
      </c>
      <c r="I37" s="1"/>
      <c r="J37" s="1"/>
      <c r="K37" s="8">
        <v>0.812892571008617</v>
      </c>
      <c r="L37" s="9">
        <v>36</v>
      </c>
      <c r="M37" s="3">
        <v>0.40433955316321268</v>
      </c>
      <c r="N37" s="1"/>
      <c r="O37" s="1"/>
      <c r="P37">
        <v>-1.9017418435539001E-3</v>
      </c>
      <c r="Q37">
        <v>-4.6818654343644697E-2</v>
      </c>
      <c r="R37">
        <v>-2.6506951735427199E-2</v>
      </c>
      <c r="S37">
        <v>-2.5569014968738198E-2</v>
      </c>
      <c r="T37">
        <v>-6.3959076392669997E-2</v>
      </c>
      <c r="U37">
        <v>-3.0726640207181998E-3</v>
      </c>
      <c r="V37">
        <v>-1.3765781354567399E-2</v>
      </c>
      <c r="W37">
        <v>-6.7695910031558407E-2</v>
      </c>
      <c r="X37">
        <v>2.4305149906994498E-2</v>
      </c>
      <c r="Y37">
        <v>-7.8503027726689295E-2</v>
      </c>
      <c r="AA37" s="4">
        <f t="shared" si="1"/>
        <v>9.9674226595256E-4</v>
      </c>
    </row>
    <row r="38" spans="1:27" x14ac:dyDescent="0.25">
      <c r="A38" s="1" t="s">
        <v>472</v>
      </c>
      <c r="B38" s="1">
        <v>-0.4817739185223357</v>
      </c>
      <c r="C38" s="1">
        <v>-1.9706897766851641</v>
      </c>
      <c r="D38" s="1">
        <v>2.0644200499947809</v>
      </c>
      <c r="E38" s="1">
        <v>4.707234967181499</v>
      </c>
      <c r="F38" s="1">
        <v>-3.9092935752510578</v>
      </c>
      <c r="G38" s="1">
        <v>1.244060229565215</v>
      </c>
      <c r="H38" s="1">
        <v>-1.776864754107673</v>
      </c>
      <c r="I38" s="1">
        <v>2.2477393035365778</v>
      </c>
      <c r="J38" s="1"/>
      <c r="K38" s="8">
        <v>0.68849426002455105</v>
      </c>
      <c r="L38" s="9">
        <v>37</v>
      </c>
      <c r="M38" s="3">
        <v>0.57852574224514441</v>
      </c>
      <c r="N38" s="1"/>
      <c r="O38" s="1"/>
      <c r="P38">
        <v>-4.2504096101200001E-5</v>
      </c>
      <c r="Q38">
        <v>-2.7422168348163498E-2</v>
      </c>
      <c r="R38">
        <v>1.74242352177497E-2</v>
      </c>
      <c r="S38">
        <v>1.16761180624182E-2</v>
      </c>
      <c r="T38">
        <v>-6.4773766883506695E-2</v>
      </c>
      <c r="U38">
        <v>-1.05308510027731E-2</v>
      </c>
      <c r="V38">
        <v>-1.3291764650776999E-2</v>
      </c>
      <c r="W38">
        <v>-5.8249665377955298E-2</v>
      </c>
      <c r="X38">
        <v>4.4695866740137001E-2</v>
      </c>
      <c r="Y38">
        <v>5.2437297388339002E-3</v>
      </c>
      <c r="AA38" s="4">
        <f t="shared" si="1"/>
        <v>1.0185712284892692E-3</v>
      </c>
    </row>
    <row r="39" spans="1:27" x14ac:dyDescent="0.25">
      <c r="A39" s="1" t="s">
        <v>239</v>
      </c>
      <c r="B39" s="1">
        <v>0.65166039549449772</v>
      </c>
      <c r="C39" s="1">
        <v>5.6802403728037456</v>
      </c>
      <c r="D39" s="1">
        <v>1.1873294074351499</v>
      </c>
      <c r="E39" s="1">
        <v>-5.1483644666520796</v>
      </c>
      <c r="F39" s="1">
        <v>-2.4485270721194499</v>
      </c>
      <c r="G39" s="1">
        <v>2.1302915643808591</v>
      </c>
      <c r="H39" s="1"/>
      <c r="I39" s="1"/>
      <c r="J39" s="1"/>
      <c r="K39" s="8">
        <v>0.77155482069387105</v>
      </c>
      <c r="L39" s="9">
        <v>38</v>
      </c>
      <c r="M39" s="3">
        <v>0.61717013705295098</v>
      </c>
      <c r="N39" s="1"/>
      <c r="O39" s="1"/>
      <c r="P39">
        <v>-4.9674522731051997E-3</v>
      </c>
      <c r="Q39">
        <v>-6.0616694380125402E-2</v>
      </c>
      <c r="R39">
        <v>-6.4863120920826398E-2</v>
      </c>
      <c r="S39">
        <v>-2.6076973066394699E-2</v>
      </c>
      <c r="T39">
        <v>-8.3143992496913996E-2</v>
      </c>
      <c r="U39">
        <v>-7.2318412443242205E-2</v>
      </c>
      <c r="V39">
        <v>-6.2385523727818901E-2</v>
      </c>
      <c r="W39">
        <v>-8.6117317080813494E-2</v>
      </c>
      <c r="X39">
        <v>-0.1179786068914631</v>
      </c>
      <c r="Y39">
        <v>-2.0812773446473101E-2</v>
      </c>
      <c r="AA39" s="4">
        <f t="shared" si="1"/>
        <v>1.0475681838240743E-3</v>
      </c>
    </row>
    <row r="40" spans="1:27" x14ac:dyDescent="0.25">
      <c r="A40" s="1" t="s">
        <v>164</v>
      </c>
      <c r="B40" s="1">
        <v>-1.230157576539584</v>
      </c>
      <c r="C40" s="1">
        <v>3.2209295792421262</v>
      </c>
      <c r="D40" s="1">
        <v>5.093523883755581</v>
      </c>
      <c r="E40" s="1">
        <v>-3.8774023670226239</v>
      </c>
      <c r="F40" s="1">
        <v>3.7742479030274509</v>
      </c>
      <c r="G40" s="1"/>
      <c r="H40" s="1"/>
      <c r="I40" s="1"/>
      <c r="J40" s="1"/>
      <c r="K40" s="8">
        <v>0.72228557400211402</v>
      </c>
      <c r="L40" s="9">
        <v>39</v>
      </c>
      <c r="M40" s="3">
        <v>0.99475080767461654</v>
      </c>
      <c r="N40" s="1"/>
      <c r="O40" s="1"/>
      <c r="P40">
        <v>-1.8651477988287999E-3</v>
      </c>
      <c r="Q40">
        <v>-2.6503893938899101E-2</v>
      </c>
      <c r="R40">
        <v>5.2467615666750003E-3</v>
      </c>
      <c r="S40">
        <v>1.5996560068181901E-2</v>
      </c>
      <c r="T40">
        <v>-8.0105686064740805E-2</v>
      </c>
      <c r="U40">
        <v>2.8937369686533E-3</v>
      </c>
      <c r="V40">
        <v>-2.37875768397512E-2</v>
      </c>
      <c r="W40">
        <v>-7.5754161198268402E-2</v>
      </c>
      <c r="X40">
        <v>7.8629431954508992E-3</v>
      </c>
      <c r="Y40">
        <v>3.8821591397388E-3</v>
      </c>
      <c r="AA40" s="4">
        <f t="shared" si="1"/>
        <v>1.0833065158374199E-3</v>
      </c>
    </row>
    <row r="41" spans="1:27" x14ac:dyDescent="0.25">
      <c r="A41" s="1" t="s">
        <v>454</v>
      </c>
      <c r="B41" s="1">
        <v>-0.26709523250466949</v>
      </c>
      <c r="C41" s="1">
        <v>-1.6098584385178489</v>
      </c>
      <c r="D41" s="1">
        <v>-3.3883377316870611</v>
      </c>
      <c r="E41" s="1">
        <v>2.44889915789989</v>
      </c>
      <c r="F41" s="1">
        <v>1.2635676070222479</v>
      </c>
      <c r="G41" s="1">
        <v>4.5083678965988074</v>
      </c>
      <c r="H41" s="1">
        <v>-4.6237463375664074</v>
      </c>
      <c r="I41" s="1">
        <v>-2.4666828095300288</v>
      </c>
      <c r="J41" s="1"/>
      <c r="K41" s="8">
        <v>0.70957258386158195</v>
      </c>
      <c r="L41" s="9">
        <v>40</v>
      </c>
      <c r="M41" s="3">
        <v>0.1200003797312796</v>
      </c>
      <c r="N41" s="1"/>
      <c r="O41" s="1"/>
      <c r="P41">
        <v>-5.0386180931020997E-3</v>
      </c>
      <c r="Q41">
        <v>-6.88390839996805E-2</v>
      </c>
      <c r="R41">
        <v>-4.4289188680345697E-2</v>
      </c>
      <c r="S41">
        <v>-7.3612549435073003E-3</v>
      </c>
      <c r="T41">
        <v>-3.1932294563965603E-2</v>
      </c>
      <c r="U41">
        <v>-1.1940397726114001E-2</v>
      </c>
      <c r="V41">
        <v>-5.4488431091142597E-2</v>
      </c>
      <c r="W41">
        <v>-2.4095699045428999E-2</v>
      </c>
      <c r="X41">
        <v>3.3490657242718401E-2</v>
      </c>
      <c r="Y41">
        <v>-8.9942767172963206E-2</v>
      </c>
      <c r="AA41" s="4">
        <f t="shared" si="1"/>
        <v>1.1434895874433671E-3</v>
      </c>
    </row>
    <row r="42" spans="1:27" x14ac:dyDescent="0.25">
      <c r="A42" s="1" t="s">
        <v>465</v>
      </c>
      <c r="B42" s="1">
        <v>-0.2357474246101339</v>
      </c>
      <c r="C42" s="1">
        <v>-0.45696206949352802</v>
      </c>
      <c r="D42" s="1">
        <v>-1.0974496881624889</v>
      </c>
      <c r="E42" s="1">
        <v>1.057062595641554</v>
      </c>
      <c r="F42" s="1">
        <v>2.237518399194474</v>
      </c>
      <c r="G42" s="1">
        <v>-1.6158465972369991</v>
      </c>
      <c r="H42" s="1">
        <v>-0.90906622008418714</v>
      </c>
      <c r="I42" s="1">
        <v>-2.35420734255933</v>
      </c>
      <c r="J42" s="1"/>
      <c r="K42" s="8">
        <v>0.90122909716040001</v>
      </c>
      <c r="L42" s="9">
        <v>41</v>
      </c>
      <c r="M42" s="3">
        <v>0.22870846034528461</v>
      </c>
      <c r="N42" s="1"/>
      <c r="O42" s="1"/>
      <c r="P42">
        <v>-4.2762754459670002E-4</v>
      </c>
      <c r="Q42">
        <v>-4.5181930094179999E-2</v>
      </c>
      <c r="R42">
        <v>1.1738309352118399E-2</v>
      </c>
      <c r="S42">
        <v>-3.8093022811613998E-3</v>
      </c>
      <c r="T42">
        <v>-5.0316513072763497E-2</v>
      </c>
      <c r="U42">
        <v>2.0929059928333299E-2</v>
      </c>
      <c r="V42">
        <v>1.83517349847588E-2</v>
      </c>
      <c r="W42">
        <v>-3.8288617245336602E-2</v>
      </c>
      <c r="X42">
        <v>1.1289702753350001E-2</v>
      </c>
      <c r="Y42">
        <v>-8.9505989069514999E-2</v>
      </c>
      <c r="AA42" s="4">
        <f t="shared" si="1"/>
        <v>1.2375445677779849E-3</v>
      </c>
    </row>
    <row r="43" spans="1:27" x14ac:dyDescent="0.25">
      <c r="A43" s="1" t="s">
        <v>360</v>
      </c>
      <c r="B43" s="1">
        <v>-0.61902379625556936</v>
      </c>
      <c r="C43" s="1">
        <v>1.011493611075871</v>
      </c>
      <c r="D43" s="1">
        <v>3.488097242589816</v>
      </c>
      <c r="E43" s="1">
        <v>1.4300925283058861</v>
      </c>
      <c r="F43" s="1">
        <v>0.92002006282437065</v>
      </c>
      <c r="G43" s="1">
        <v>-2.7637772729551551</v>
      </c>
      <c r="H43" s="1">
        <v>-1.899903329892541</v>
      </c>
      <c r="I43" s="1"/>
      <c r="J43" s="1"/>
      <c r="K43" s="8">
        <v>0.70790549868360098</v>
      </c>
      <c r="L43" s="9">
        <v>42</v>
      </c>
      <c r="M43" s="3">
        <v>0.32853801032222513</v>
      </c>
      <c r="N43" s="1"/>
      <c r="O43" s="1"/>
      <c r="P43">
        <v>-3.5910824050964002E-3</v>
      </c>
      <c r="Q43">
        <v>-4.61371486175726E-2</v>
      </c>
      <c r="R43">
        <v>-5.4557768820108703E-2</v>
      </c>
      <c r="S43">
        <v>-3.60268137853429E-2</v>
      </c>
      <c r="T43">
        <v>-5.7228622606023002E-2</v>
      </c>
      <c r="U43">
        <v>-3.9151664806849999E-2</v>
      </c>
      <c r="V43">
        <v>-2.87504956627882E-2</v>
      </c>
      <c r="W43">
        <v>-5.7704066980383099E-2</v>
      </c>
      <c r="X43">
        <v>-0.1489304586940102</v>
      </c>
      <c r="Y43">
        <v>-4.7472578006462603E-2</v>
      </c>
      <c r="AA43" s="4">
        <f t="shared" si="1"/>
        <v>1.2820966417386656E-3</v>
      </c>
    </row>
    <row r="44" spans="1:27" x14ac:dyDescent="0.25">
      <c r="A44" s="1" t="s">
        <v>443</v>
      </c>
      <c r="B44" s="1">
        <v>-0.34943267876718398</v>
      </c>
      <c r="C44" s="1">
        <v>-0.74749899254574081</v>
      </c>
      <c r="D44" s="1">
        <v>-1.0179953666219399</v>
      </c>
      <c r="E44" s="1">
        <v>1.975859481571274</v>
      </c>
      <c r="F44" s="1">
        <v>-1.9928627763415661</v>
      </c>
      <c r="G44" s="1">
        <v>0.76649361341592614</v>
      </c>
      <c r="H44" s="1">
        <v>-2.0450744340448379</v>
      </c>
      <c r="I44" s="1"/>
      <c r="J44" s="1"/>
      <c r="K44" s="8">
        <v>0.88376050311837895</v>
      </c>
      <c r="L44" s="9">
        <v>43</v>
      </c>
      <c r="M44" s="3">
        <v>0.45541967084629342</v>
      </c>
      <c r="N44" s="1"/>
      <c r="O44" s="1"/>
      <c r="P44">
        <v>-1.0533780448472999E-3</v>
      </c>
      <c r="Q44">
        <v>1.32740778601658E-2</v>
      </c>
      <c r="R44">
        <v>-2.6905090600804201E-2</v>
      </c>
      <c r="S44">
        <v>1.3678531130947601E-2</v>
      </c>
      <c r="T44">
        <v>5.5899862780709004E-3</v>
      </c>
      <c r="U44">
        <v>2.8331849097592801E-2</v>
      </c>
      <c r="V44">
        <v>1.3304729471378E-2</v>
      </c>
      <c r="W44">
        <v>2.7688147061490202E-2</v>
      </c>
      <c r="X44">
        <v>-0.100995829605643</v>
      </c>
      <c r="Y44">
        <v>-5.1404343629839E-3</v>
      </c>
      <c r="AA44" s="4">
        <f t="shared" si="1"/>
        <v>1.2988608852953724E-3</v>
      </c>
    </row>
    <row r="45" spans="1:27" x14ac:dyDescent="0.25">
      <c r="A45" s="1" t="s">
        <v>351</v>
      </c>
      <c r="B45" s="1">
        <v>-0.57590515402794007</v>
      </c>
      <c r="C45" s="1">
        <v>0.95595086808616825</v>
      </c>
      <c r="D45" s="1">
        <v>3.3807099689686742</v>
      </c>
      <c r="E45" s="1">
        <v>1.389539114899438</v>
      </c>
      <c r="F45" s="1">
        <v>0.90644048870351968</v>
      </c>
      <c r="G45" s="1">
        <v>-2.6897908879972041</v>
      </c>
      <c r="H45" s="1">
        <v>-1.8277207479290849</v>
      </c>
      <c r="I45" s="1"/>
      <c r="J45" s="1"/>
      <c r="K45" s="8">
        <v>0.83614487565556195</v>
      </c>
      <c r="L45" s="9">
        <v>44</v>
      </c>
      <c r="M45" s="3">
        <v>0.31548093049619752</v>
      </c>
      <c r="N45" s="1"/>
      <c r="O45" s="1"/>
      <c r="P45">
        <v>-3.3801095711584002E-3</v>
      </c>
      <c r="Q45">
        <v>-4.1823667386732002E-2</v>
      </c>
      <c r="R45">
        <v>-5.2886244657211298E-2</v>
      </c>
      <c r="S45">
        <v>-3.5932277660314503E-2</v>
      </c>
      <c r="T45">
        <v>-5.3850791116432102E-2</v>
      </c>
      <c r="U45">
        <v>-4.17608987533074E-2</v>
      </c>
      <c r="V45">
        <v>-3.1114886131319901E-2</v>
      </c>
      <c r="W45">
        <v>-5.64215237776544E-2</v>
      </c>
      <c r="X45">
        <v>-0.1525202752438119</v>
      </c>
      <c r="Y45">
        <v>-5.2011654371902298E-2</v>
      </c>
      <c r="AA45" s="4">
        <f t="shared" si="1"/>
        <v>1.339444717609294E-3</v>
      </c>
    </row>
    <row r="46" spans="1:27" x14ac:dyDescent="0.25">
      <c r="A46" s="1" t="s">
        <v>365</v>
      </c>
      <c r="B46" s="1">
        <v>-0.87020845926520329</v>
      </c>
      <c r="C46" s="1">
        <v>0.92794735973057674</v>
      </c>
      <c r="D46" s="1">
        <v>2.1158664032526819</v>
      </c>
      <c r="E46" s="1">
        <v>1.1019670962416901</v>
      </c>
      <c r="F46" s="1">
        <v>-2.1259300532170591</v>
      </c>
      <c r="G46" s="1">
        <v>-0.90093467472811217</v>
      </c>
      <c r="H46" s="1">
        <v>1.457838700303298</v>
      </c>
      <c r="I46" s="1"/>
      <c r="J46" s="1"/>
      <c r="K46" s="8">
        <v>0.806889336432696</v>
      </c>
      <c r="L46" s="9">
        <v>45</v>
      </c>
      <c r="M46" s="3">
        <v>0.35397557954965891</v>
      </c>
      <c r="N46" s="1"/>
      <c r="O46" s="1"/>
      <c r="P46">
        <v>-7.1361790064659999E-4</v>
      </c>
      <c r="Q46">
        <v>-2.9232701780839299E-2</v>
      </c>
      <c r="R46">
        <v>-1.0966243889688299E-2</v>
      </c>
      <c r="S46">
        <v>4.2430342844537797E-2</v>
      </c>
      <c r="T46">
        <v>-4.3841017837592103E-2</v>
      </c>
      <c r="U46">
        <v>-4.0232180191378801E-2</v>
      </c>
      <c r="V46">
        <v>-2.66364829860644E-2</v>
      </c>
      <c r="W46">
        <v>-4.2939615299705101E-2</v>
      </c>
      <c r="X46">
        <v>-0.1094531381286418</v>
      </c>
      <c r="Y46">
        <v>-1.51055298256273E-2</v>
      </c>
      <c r="AA46" s="4">
        <f t="shared" si="1"/>
        <v>1.3422049189037943E-3</v>
      </c>
    </row>
    <row r="47" spans="1:27" x14ac:dyDescent="0.25">
      <c r="A47" s="1" t="s">
        <v>283</v>
      </c>
      <c r="B47" s="1">
        <v>-0.76490813049210404</v>
      </c>
      <c r="C47" s="1">
        <v>2.111281252782597</v>
      </c>
      <c r="D47" s="1">
        <v>1.5056967467517881</v>
      </c>
      <c r="E47" s="1">
        <v>2.157073798179113</v>
      </c>
      <c r="F47" s="1">
        <v>-1.924612288090312</v>
      </c>
      <c r="G47" s="1">
        <v>2.771611635050065</v>
      </c>
      <c r="H47" s="1"/>
      <c r="I47" s="1"/>
      <c r="J47" s="1"/>
      <c r="K47" s="8">
        <v>0.86098117736180202</v>
      </c>
      <c r="L47" s="9">
        <v>46</v>
      </c>
      <c r="M47" s="3">
        <v>0.7960755495187013</v>
      </c>
      <c r="N47" s="1"/>
      <c r="O47" s="1"/>
      <c r="P47">
        <v>3.6548308665141E-3</v>
      </c>
      <c r="Q47">
        <v>1.79336258469402E-2</v>
      </c>
      <c r="R47">
        <v>6.7797452425136906E-2</v>
      </c>
      <c r="S47">
        <v>0.11285573037337519</v>
      </c>
      <c r="T47">
        <v>-1.8723963640594999E-3</v>
      </c>
      <c r="U47">
        <v>-1.4836395647023E-3</v>
      </c>
      <c r="V47">
        <v>4.4266215209030001E-4</v>
      </c>
      <c r="W47">
        <v>2.4851862832729901E-2</v>
      </c>
      <c r="X47">
        <v>-1.0324853687334899E-2</v>
      </c>
      <c r="Y47">
        <v>1.2191117453263201E-2</v>
      </c>
      <c r="AA47" s="4">
        <f t="shared" si="1"/>
        <v>1.3436930048371925E-3</v>
      </c>
    </row>
    <row r="48" spans="1:27" x14ac:dyDescent="0.25">
      <c r="A48" s="1" t="s">
        <v>477</v>
      </c>
      <c r="B48" s="1">
        <v>-0.50423776928089925</v>
      </c>
      <c r="C48" s="1">
        <v>-2.289757017921167</v>
      </c>
      <c r="D48" s="1">
        <v>2.4067440019626538</v>
      </c>
      <c r="E48" s="1">
        <v>5.2734506064755804</v>
      </c>
      <c r="F48" s="1">
        <v>-4.3380368186383844</v>
      </c>
      <c r="G48" s="1">
        <v>1.297771398499953</v>
      </c>
      <c r="H48" s="1">
        <v>-1.9975704633239439</v>
      </c>
      <c r="I48" s="1">
        <v>2.5207870672035368</v>
      </c>
      <c r="J48" s="1"/>
      <c r="K48" s="8">
        <v>0.87816873567751896</v>
      </c>
      <c r="L48" s="9">
        <v>47</v>
      </c>
      <c r="M48" s="3">
        <v>0.52528544664079668</v>
      </c>
      <c r="N48" s="1"/>
      <c r="O48" s="1"/>
      <c r="P48">
        <v>-3.2574859421269999E-4</v>
      </c>
      <c r="Q48">
        <v>-3.4726948277761703E-2</v>
      </c>
      <c r="R48">
        <v>1.8421672237026999E-2</v>
      </c>
      <c r="S48">
        <v>1.42204181472617E-2</v>
      </c>
      <c r="T48">
        <v>-7.9320465888528396E-2</v>
      </c>
      <c r="U48">
        <v>-1.1346704934715001E-2</v>
      </c>
      <c r="V48">
        <v>-1.4259796977326499E-2</v>
      </c>
      <c r="W48">
        <v>-7.0034594089238997E-2</v>
      </c>
      <c r="X48">
        <v>5.0182667431235298E-2</v>
      </c>
      <c r="Y48">
        <v>6.3937005384950996E-3</v>
      </c>
      <c r="AA48" s="4">
        <f t="shared" si="1"/>
        <v>1.4376332527326788E-3</v>
      </c>
    </row>
    <row r="49" spans="1:27" x14ac:dyDescent="0.25">
      <c r="A49" s="1" t="s">
        <v>426</v>
      </c>
      <c r="B49" s="1">
        <v>-0.36905792115927821</v>
      </c>
      <c r="C49" s="1">
        <v>-1.8243432671418871</v>
      </c>
      <c r="D49" s="1">
        <v>0.96974039381912314</v>
      </c>
      <c r="E49" s="1">
        <v>3.5270917424235888</v>
      </c>
      <c r="F49" s="1">
        <v>-2.5080888775867232</v>
      </c>
      <c r="G49" s="1">
        <v>0.8869809184437385</v>
      </c>
      <c r="H49" s="1">
        <v>-1.6459143377110059</v>
      </c>
      <c r="I49" s="1"/>
      <c r="J49" s="1"/>
      <c r="K49" s="8">
        <v>0.75796242328623598</v>
      </c>
      <c r="L49" s="9">
        <v>48</v>
      </c>
      <c r="M49" s="3">
        <v>0.34793509357718172</v>
      </c>
      <c r="N49" s="1"/>
      <c r="O49" s="1"/>
      <c r="P49">
        <v>1.8373257193398001E-3</v>
      </c>
      <c r="Q49">
        <v>1.8876829154240899E-2</v>
      </c>
      <c r="R49">
        <v>2.9094756800129701E-2</v>
      </c>
      <c r="S49">
        <v>1.9539824177872901E-2</v>
      </c>
      <c r="T49">
        <v>-4.8122196560099001E-2</v>
      </c>
      <c r="U49">
        <v>-4.3660632526868002E-3</v>
      </c>
      <c r="V49">
        <v>9.2360645591210197E-2</v>
      </c>
      <c r="W49">
        <v>-2.09401665859348E-2</v>
      </c>
      <c r="X49">
        <v>6.4341008002918601E-2</v>
      </c>
      <c r="Y49">
        <v>2.2908148653483999E-2</v>
      </c>
      <c r="AA49" s="4">
        <f t="shared" si="1"/>
        <v>1.4475274361848943E-3</v>
      </c>
    </row>
    <row r="50" spans="1:27" x14ac:dyDescent="0.25">
      <c r="A50" s="1" t="s">
        <v>463</v>
      </c>
      <c r="B50" s="1">
        <v>-0.22812127442205099</v>
      </c>
      <c r="C50" s="1">
        <v>-0.44005032982808728</v>
      </c>
      <c r="D50" s="1">
        <v>-0.99118982673287392</v>
      </c>
      <c r="E50" s="1">
        <v>0.95257834942715569</v>
      </c>
      <c r="F50" s="1">
        <v>2.0645328583823441</v>
      </c>
      <c r="G50" s="1">
        <v>-1.4746509379895689</v>
      </c>
      <c r="H50" s="1">
        <v>-0.77633519941327678</v>
      </c>
      <c r="I50" s="1">
        <v>-2.135437859565728</v>
      </c>
      <c r="J50" s="1"/>
      <c r="K50" s="8">
        <v>0.76774678011998498</v>
      </c>
      <c r="L50" s="9">
        <v>49</v>
      </c>
      <c r="M50" s="3">
        <v>0.1978391265072644</v>
      </c>
      <c r="N50" s="1"/>
      <c r="O50" s="1"/>
      <c r="P50">
        <v>-4.527059914747E-4</v>
      </c>
      <c r="Q50">
        <v>-5.0371788331380798E-2</v>
      </c>
      <c r="R50">
        <v>1.2904535466527299E-2</v>
      </c>
      <c r="S50">
        <v>-4.4356891316176998E-3</v>
      </c>
      <c r="T50">
        <v>-5.64626964462982E-2</v>
      </c>
      <c r="U50">
        <v>2.2743676615857199E-2</v>
      </c>
      <c r="V50">
        <v>1.8144218915230399E-2</v>
      </c>
      <c r="W50">
        <v>-4.2623137740314697E-2</v>
      </c>
      <c r="X50">
        <v>9.8604903840625001E-3</v>
      </c>
      <c r="Y50">
        <v>-9.6712294648595806E-2</v>
      </c>
      <c r="AA50" s="4">
        <f t="shared" si="1"/>
        <v>1.4513398995635314E-3</v>
      </c>
    </row>
    <row r="51" spans="1:27" x14ac:dyDescent="0.25">
      <c r="A51" s="1" t="s">
        <v>430</v>
      </c>
      <c r="B51" s="1">
        <v>-0.64893982081852497</v>
      </c>
      <c r="C51" s="1">
        <v>-2.081104535778135</v>
      </c>
      <c r="D51" s="1">
        <v>5.7147840565179653</v>
      </c>
      <c r="E51" s="1">
        <v>-4.0717224865513844</v>
      </c>
      <c r="F51" s="1">
        <v>1.735349131222375</v>
      </c>
      <c r="G51" s="1">
        <v>-3.481409613499451</v>
      </c>
      <c r="H51" s="1">
        <v>-1.998229514994738</v>
      </c>
      <c r="I51" s="1"/>
      <c r="J51" s="1"/>
      <c r="K51" s="8">
        <v>0.78122730505222904</v>
      </c>
      <c r="L51" s="9">
        <v>50</v>
      </c>
      <c r="M51" s="3">
        <v>0.8951374050705958</v>
      </c>
      <c r="N51" s="1"/>
      <c r="O51" s="1"/>
      <c r="P51">
        <v>-1.6122629155709001E-3</v>
      </c>
      <c r="Q51">
        <v>-6.15595330311558E-2</v>
      </c>
      <c r="R51">
        <v>1.4408079587615899E-2</v>
      </c>
      <c r="S51">
        <v>-2.22742439747768E-2</v>
      </c>
      <c r="T51">
        <v>-9.1150195350236496E-2</v>
      </c>
      <c r="U51">
        <v>-4.1787489847642002E-3</v>
      </c>
      <c r="V51">
        <v>2.0778583998167101E-2</v>
      </c>
      <c r="W51">
        <v>-9.0367461714398994E-2</v>
      </c>
      <c r="X51">
        <v>-1.5180826818445599E-2</v>
      </c>
      <c r="Y51">
        <v>-4.0033495117129001E-3</v>
      </c>
      <c r="AA51" s="4">
        <f t="shared" si="1"/>
        <v>1.5156602402791196E-3</v>
      </c>
    </row>
    <row r="52" spans="1:27" x14ac:dyDescent="0.25">
      <c r="A52" s="1" t="s">
        <v>382</v>
      </c>
      <c r="B52" s="1">
        <v>-0.36015393358388192</v>
      </c>
      <c r="C52" s="1">
        <v>-2.5629953364310758</v>
      </c>
      <c r="D52" s="1">
        <v>1.433974066793833</v>
      </c>
      <c r="E52" s="1">
        <v>4.0535533485628727</v>
      </c>
      <c r="F52" s="1">
        <v>-1.819647889867922</v>
      </c>
      <c r="G52" s="1">
        <v>-2.9583634717612179</v>
      </c>
      <c r="H52" s="1">
        <v>-6.1170460512076534</v>
      </c>
      <c r="I52" s="1"/>
      <c r="J52" s="1"/>
      <c r="K52" s="8">
        <v>0.69358692225797303</v>
      </c>
      <c r="L52" s="9">
        <v>51</v>
      </c>
      <c r="M52" s="3">
        <v>0.76946225597381357</v>
      </c>
      <c r="N52" s="1"/>
      <c r="O52" s="1"/>
      <c r="P52">
        <v>1.109701958405E-4</v>
      </c>
      <c r="Q52">
        <v>-2.2785125544110701E-2</v>
      </c>
      <c r="R52">
        <v>2.25934676688677E-2</v>
      </c>
      <c r="S52">
        <v>7.2140831396982297E-2</v>
      </c>
      <c r="T52">
        <v>-8.7949361026642206E-2</v>
      </c>
      <c r="U52">
        <v>2.1514549267186E-3</v>
      </c>
      <c r="V52">
        <v>-7.6591352180318999E-3</v>
      </c>
      <c r="W52">
        <v>-4.26363066134057E-2</v>
      </c>
      <c r="X52">
        <v>2.0336290908685999E-3</v>
      </c>
      <c r="Y52">
        <v>-3.2718491884805002E-3</v>
      </c>
      <c r="AA52" s="4">
        <f t="shared" si="1"/>
        <v>1.5438979214841635E-3</v>
      </c>
    </row>
    <row r="53" spans="1:27" x14ac:dyDescent="0.25">
      <c r="A53" s="1" t="s">
        <v>435</v>
      </c>
      <c r="B53" s="1">
        <v>-0.37414861789226589</v>
      </c>
      <c r="C53" s="1">
        <v>-2.1056771566676491</v>
      </c>
      <c r="D53" s="1">
        <v>1.149707048593114</v>
      </c>
      <c r="E53" s="1">
        <v>3.841432535527495</v>
      </c>
      <c r="F53" s="1">
        <v>-2.735050885622174</v>
      </c>
      <c r="G53" s="1">
        <v>0.90894540413292346</v>
      </c>
      <c r="H53" s="1">
        <v>-1.8071652371020051</v>
      </c>
      <c r="I53" s="1"/>
      <c r="J53" s="1"/>
      <c r="K53" s="8">
        <v>0.67174476116516402</v>
      </c>
      <c r="L53" s="9">
        <v>52</v>
      </c>
      <c r="M53" s="3">
        <v>0.42578094499293179</v>
      </c>
      <c r="N53" s="1"/>
      <c r="O53" s="1"/>
      <c r="P53">
        <v>8.1400926151439996E-4</v>
      </c>
      <c r="Q53">
        <v>-1.03542148194257E-2</v>
      </c>
      <c r="R53">
        <v>1.60288195385269E-2</v>
      </c>
      <c r="S53">
        <v>1.7313030470373799E-2</v>
      </c>
      <c r="T53">
        <v>-7.3850997694146603E-2</v>
      </c>
      <c r="U53">
        <v>-1.5322262431163599E-2</v>
      </c>
      <c r="V53">
        <v>5.9959360576836998E-2</v>
      </c>
      <c r="W53">
        <v>-4.41027876462423E-2</v>
      </c>
      <c r="X53">
        <v>7.2005361162498394E-2</v>
      </c>
      <c r="Y53">
        <v>1.8808536449738601E-2</v>
      </c>
      <c r="AA53" s="4">
        <f t="shared" si="1"/>
        <v>1.7261432379032336E-3</v>
      </c>
    </row>
    <row r="54" spans="1:27" x14ac:dyDescent="0.25">
      <c r="A54" s="1" t="s">
        <v>448</v>
      </c>
      <c r="B54" s="1">
        <v>-0.35529925817948588</v>
      </c>
      <c r="C54" s="1">
        <v>-0.79757900592470321</v>
      </c>
      <c r="D54" s="1">
        <v>-1.0898799176862819</v>
      </c>
      <c r="E54" s="1">
        <v>2.1094732313818811</v>
      </c>
      <c r="F54" s="1">
        <v>-2.1745025166645622</v>
      </c>
      <c r="G54" s="1">
        <v>0.82511072963327847</v>
      </c>
      <c r="H54" s="1">
        <v>-2.2027429210855249</v>
      </c>
      <c r="I54" s="1"/>
      <c r="J54" s="1"/>
      <c r="K54" s="8">
        <v>0.76972373350420498</v>
      </c>
      <c r="L54" s="9">
        <v>53</v>
      </c>
      <c r="M54" s="3">
        <v>0.43627892152177872</v>
      </c>
      <c r="N54" s="1"/>
      <c r="O54" s="1"/>
      <c r="P54">
        <v>-7.8687904405079999E-4</v>
      </c>
      <c r="Q54">
        <v>3.6709985793697303E-2</v>
      </c>
      <c r="R54">
        <v>-3.81360085417023E-2</v>
      </c>
      <c r="S54">
        <v>2.5258797271568999E-2</v>
      </c>
      <c r="T54">
        <v>4.4707210794588899E-2</v>
      </c>
      <c r="U54">
        <v>1.5025161546469599E-2</v>
      </c>
      <c r="V54">
        <v>-8.7261392211517002E-3</v>
      </c>
      <c r="W54">
        <v>6.4161178282440404E-2</v>
      </c>
      <c r="X54">
        <v>-9.5241434601445199E-2</v>
      </c>
      <c r="Y54">
        <v>-3.2173511674509002E-3</v>
      </c>
      <c r="AA54" s="4">
        <f t="shared" si="1"/>
        <v>1.8781136722113728E-3</v>
      </c>
    </row>
    <row r="55" spans="1:27" x14ac:dyDescent="0.25">
      <c r="A55" s="1" t="s">
        <v>287</v>
      </c>
      <c r="B55" s="1">
        <v>-1.190958419430141</v>
      </c>
      <c r="C55" s="1">
        <v>1.1597026836384361</v>
      </c>
      <c r="D55" s="1">
        <v>2.2256329795251029</v>
      </c>
      <c r="E55" s="1">
        <v>-2.914814806996294</v>
      </c>
      <c r="F55" s="1">
        <v>2.3511753135305038</v>
      </c>
      <c r="G55" s="1">
        <v>0.89868083630225193</v>
      </c>
      <c r="H55" s="1"/>
      <c r="I55" s="1"/>
      <c r="J55" s="1"/>
      <c r="K55" s="8">
        <v>0.77622514771114903</v>
      </c>
      <c r="L55" s="9">
        <v>54</v>
      </c>
      <c r="M55" s="3">
        <v>0.83440471082587475</v>
      </c>
      <c r="N55" s="1"/>
      <c r="O55" s="1"/>
      <c r="P55">
        <v>6.1729063325459996E-4</v>
      </c>
      <c r="Q55">
        <v>-2.4175747318259201E-2</v>
      </c>
      <c r="R55">
        <v>2.9936349707705399E-2</v>
      </c>
      <c r="S55">
        <v>8.3227408550600193E-2</v>
      </c>
      <c r="T55">
        <v>-7.5809246850107398E-2</v>
      </c>
      <c r="U55">
        <v>-4.1123675124911198E-2</v>
      </c>
      <c r="V55">
        <v>-5.2085138290202199E-2</v>
      </c>
      <c r="W55">
        <v>-5.4043468787156997E-2</v>
      </c>
      <c r="X55">
        <v>-1.62448320307889E-2</v>
      </c>
      <c r="Y55">
        <v>4.5509076661263996E-3</v>
      </c>
      <c r="AA55" s="4">
        <f t="shared" si="1"/>
        <v>1.9657339757278526E-3</v>
      </c>
    </row>
    <row r="56" spans="1:27" x14ac:dyDescent="0.25">
      <c r="A56" s="1" t="s">
        <v>247</v>
      </c>
      <c r="B56" s="1">
        <v>1.058440350411739</v>
      </c>
      <c r="C56" s="1">
        <v>3.2405584181098939</v>
      </c>
      <c r="D56" s="1">
        <v>2.4750668577976258</v>
      </c>
      <c r="E56" s="1">
        <v>-3.30235845230388</v>
      </c>
      <c r="F56" s="1">
        <v>-1.2375822724402219</v>
      </c>
      <c r="G56" s="1">
        <v>1.591873501980986</v>
      </c>
      <c r="H56" s="1"/>
      <c r="I56" s="1"/>
      <c r="J56" s="1"/>
      <c r="K56" s="8">
        <v>0.80002700745632604</v>
      </c>
      <c r="L56" s="9">
        <v>55</v>
      </c>
      <c r="M56" s="3">
        <v>0.41291969695462732</v>
      </c>
      <c r="N56" s="1"/>
      <c r="O56" s="1"/>
      <c r="P56">
        <v>-3.7574109033316999E-3</v>
      </c>
      <c r="Q56">
        <v>7.2939472081192998E-3</v>
      </c>
      <c r="R56">
        <v>-9.7508871136417499E-2</v>
      </c>
      <c r="S56">
        <v>7.5074881332564403E-2</v>
      </c>
      <c r="T56">
        <v>-3.9703538563243303E-2</v>
      </c>
      <c r="U56">
        <v>-1.3875171760235601E-2</v>
      </c>
      <c r="V56">
        <v>3.1367855499136697E-2</v>
      </c>
      <c r="W56">
        <v>-4.5177388813703999E-2</v>
      </c>
      <c r="X56">
        <v>-3.7837129899861398E-2</v>
      </c>
      <c r="Y56">
        <v>1.7136487613045E-3</v>
      </c>
      <c r="AA56" s="4">
        <f t="shared" si="1"/>
        <v>1.9941552042950367E-3</v>
      </c>
    </row>
    <row r="57" spans="1:27" x14ac:dyDescent="0.25">
      <c r="A57" s="1" t="s">
        <v>270</v>
      </c>
      <c r="B57" s="1">
        <v>-1.6330950280561709</v>
      </c>
      <c r="C57" s="1">
        <v>2.5158000051623879</v>
      </c>
      <c r="D57" s="1">
        <v>7.1378200041384856</v>
      </c>
      <c r="E57" s="1">
        <v>-3.2836561033790921</v>
      </c>
      <c r="F57" s="1">
        <v>-3.072575797151063</v>
      </c>
      <c r="G57" s="1">
        <v>2.7751278147843359</v>
      </c>
      <c r="H57" s="1"/>
      <c r="I57" s="1"/>
      <c r="J57" s="1"/>
      <c r="K57" s="8">
        <v>0.791800834106413</v>
      </c>
      <c r="L57" s="9">
        <v>56</v>
      </c>
      <c r="M57" s="3">
        <v>0.3924030271803659</v>
      </c>
      <c r="N57" s="1"/>
      <c r="O57" s="1"/>
      <c r="P57">
        <v>8.1318562423969998E-4</v>
      </c>
      <c r="Q57">
        <v>-3.2496099045861197E-2</v>
      </c>
      <c r="R57">
        <v>1.8547979274385399E-2</v>
      </c>
      <c r="S57">
        <v>2.4138078208484999E-3</v>
      </c>
      <c r="T57">
        <v>-2.9533354753537998E-3</v>
      </c>
      <c r="U57">
        <v>4.1927674288272003E-3</v>
      </c>
      <c r="V57">
        <v>-1.24599394102787E-2</v>
      </c>
      <c r="W57">
        <v>5.4870800705690004E-3</v>
      </c>
      <c r="X57">
        <v>-5.64629106859608E-2</v>
      </c>
      <c r="Y57">
        <v>-0.1409939161396907</v>
      </c>
      <c r="AA57" s="4">
        <f t="shared" si="1"/>
        <v>2.0109708153525615E-3</v>
      </c>
    </row>
    <row r="58" spans="1:27" x14ac:dyDescent="0.25">
      <c r="A58" s="1" t="s">
        <v>290</v>
      </c>
      <c r="B58" s="1">
        <v>-3.446168606598135</v>
      </c>
      <c r="C58" s="1">
        <v>1.37352250531691</v>
      </c>
      <c r="D58" s="1">
        <v>-16.38986519013347</v>
      </c>
      <c r="E58" s="1">
        <v>8.0323881681884686</v>
      </c>
      <c r="F58" s="1">
        <v>6.2043676731075124</v>
      </c>
      <c r="G58" s="1">
        <v>4.2867321612888798</v>
      </c>
      <c r="H58" s="1"/>
      <c r="I58" s="1"/>
      <c r="J58" s="1"/>
      <c r="K58" s="8">
        <v>0.739121544345827</v>
      </c>
      <c r="L58" s="9">
        <v>57</v>
      </c>
      <c r="M58" s="3">
        <v>0.84362216814941771</v>
      </c>
      <c r="N58" s="1"/>
      <c r="O58" s="1"/>
      <c r="P58">
        <v>1.2398628006144E-2</v>
      </c>
      <c r="Q58">
        <v>3.76281735114041E-2</v>
      </c>
      <c r="R58">
        <v>0.12935591873701099</v>
      </c>
      <c r="S58">
        <v>0.14354574274184531</v>
      </c>
      <c r="T58">
        <v>2.8553750115621401E-2</v>
      </c>
      <c r="U58">
        <v>2.8662828710340801E-2</v>
      </c>
      <c r="V58">
        <v>1.4043785222576001E-2</v>
      </c>
      <c r="W58">
        <v>4.7544758599514299E-2</v>
      </c>
      <c r="X58">
        <v>5.0842176925079897E-2</v>
      </c>
      <c r="Y58">
        <v>9.3313092019558994E-3</v>
      </c>
      <c r="AA58" s="4">
        <f t="shared" si="1"/>
        <v>2.0483475175331117E-3</v>
      </c>
    </row>
    <row r="59" spans="1:27" x14ac:dyDescent="0.25">
      <c r="A59" s="1" t="s">
        <v>386</v>
      </c>
      <c r="B59" s="1">
        <v>-0.30884379477084989</v>
      </c>
      <c r="C59" s="1">
        <v>-0.78612954221469089</v>
      </c>
      <c r="D59" s="1">
        <v>2.1275413104731848</v>
      </c>
      <c r="E59" s="1">
        <v>3.2530936155538179</v>
      </c>
      <c r="F59" s="1">
        <v>-1.006542556117044</v>
      </c>
      <c r="G59" s="1">
        <v>-3.1435229582389241</v>
      </c>
      <c r="H59" s="1">
        <v>-3.5637210517804299</v>
      </c>
      <c r="I59" s="1"/>
      <c r="J59" s="1"/>
      <c r="K59" s="8">
        <v>0.80238076732309704</v>
      </c>
      <c r="L59" s="9">
        <v>58</v>
      </c>
      <c r="M59" s="3">
        <v>0.67250802584224512</v>
      </c>
      <c r="N59" s="1"/>
      <c r="O59" s="1"/>
      <c r="P59">
        <v>-1.0254515240829E-3</v>
      </c>
      <c r="Q59">
        <v>-5.60914274258031E-2</v>
      </c>
      <c r="R59">
        <v>9.1317264582689995E-4</v>
      </c>
      <c r="S59">
        <v>-7.1135011362354998E-3</v>
      </c>
      <c r="T59">
        <v>-9.4497644911482007E-2</v>
      </c>
      <c r="U59">
        <v>-2.3436088527828999E-3</v>
      </c>
      <c r="V59">
        <v>1.5322447989116E-2</v>
      </c>
      <c r="W59">
        <v>-0.10207282570115821</v>
      </c>
      <c r="X59">
        <v>-7.7657267769067999E-3</v>
      </c>
      <c r="Y59">
        <v>4.8371552237076197E-2</v>
      </c>
      <c r="AA59" s="4">
        <f t="shared" si="1"/>
        <v>2.0931692361535535E-3</v>
      </c>
    </row>
    <row r="60" spans="1:27" x14ac:dyDescent="0.25">
      <c r="A60" s="1" t="s">
        <v>357</v>
      </c>
      <c r="B60" s="1">
        <v>-1.484414693075065</v>
      </c>
      <c r="C60" s="1">
        <v>1.500985602958101</v>
      </c>
      <c r="D60" s="1">
        <v>1.8096803614967869</v>
      </c>
      <c r="E60" s="1">
        <v>2.3381491315343421</v>
      </c>
      <c r="F60" s="1">
        <v>0.97753148467450646</v>
      </c>
      <c r="G60" s="1">
        <v>-0.95806926571439166</v>
      </c>
      <c r="H60" s="1">
        <v>-3.322085199315179</v>
      </c>
      <c r="I60" s="1"/>
      <c r="J60" s="1"/>
      <c r="K60" s="8">
        <v>0.72728353577020499</v>
      </c>
      <c r="L60" s="9">
        <v>59</v>
      </c>
      <c r="M60" s="3">
        <v>0.59667636451878903</v>
      </c>
      <c r="N60" s="1"/>
      <c r="O60" s="1"/>
      <c r="P60">
        <v>7.2965311577480004E-4</v>
      </c>
      <c r="Q60">
        <v>3.3066482411287103E-2</v>
      </c>
      <c r="R60">
        <v>-8.5095665969399999E-5</v>
      </c>
      <c r="S60">
        <v>-1.6464299676542001E-3</v>
      </c>
      <c r="T60">
        <v>6.21680806558009E-2</v>
      </c>
      <c r="U60">
        <v>2.1447376385533099E-2</v>
      </c>
      <c r="V60">
        <v>2.0270930503794801E-2</v>
      </c>
      <c r="W60">
        <v>6.9074527505297106E-2</v>
      </c>
      <c r="X60">
        <v>-8.3225591423853301E-2</v>
      </c>
      <c r="Y60">
        <v>-6.7959478693600806E-2</v>
      </c>
      <c r="AA60" s="4">
        <f t="shared" si="1"/>
        <v>2.1858814160019362E-3</v>
      </c>
    </row>
    <row r="61" spans="1:27" x14ac:dyDescent="0.25">
      <c r="A61" s="1" t="s">
        <v>407</v>
      </c>
      <c r="B61" s="1">
        <v>-0.20946287149178611</v>
      </c>
      <c r="C61" s="1">
        <v>-0.69062507381534877</v>
      </c>
      <c r="D61" s="1">
        <v>-1.0414847199584001</v>
      </c>
      <c r="E61" s="1">
        <v>1.9256399371499859</v>
      </c>
      <c r="F61" s="1">
        <v>-2.0076450439883722</v>
      </c>
      <c r="G61" s="1">
        <v>0.81098607483515062</v>
      </c>
      <c r="H61" s="1">
        <v>-2.1050522367290929</v>
      </c>
      <c r="I61" s="1"/>
      <c r="J61" s="1"/>
      <c r="K61" s="8">
        <v>0.76388222285731799</v>
      </c>
      <c r="L61" s="9">
        <v>60</v>
      </c>
      <c r="M61" s="3">
        <v>0.18887930360487901</v>
      </c>
      <c r="N61" s="1"/>
      <c r="O61" s="1"/>
      <c r="P61">
        <v>-1.2735110116859999E-4</v>
      </c>
      <c r="Q61">
        <v>5.0061484613260999E-3</v>
      </c>
      <c r="R61">
        <v>-1.47668042687199E-2</v>
      </c>
      <c r="S61">
        <v>2.1475963676984199E-2</v>
      </c>
      <c r="T61">
        <v>3.4703033190345699E-2</v>
      </c>
      <c r="U61">
        <v>-2.5030708652084899E-2</v>
      </c>
      <c r="V61">
        <v>-5.4445989135262197E-2</v>
      </c>
      <c r="W61">
        <v>3.82065934878172E-2</v>
      </c>
      <c r="X61">
        <v>-1.642606116526E-3</v>
      </c>
      <c r="Y61">
        <v>-0.13042446960184589</v>
      </c>
      <c r="AA61" s="4">
        <f t="shared" si="1"/>
        <v>2.2358466656904538E-3</v>
      </c>
    </row>
    <row r="62" spans="1:27" x14ac:dyDescent="0.25">
      <c r="A62" s="1" t="s">
        <v>421</v>
      </c>
      <c r="B62" s="1">
        <v>-0.42461601324349241</v>
      </c>
      <c r="C62" s="1">
        <v>-1.4930636590393109</v>
      </c>
      <c r="D62" s="1">
        <v>-1.4367319369574321</v>
      </c>
      <c r="E62" s="1">
        <v>2.0389309890535592</v>
      </c>
      <c r="F62" s="1">
        <v>2.5777373734875741</v>
      </c>
      <c r="G62" s="1">
        <v>-2.9817457107622021</v>
      </c>
      <c r="H62" s="1">
        <v>-1.856648489250704</v>
      </c>
      <c r="I62" s="1"/>
      <c r="J62" s="1"/>
      <c r="K62" s="8">
        <v>0.76092151620259396</v>
      </c>
      <c r="L62" s="9">
        <v>61</v>
      </c>
      <c r="M62" s="3">
        <v>0.65469998820211983</v>
      </c>
      <c r="N62" s="1"/>
      <c r="O62" s="1"/>
      <c r="P62">
        <v>-6.0633151722307996E-3</v>
      </c>
      <c r="Q62">
        <v>-8.0091477889001103E-2</v>
      </c>
      <c r="R62">
        <v>-8.50889628460169E-2</v>
      </c>
      <c r="S62">
        <v>-2.6054178968492998E-2</v>
      </c>
      <c r="T62">
        <v>-0.15605631995775091</v>
      </c>
      <c r="U62">
        <v>-5.1555544737515703E-2</v>
      </c>
      <c r="V62">
        <v>-6.6452218622921694E-2</v>
      </c>
      <c r="W62">
        <v>-0.13603585463651441</v>
      </c>
      <c r="X62">
        <v>-5.9775811000539303E-2</v>
      </c>
      <c r="Y62">
        <v>-3.8011841969247001E-3</v>
      </c>
      <c r="AA62" s="4">
        <f t="shared" si="1"/>
        <v>2.2870429989352852E-3</v>
      </c>
    </row>
    <row r="63" spans="1:27" x14ac:dyDescent="0.25">
      <c r="A63" s="1" t="s">
        <v>161</v>
      </c>
      <c r="B63" s="1">
        <v>-1.800813888411996</v>
      </c>
      <c r="C63" s="1">
        <v>2.8694395366465528</v>
      </c>
      <c r="D63" s="1">
        <v>-1.70524204254713</v>
      </c>
      <c r="E63" s="1">
        <v>2.66991905427383</v>
      </c>
      <c r="F63" s="1">
        <v>-2.3139624241295889</v>
      </c>
      <c r="G63" s="1"/>
      <c r="H63" s="1"/>
      <c r="I63" s="1"/>
      <c r="J63" s="1"/>
      <c r="K63" s="8">
        <v>0.86126640143443201</v>
      </c>
      <c r="L63" s="9">
        <v>62</v>
      </c>
      <c r="M63" s="3">
        <v>0.71053418806234436</v>
      </c>
      <c r="N63" s="1"/>
      <c r="O63" s="1"/>
      <c r="P63">
        <v>-1.0105070576184E-3</v>
      </c>
      <c r="Q63">
        <v>-7.9097879946857103E-2</v>
      </c>
      <c r="R63">
        <v>-5.0981055022677997E-3</v>
      </c>
      <c r="S63">
        <v>3.0352147629367E-3</v>
      </c>
      <c r="T63">
        <v>-5.66623811332366E-2</v>
      </c>
      <c r="U63">
        <v>-7.8297558294011999E-2</v>
      </c>
      <c r="V63">
        <v>-0.100475156548493</v>
      </c>
      <c r="W63">
        <v>-8.6915676823982504E-2</v>
      </c>
      <c r="X63">
        <v>6.2575412938135094E-2</v>
      </c>
      <c r="Y63">
        <v>-2.2636033789943302E-2</v>
      </c>
      <c r="AA63" s="4">
        <f t="shared" si="1"/>
        <v>2.441944387861925E-3</v>
      </c>
    </row>
    <row r="64" spans="1:27" x14ac:dyDescent="0.25">
      <c r="A64" s="1" t="s">
        <v>385</v>
      </c>
      <c r="B64" s="1">
        <v>-0.30240703826270532</v>
      </c>
      <c r="C64" s="1">
        <v>-0.92485938447402027</v>
      </c>
      <c r="D64" s="1">
        <v>1.247358907182025</v>
      </c>
      <c r="E64" s="1">
        <v>3.3150203899875241</v>
      </c>
      <c r="F64" s="1">
        <v>-2.5016550672056201</v>
      </c>
      <c r="G64" s="1">
        <v>-0.98274913440982825</v>
      </c>
      <c r="H64" s="1">
        <v>-3.2551188328708118</v>
      </c>
      <c r="I64" s="1"/>
      <c r="J64" s="1"/>
      <c r="K64" s="8">
        <v>0.86018116734169203</v>
      </c>
      <c r="L64" s="9">
        <v>63</v>
      </c>
      <c r="M64" s="3">
        <v>0.46643423991917787</v>
      </c>
      <c r="N64" s="1"/>
      <c r="O64" s="1"/>
      <c r="P64">
        <v>-8.9703550377350004E-4</v>
      </c>
      <c r="Q64">
        <v>-1.9993462408352099E-2</v>
      </c>
      <c r="R64">
        <v>1.9715441084393998E-3</v>
      </c>
      <c r="S64">
        <v>8.4103256295048695E-2</v>
      </c>
      <c r="T64">
        <v>-0.11636137082309481</v>
      </c>
      <c r="U64">
        <v>-8.1423961074247007E-3</v>
      </c>
      <c r="V64">
        <v>5.0913110042687003E-3</v>
      </c>
      <c r="W64">
        <v>-7.3140397986108593E-2</v>
      </c>
      <c r="X64">
        <v>-9.9825130283833999E-3</v>
      </c>
      <c r="Y64">
        <v>1.2395780055867899E-2</v>
      </c>
      <c r="AA64" s="4">
        <f t="shared" si="1"/>
        <v>2.5151418036648858E-3</v>
      </c>
    </row>
    <row r="65" spans="1:27" x14ac:dyDescent="0.25">
      <c r="A65" s="1" t="s">
        <v>348</v>
      </c>
      <c r="B65" s="1">
        <v>-1.302099364708758</v>
      </c>
      <c r="C65" s="1">
        <v>1.321370033003173</v>
      </c>
      <c r="D65" s="1">
        <v>1.673105812877369</v>
      </c>
      <c r="E65" s="1">
        <v>2.183603499883803</v>
      </c>
      <c r="F65" s="1">
        <v>0.86876845738674346</v>
      </c>
      <c r="G65" s="1">
        <v>-0.84609035318214598</v>
      </c>
      <c r="H65" s="1">
        <v>-3.0507237884645639</v>
      </c>
      <c r="I65" s="1"/>
      <c r="J65" s="1"/>
      <c r="K65" s="8">
        <v>0.74635571698042802</v>
      </c>
      <c r="L65" s="9">
        <v>64</v>
      </c>
      <c r="M65" s="3">
        <v>0.51882396988385682</v>
      </c>
      <c r="N65" s="1"/>
      <c r="O65" s="1"/>
      <c r="P65">
        <v>5.0299292394730003E-4</v>
      </c>
      <c r="Q65">
        <v>3.0630741036493301E-2</v>
      </c>
      <c r="R65">
        <v>-1.0175067191339999E-4</v>
      </c>
      <c r="S65">
        <v>-2.0178301972959998E-3</v>
      </c>
      <c r="T65">
        <v>5.80684497739214E-2</v>
      </c>
      <c r="U65">
        <v>2.3762219148848299E-2</v>
      </c>
      <c r="V65">
        <v>2.1264047885723902E-2</v>
      </c>
      <c r="W65">
        <v>6.7364610864755606E-2</v>
      </c>
      <c r="X65">
        <v>-9.6958214406439994E-2</v>
      </c>
      <c r="Y65">
        <v>-7.8827374903790895E-2</v>
      </c>
      <c r="AA65" s="4">
        <f t="shared" si="1"/>
        <v>2.5427854492654401E-3</v>
      </c>
    </row>
    <row r="66" spans="1:27" x14ac:dyDescent="0.25">
      <c r="A66" s="1" t="s">
        <v>359</v>
      </c>
      <c r="B66" s="1">
        <v>-1.882465875265199</v>
      </c>
      <c r="C66" s="1">
        <v>1.4801071066238149</v>
      </c>
      <c r="D66" s="1">
        <v>-1.0552788552238059</v>
      </c>
      <c r="E66" s="1">
        <v>1.570884489442631</v>
      </c>
      <c r="F66" s="1">
        <v>1.6844802925957201</v>
      </c>
      <c r="G66" s="1">
        <v>2.033062810831781</v>
      </c>
      <c r="H66" s="1">
        <v>-3.73363461626065</v>
      </c>
      <c r="I66" s="1"/>
      <c r="J66" s="1"/>
      <c r="K66" s="8">
        <v>0.77929749367656698</v>
      </c>
      <c r="L66" s="9">
        <v>65</v>
      </c>
      <c r="M66" s="3">
        <v>0.2364424124269455</v>
      </c>
      <c r="N66" s="1"/>
      <c r="O66" s="1"/>
      <c r="P66">
        <v>-2.5475525627856998E-3</v>
      </c>
      <c r="Q66">
        <v>-6.6998311058515406E-2</v>
      </c>
      <c r="R66">
        <v>3.5445233921114999E-3</v>
      </c>
      <c r="S66">
        <v>-5.6396009650838E-3</v>
      </c>
      <c r="T66">
        <v>-9.2485371149497494E-2</v>
      </c>
      <c r="U66">
        <v>8.9834295691349E-3</v>
      </c>
      <c r="V66">
        <v>-3.7216927594533399E-2</v>
      </c>
      <c r="W66">
        <v>-8.0251442498616404E-2</v>
      </c>
      <c r="X66">
        <v>-9.3018628707345993E-2</v>
      </c>
      <c r="Y66">
        <v>-0.14945439133477409</v>
      </c>
      <c r="AA66" s="4">
        <f t="shared" ref="AA66:AA97" si="2">_xlfn.COVARIANCE.P(P66:Y66,P66:Y66)</f>
        <v>2.545717161597598E-3</v>
      </c>
    </row>
    <row r="67" spans="1:27" x14ac:dyDescent="0.25">
      <c r="A67" s="1" t="s">
        <v>255</v>
      </c>
      <c r="B67" s="1">
        <v>-0.51455027374249895</v>
      </c>
      <c r="C67" s="1">
        <v>2.8932450074439311</v>
      </c>
      <c r="D67" s="1">
        <v>2.081304470981014</v>
      </c>
      <c r="E67" s="1">
        <v>-1.9548918620467799</v>
      </c>
      <c r="F67" s="1">
        <v>-2.056983559712164</v>
      </c>
      <c r="G67" s="1">
        <v>-1.650710180813753</v>
      </c>
      <c r="H67" s="1"/>
      <c r="I67" s="1"/>
      <c r="J67" s="1"/>
      <c r="K67" s="8">
        <v>0.84291357756792895</v>
      </c>
      <c r="L67" s="9">
        <v>66</v>
      </c>
      <c r="M67" s="3">
        <v>0.24155574839601629</v>
      </c>
      <c r="N67" s="1"/>
      <c r="O67" s="1"/>
      <c r="P67">
        <v>-6.5652396267262001E-3</v>
      </c>
      <c r="Q67">
        <v>-4.5981615100836898E-2</v>
      </c>
      <c r="R67">
        <v>-0.1076732993772392</v>
      </c>
      <c r="S67">
        <v>-6.7338850452829002E-2</v>
      </c>
      <c r="T67">
        <v>-0.1018171638861096</v>
      </c>
      <c r="U67">
        <v>-5.6941258754156503E-2</v>
      </c>
      <c r="V67">
        <v>-4.8438861478758401E-2</v>
      </c>
      <c r="W67">
        <v>-0.105293530974909</v>
      </c>
      <c r="X67">
        <v>-0.2062256867672228</v>
      </c>
      <c r="Y67">
        <v>-9.5296704741425806E-2</v>
      </c>
      <c r="AA67" s="4">
        <f t="shared" si="2"/>
        <v>2.6113681412046163E-3</v>
      </c>
    </row>
    <row r="68" spans="1:27" x14ac:dyDescent="0.25">
      <c r="A68" s="1" t="s">
        <v>267</v>
      </c>
      <c r="B68" s="1">
        <v>-0.52550089711801917</v>
      </c>
      <c r="C68" s="1">
        <v>2.9688615073999962</v>
      </c>
      <c r="D68" s="1">
        <v>2.1345456529218532</v>
      </c>
      <c r="E68" s="1">
        <v>-2.0037270651334129</v>
      </c>
      <c r="F68" s="1">
        <v>-2.1252218283772981</v>
      </c>
      <c r="G68" s="1">
        <v>-1.695231727327142</v>
      </c>
      <c r="H68" s="1"/>
      <c r="I68" s="1"/>
      <c r="J68" s="1"/>
      <c r="K68" s="8">
        <v>0.72178535290319201</v>
      </c>
      <c r="L68" s="9">
        <v>67</v>
      </c>
      <c r="M68" s="3">
        <v>0.23641414744620209</v>
      </c>
      <c r="N68" s="1"/>
      <c r="O68" s="1"/>
      <c r="P68">
        <v>-6.5544594854616998E-3</v>
      </c>
      <c r="Q68">
        <v>-4.2039936569011303E-2</v>
      </c>
      <c r="R68">
        <v>-0.1075517867096436</v>
      </c>
      <c r="S68">
        <v>-5.8808967290943703E-2</v>
      </c>
      <c r="T68">
        <v>-0.10182385513390731</v>
      </c>
      <c r="U68">
        <v>-5.3408226599971298E-2</v>
      </c>
      <c r="V68">
        <v>-4.4717196225070498E-2</v>
      </c>
      <c r="W68">
        <v>-0.10542346037667991</v>
      </c>
      <c r="X68">
        <v>-0.2022968730758076</v>
      </c>
      <c r="Y68">
        <v>-9.2249020836317794E-2</v>
      </c>
      <c r="AA68" s="4">
        <f t="shared" si="2"/>
        <v>2.6202447036105989E-3</v>
      </c>
    </row>
    <row r="69" spans="1:27" x14ac:dyDescent="0.25">
      <c r="A69" s="1" t="s">
        <v>412</v>
      </c>
      <c r="B69" s="1">
        <v>-0.213065450692945</v>
      </c>
      <c r="C69" s="1">
        <v>-0.73250849547157448</v>
      </c>
      <c r="D69" s="1">
        <v>-1.087069619297562</v>
      </c>
      <c r="E69" s="1">
        <v>2.0252217480813721</v>
      </c>
      <c r="F69" s="1">
        <v>-2.1384849878990049</v>
      </c>
      <c r="G69" s="1">
        <v>0.85423822223108203</v>
      </c>
      <c r="H69" s="1">
        <v>-2.2191618855721842</v>
      </c>
      <c r="I69" s="1"/>
      <c r="J69" s="1"/>
      <c r="K69" s="8">
        <v>0.80238735310807296</v>
      </c>
      <c r="L69" s="9">
        <v>68</v>
      </c>
      <c r="M69" s="3">
        <v>0.1705724192823794</v>
      </c>
      <c r="N69" s="1"/>
      <c r="O69" s="1"/>
      <c r="P69">
        <v>-8.3917898325250003E-4</v>
      </c>
      <c r="Q69">
        <v>6.6314967369086996E-3</v>
      </c>
      <c r="R69">
        <v>-3.8518192617072497E-2</v>
      </c>
      <c r="S69">
        <v>2.6031365881847599E-2</v>
      </c>
      <c r="T69">
        <v>4.4308559309028599E-2</v>
      </c>
      <c r="U69">
        <v>-4.3981927232342802E-2</v>
      </c>
      <c r="V69">
        <v>-7.7637291912399098E-2</v>
      </c>
      <c r="W69">
        <v>4.8578721873869198E-2</v>
      </c>
      <c r="X69">
        <v>-3.3683534179485002E-3</v>
      </c>
      <c r="Y69">
        <v>-0.12674737935787511</v>
      </c>
      <c r="AA69" s="4">
        <f t="shared" si="2"/>
        <v>2.7826886460218412E-3</v>
      </c>
    </row>
    <row r="70" spans="1:27" x14ac:dyDescent="0.25">
      <c r="A70" s="1" t="s">
        <v>289</v>
      </c>
      <c r="B70" s="1">
        <v>-2.2374106342486999</v>
      </c>
      <c r="C70" s="1">
        <v>1.338559804520558</v>
      </c>
      <c r="D70" s="1">
        <v>-7.1591617925057598</v>
      </c>
      <c r="E70" s="1">
        <v>5.6713539716436099</v>
      </c>
      <c r="F70" s="1">
        <v>1.0873714192694111</v>
      </c>
      <c r="G70" s="1">
        <v>2.4494442411844868</v>
      </c>
      <c r="H70" s="1"/>
      <c r="I70" s="1"/>
      <c r="J70" s="1"/>
      <c r="K70" s="8">
        <v>0.86955786611512498</v>
      </c>
      <c r="L70" s="9">
        <v>69</v>
      </c>
      <c r="M70" s="3">
        <v>0.81618489217664858</v>
      </c>
      <c r="N70" s="1"/>
      <c r="O70" s="1"/>
      <c r="P70">
        <v>-2.163734017045E-4</v>
      </c>
      <c r="Q70">
        <v>-1.35186260215421E-2</v>
      </c>
      <c r="R70">
        <v>4.4706132792825997E-3</v>
      </c>
      <c r="S70">
        <v>7.6441182922634002E-3</v>
      </c>
      <c r="T70">
        <v>-0.1026565878505946</v>
      </c>
      <c r="U70">
        <v>-3.1345150065569899E-2</v>
      </c>
      <c r="V70">
        <v>-3.6409914387890298E-2</v>
      </c>
      <c r="W70">
        <v>-0.14464699874913611</v>
      </c>
      <c r="X70">
        <v>1.14279874922387E-2</v>
      </c>
      <c r="Y70">
        <v>4.5783860393476497E-2</v>
      </c>
      <c r="AA70" s="4">
        <f t="shared" si="2"/>
        <v>2.9524993245469409E-3</v>
      </c>
    </row>
    <row r="71" spans="1:27" x14ac:dyDescent="0.25">
      <c r="A71" s="1" t="s">
        <v>373</v>
      </c>
      <c r="B71" s="1">
        <v>-1.0099431466971349</v>
      </c>
      <c r="C71" s="1">
        <v>-1.358271247057645</v>
      </c>
      <c r="D71" s="1">
        <v>1.400105364595452</v>
      </c>
      <c r="E71" s="1">
        <v>1.1016009286910149</v>
      </c>
      <c r="F71" s="1">
        <v>-1.2949722105155539</v>
      </c>
      <c r="G71" s="1">
        <v>0.49360769906571877</v>
      </c>
      <c r="H71" s="1">
        <v>0.70286967341414297</v>
      </c>
      <c r="I71" s="1"/>
      <c r="J71" s="1"/>
      <c r="K71" s="8">
        <v>0.78901203597612601</v>
      </c>
      <c r="L71" s="9">
        <v>70</v>
      </c>
      <c r="M71" s="3">
        <v>0.20949723418173821</v>
      </c>
      <c r="N71" s="1"/>
      <c r="O71" s="1"/>
      <c r="P71">
        <v>-1.2748188426694E-3</v>
      </c>
      <c r="Q71">
        <v>-2.88311578872943E-2</v>
      </c>
      <c r="R71">
        <v>6.8204937050780001E-4</v>
      </c>
      <c r="S71">
        <v>-1.3689786493292701E-2</v>
      </c>
      <c r="T71">
        <v>-4.13632887596962E-2</v>
      </c>
      <c r="U71">
        <v>5.3672913678781001E-3</v>
      </c>
      <c r="V71">
        <v>1.3953555069859999E-4</v>
      </c>
      <c r="W71">
        <v>-3.4817528449180402E-2</v>
      </c>
      <c r="X71">
        <v>-0.1122306229776415</v>
      </c>
      <c r="Y71">
        <v>-0.1694224070640987</v>
      </c>
      <c r="AA71" s="4">
        <f t="shared" si="2"/>
        <v>2.9635072828986769E-3</v>
      </c>
    </row>
    <row r="72" spans="1:27" x14ac:dyDescent="0.25">
      <c r="A72" s="1" t="s">
        <v>350</v>
      </c>
      <c r="B72" s="1">
        <v>-1.6188413928389009</v>
      </c>
      <c r="C72" s="1">
        <v>1.2737032781306989</v>
      </c>
      <c r="D72" s="1">
        <v>-0.92221099841495136</v>
      </c>
      <c r="E72" s="1">
        <v>1.4404629561315909</v>
      </c>
      <c r="F72" s="1">
        <v>1.5806205503656861</v>
      </c>
      <c r="G72" s="1">
        <v>1.7820160169415951</v>
      </c>
      <c r="H72" s="1">
        <v>-3.3568277979685321</v>
      </c>
      <c r="I72" s="1"/>
      <c r="J72" s="1"/>
      <c r="K72" s="8">
        <v>0.72612382679119802</v>
      </c>
      <c r="L72" s="9">
        <v>71</v>
      </c>
      <c r="M72" s="3">
        <v>0.22522084232072309</v>
      </c>
      <c r="N72" s="1"/>
      <c r="O72" s="1"/>
      <c r="P72">
        <v>-2.3504911461485999E-3</v>
      </c>
      <c r="Q72">
        <v>-6.6607708265787602E-2</v>
      </c>
      <c r="R72">
        <v>4.3003633561298996E-3</v>
      </c>
      <c r="S72">
        <v>-1.0590965459814699E-2</v>
      </c>
      <c r="T72">
        <v>-0.103008875814633</v>
      </c>
      <c r="U72">
        <v>1.2057609769559E-2</v>
      </c>
      <c r="V72">
        <v>-2.91662022958111E-2</v>
      </c>
      <c r="W72">
        <v>-8.8505509737347096E-2</v>
      </c>
      <c r="X72">
        <v>-0.10898474100338799</v>
      </c>
      <c r="Y72">
        <v>-0.15487504861519791</v>
      </c>
      <c r="AA72" s="4">
        <f t="shared" si="2"/>
        <v>2.9875847607534769E-3</v>
      </c>
    </row>
    <row r="73" spans="1:27" x14ac:dyDescent="0.25">
      <c r="A73" s="1" t="s">
        <v>235</v>
      </c>
      <c r="B73" s="1">
        <v>-1.1344672831837139</v>
      </c>
      <c r="C73" s="1">
        <v>2.164669276126117</v>
      </c>
      <c r="D73" s="1">
        <v>3.216489173873192</v>
      </c>
      <c r="E73" s="1">
        <v>-1.1566943026028209</v>
      </c>
      <c r="F73" s="1">
        <v>-3.1425392474715532</v>
      </c>
      <c r="G73" s="1">
        <v>-4.0655531222762944</v>
      </c>
      <c r="H73" s="1"/>
      <c r="I73" s="1"/>
      <c r="J73" s="1"/>
      <c r="K73" s="8">
        <v>0.77003156098515102</v>
      </c>
      <c r="L73" s="9">
        <v>72</v>
      </c>
      <c r="M73" s="3">
        <v>0.26821316439900922</v>
      </c>
      <c r="N73" s="1"/>
      <c r="O73" s="1"/>
      <c r="P73">
        <v>-6.3702425940206E-3</v>
      </c>
      <c r="Q73">
        <v>-5.9726578117833697E-2</v>
      </c>
      <c r="R73">
        <v>-0.1088676081959639</v>
      </c>
      <c r="S73">
        <v>-4.6310828572210097E-2</v>
      </c>
      <c r="T73">
        <v>-2.87707688140545E-2</v>
      </c>
      <c r="U73">
        <v>1.2975485363221901E-2</v>
      </c>
      <c r="V73">
        <v>1.8971381921890001E-2</v>
      </c>
      <c r="W73">
        <v>-2.58259299914009E-2</v>
      </c>
      <c r="X73">
        <v>-0.17005873847992711</v>
      </c>
      <c r="Y73">
        <v>-2.4481712724331101E-2</v>
      </c>
      <c r="AA73" s="4">
        <f t="shared" si="2"/>
        <v>2.9921831228843935E-3</v>
      </c>
    </row>
    <row r="74" spans="1:27" x14ac:dyDescent="0.25">
      <c r="A74" s="1" t="s">
        <v>453</v>
      </c>
      <c r="B74" s="1">
        <v>-0.31025289764972819</v>
      </c>
      <c r="C74" s="1">
        <v>-2.645041506014445</v>
      </c>
      <c r="D74" s="1">
        <v>3.7497859274602598</v>
      </c>
      <c r="E74" s="1">
        <v>1.1160195872013161</v>
      </c>
      <c r="F74" s="1">
        <v>2.6789841251700741</v>
      </c>
      <c r="G74" s="1">
        <v>1.6081205376294549</v>
      </c>
      <c r="H74" s="1">
        <v>-1.992817647870246</v>
      </c>
      <c r="I74" s="1">
        <v>-1.839364613331046</v>
      </c>
      <c r="J74" s="1"/>
      <c r="K74" s="8">
        <v>0.77312649221268404</v>
      </c>
      <c r="L74" s="9">
        <v>73</v>
      </c>
      <c r="M74" s="3">
        <v>0.42773429932738999</v>
      </c>
      <c r="N74" s="1"/>
      <c r="O74" s="1"/>
      <c r="P74">
        <v>-1.9828720121653001E-3</v>
      </c>
      <c r="Q74">
        <v>-7.7640725665430496E-2</v>
      </c>
      <c r="R74">
        <v>-1.3170523698063999E-3</v>
      </c>
      <c r="S74">
        <v>1.68209423169365E-2</v>
      </c>
      <c r="T74">
        <v>-0.13486322194815081</v>
      </c>
      <c r="U74">
        <v>1.6969493973531501E-2</v>
      </c>
      <c r="V74">
        <v>1.54489440834154E-2</v>
      </c>
      <c r="W74">
        <v>-9.4527632108606693E-2</v>
      </c>
      <c r="X74">
        <v>-1.13812903066478E-2</v>
      </c>
      <c r="Y74">
        <v>4.10262323024463E-2</v>
      </c>
      <c r="AA74" s="4">
        <f t="shared" si="2"/>
        <v>3.0422793968647522E-3</v>
      </c>
    </row>
    <row r="75" spans="1:27" x14ac:dyDescent="0.25">
      <c r="A75" s="1" t="s">
        <v>369</v>
      </c>
      <c r="B75" s="1">
        <v>-0.93140767622855969</v>
      </c>
      <c r="C75" s="1">
        <v>-1.202698302399527</v>
      </c>
      <c r="D75" s="1">
        <v>1.2449408257617081</v>
      </c>
      <c r="E75" s="1">
        <v>1.02624444073106</v>
      </c>
      <c r="F75" s="1">
        <v>-1.162895736490362</v>
      </c>
      <c r="G75" s="1">
        <v>0.43272183158170158</v>
      </c>
      <c r="H75" s="1">
        <v>0.67853873014918065</v>
      </c>
      <c r="I75" s="1"/>
      <c r="J75" s="1"/>
      <c r="K75" s="8">
        <v>0.78041800269988004</v>
      </c>
      <c r="L75" s="9">
        <v>74</v>
      </c>
      <c r="M75" s="3">
        <v>0.20400464726331169</v>
      </c>
      <c r="N75" s="1"/>
      <c r="O75" s="1"/>
      <c r="P75">
        <v>-1.414081379985E-3</v>
      </c>
      <c r="Q75">
        <v>-3.3411733363228197E-2</v>
      </c>
      <c r="R75">
        <v>-3.4487916192990002E-4</v>
      </c>
      <c r="S75">
        <v>-1.5552661389447499E-2</v>
      </c>
      <c r="T75">
        <v>-4.6357548385948799E-2</v>
      </c>
      <c r="U75">
        <v>6.9894275292209001E-3</v>
      </c>
      <c r="V75">
        <v>8.5248439933260001E-4</v>
      </c>
      <c r="W75">
        <v>-3.7992768375616E-2</v>
      </c>
      <c r="X75">
        <v>-0.1210065938984707</v>
      </c>
      <c r="Y75">
        <v>-0.17131527373684241</v>
      </c>
      <c r="AA75" s="4">
        <f t="shared" si="2"/>
        <v>3.1391393463988337E-3</v>
      </c>
    </row>
    <row r="76" spans="1:27" x14ac:dyDescent="0.25">
      <c r="A76" s="1" t="s">
        <v>292</v>
      </c>
      <c r="B76" s="1">
        <v>-1.206060609499769</v>
      </c>
      <c r="C76" s="1">
        <v>0.92880420874570546</v>
      </c>
      <c r="D76" s="1">
        <v>-4.3820417974802357</v>
      </c>
      <c r="E76" s="1">
        <v>3.7760389527069149</v>
      </c>
      <c r="F76" s="1">
        <v>0.81427723044613598</v>
      </c>
      <c r="G76" s="1">
        <v>1.471637494261169</v>
      </c>
      <c r="H76" s="1"/>
      <c r="I76" s="1"/>
      <c r="J76" s="1"/>
      <c r="K76" s="8">
        <v>0.74740915039177502</v>
      </c>
      <c r="L76" s="9">
        <v>75</v>
      </c>
      <c r="M76" s="3">
        <v>0.70372975816672356</v>
      </c>
      <c r="N76" s="1"/>
      <c r="O76" s="1"/>
      <c r="P76">
        <v>6.4072031849965001E-3</v>
      </c>
      <c r="Q76">
        <v>2.3537981990291199E-2</v>
      </c>
      <c r="R76">
        <v>0.11500621908764</v>
      </c>
      <c r="S76">
        <v>0.16569950149827201</v>
      </c>
      <c r="T76">
        <v>-7.4224516225050996E-3</v>
      </c>
      <c r="U76">
        <v>-8.0409519680254993E-3</v>
      </c>
      <c r="V76">
        <v>-1.0952574007872E-2</v>
      </c>
      <c r="W76">
        <v>1.5811231614971999E-2</v>
      </c>
      <c r="X76">
        <v>5.4894046526019003E-3</v>
      </c>
      <c r="Y76">
        <v>3.5915856885664198E-2</v>
      </c>
      <c r="AA76" s="4">
        <f t="shared" si="2"/>
        <v>3.1428722721057387E-3</v>
      </c>
    </row>
    <row r="77" spans="1:27" x14ac:dyDescent="0.25">
      <c r="A77" s="1" t="s">
        <v>388</v>
      </c>
      <c r="B77" s="1">
        <v>-0.45956762010466029</v>
      </c>
      <c r="C77" s="1">
        <v>-1.7547124815194539</v>
      </c>
      <c r="D77" s="1">
        <v>1.799529550716328</v>
      </c>
      <c r="E77" s="1">
        <v>4.0756628565449171</v>
      </c>
      <c r="F77" s="1">
        <v>-2.5153009546808738</v>
      </c>
      <c r="G77" s="1">
        <v>-2.486823972775313</v>
      </c>
      <c r="H77" s="1">
        <v>-4.5626886846769423</v>
      </c>
      <c r="I77" s="1"/>
      <c r="J77" s="1"/>
      <c r="K77" s="8">
        <v>0.80489062759919605</v>
      </c>
      <c r="L77" s="9">
        <v>76</v>
      </c>
      <c r="M77" s="3">
        <v>0.70283952218119539</v>
      </c>
      <c r="N77" s="1"/>
      <c r="O77" s="1"/>
      <c r="P77">
        <v>-6.7631062929360004E-4</v>
      </c>
      <c r="Q77">
        <v>-3.5194365580412099E-2</v>
      </c>
      <c r="R77">
        <v>3.5272864412025401E-2</v>
      </c>
      <c r="S77">
        <v>7.2251287681839305E-2</v>
      </c>
      <c r="T77">
        <v>-0.13561031051538611</v>
      </c>
      <c r="U77">
        <v>-6.3105040949876998E-3</v>
      </c>
      <c r="V77">
        <v>-1.30096002530066E-2</v>
      </c>
      <c r="W77">
        <v>-0.10550667691696181</v>
      </c>
      <c r="X77">
        <v>4.2398071249742002E-3</v>
      </c>
      <c r="Y77">
        <v>-3.13190089656337E-2</v>
      </c>
      <c r="AA77" s="4">
        <f t="shared" si="2"/>
        <v>3.3773592331920997E-3</v>
      </c>
    </row>
    <row r="78" spans="1:27" x14ac:dyDescent="0.25">
      <c r="A78" s="1" t="s">
        <v>274</v>
      </c>
      <c r="B78" s="1">
        <v>-2.2806107104968198</v>
      </c>
      <c r="C78" s="1">
        <v>1.3002021675015241</v>
      </c>
      <c r="D78" s="1">
        <v>3.9179060677760531</v>
      </c>
      <c r="E78" s="1">
        <v>-2.740974263134011</v>
      </c>
      <c r="F78" s="1">
        <v>0.91545469065448359</v>
      </c>
      <c r="G78" s="1">
        <v>-1.8971068269744671</v>
      </c>
      <c r="H78" s="1"/>
      <c r="I78" s="1"/>
      <c r="J78" s="1"/>
      <c r="K78" s="8">
        <v>0.833793246847919</v>
      </c>
      <c r="L78" s="9">
        <v>77</v>
      </c>
      <c r="M78" s="3">
        <v>0.15383559011563189</v>
      </c>
      <c r="N78" s="1"/>
      <c r="O78" s="1"/>
      <c r="P78">
        <v>8.8123732510329996E-4</v>
      </c>
      <c r="Q78">
        <v>-2.4051585408562299E-2</v>
      </c>
      <c r="R78">
        <v>3.1517557102114201E-2</v>
      </c>
      <c r="S78">
        <v>7.4760863982875998E-3</v>
      </c>
      <c r="T78">
        <v>-5.0930861153163302E-2</v>
      </c>
      <c r="U78">
        <v>-6.9694408635983997E-3</v>
      </c>
      <c r="V78">
        <v>4.9838730432072001E-2</v>
      </c>
      <c r="W78">
        <v>-1.5291693076601399E-2</v>
      </c>
      <c r="X78">
        <v>-4.5360355176186702E-2</v>
      </c>
      <c r="Y78">
        <v>-0.17511135253357929</v>
      </c>
      <c r="AA78" s="4">
        <f t="shared" si="2"/>
        <v>3.4511835403852388E-3</v>
      </c>
    </row>
    <row r="79" spans="1:27" x14ac:dyDescent="0.25">
      <c r="A79" s="1" t="s">
        <v>371</v>
      </c>
      <c r="B79" s="1">
        <v>-0.41123220716338388</v>
      </c>
      <c r="C79" s="1">
        <v>-0.41780856773318448</v>
      </c>
      <c r="D79" s="1">
        <v>1.669095387648885</v>
      </c>
      <c r="E79" s="1">
        <v>2.366858493952182</v>
      </c>
      <c r="F79" s="1">
        <v>-0.93414647445689636</v>
      </c>
      <c r="G79" s="1">
        <v>-1.90467452957335</v>
      </c>
      <c r="H79" s="1">
        <v>-2.1955847564244468</v>
      </c>
      <c r="I79" s="1"/>
      <c r="J79" s="1"/>
      <c r="K79" s="8">
        <v>0.84951029378892895</v>
      </c>
      <c r="L79" s="9">
        <v>78</v>
      </c>
      <c r="M79" s="3">
        <v>0.1304210889068497</v>
      </c>
      <c r="N79" s="1"/>
      <c r="O79" s="1"/>
      <c r="P79">
        <v>-6.5347179258807E-3</v>
      </c>
      <c r="Q79">
        <v>-5.6342209092563197E-2</v>
      </c>
      <c r="R79">
        <v>-0.1159877620045002</v>
      </c>
      <c r="S79">
        <v>-9.3788452030813305E-2</v>
      </c>
      <c r="T79">
        <v>-6.7728359418140302E-2</v>
      </c>
      <c r="U79">
        <v>-1.1050930296986399E-2</v>
      </c>
      <c r="V79">
        <v>-6.6806837190393998E-3</v>
      </c>
      <c r="W79">
        <v>-4.9968525724552501E-2</v>
      </c>
      <c r="X79">
        <v>-0.21189977691339229</v>
      </c>
      <c r="Y79">
        <v>-5.4620658202661598E-2</v>
      </c>
      <c r="AA79" s="4">
        <f t="shared" si="2"/>
        <v>3.509345631557189E-3</v>
      </c>
    </row>
    <row r="80" spans="1:27" x14ac:dyDescent="0.25">
      <c r="A80" s="1" t="s">
        <v>423</v>
      </c>
      <c r="B80" s="1">
        <v>-0.58072886888512054</v>
      </c>
      <c r="C80" s="1">
        <v>-1.7010038085152901</v>
      </c>
      <c r="D80" s="1">
        <v>4.6858643701682272</v>
      </c>
      <c r="E80" s="1">
        <v>-3.3458078898459052</v>
      </c>
      <c r="F80" s="1">
        <v>1.448141674792319</v>
      </c>
      <c r="G80" s="1">
        <v>-2.758512635527028</v>
      </c>
      <c r="H80" s="1">
        <v>-1.644301265285673</v>
      </c>
      <c r="I80" s="1"/>
      <c r="J80" s="1"/>
      <c r="K80" s="8">
        <v>0.85358802688844804</v>
      </c>
      <c r="L80" s="9">
        <v>79</v>
      </c>
      <c r="M80" s="3">
        <v>0.79241537964468156</v>
      </c>
      <c r="N80" s="1"/>
      <c r="O80" s="1"/>
      <c r="P80">
        <v>-2.7647809479990001E-3</v>
      </c>
      <c r="Q80">
        <v>-0.1020578193007137</v>
      </c>
      <c r="R80">
        <v>1.7042558393532602E-2</v>
      </c>
      <c r="S80">
        <v>-3.45205574047803E-2</v>
      </c>
      <c r="T80">
        <v>-0.14808411132661209</v>
      </c>
      <c r="U80">
        <v>-1.19498441829034E-2</v>
      </c>
      <c r="V80">
        <v>2.58869803215739E-2</v>
      </c>
      <c r="W80">
        <v>-0.14419537588191531</v>
      </c>
      <c r="X80">
        <v>-2.4871536195360502E-2</v>
      </c>
      <c r="Y80">
        <v>-6.0819360658964997E-3</v>
      </c>
      <c r="AA80" s="4">
        <f t="shared" si="2"/>
        <v>3.746774121321122E-3</v>
      </c>
    </row>
    <row r="81" spans="1:27" x14ac:dyDescent="0.25">
      <c r="A81" s="1" t="s">
        <v>356</v>
      </c>
      <c r="B81" s="1">
        <v>-2.1579334328948119</v>
      </c>
      <c r="C81" s="1">
        <v>2.036903623607992</v>
      </c>
      <c r="D81" s="1">
        <v>-1.0394991208626549</v>
      </c>
      <c r="E81" s="1">
        <v>3.1227211697394068</v>
      </c>
      <c r="F81" s="1">
        <v>-2.587809893826396</v>
      </c>
      <c r="G81" s="1">
        <v>0.74463539930373235</v>
      </c>
      <c r="H81" s="1">
        <v>-1.3343012070466791</v>
      </c>
      <c r="I81" s="1"/>
      <c r="J81" s="1"/>
      <c r="K81" s="8">
        <v>0.757138565438225</v>
      </c>
      <c r="L81" s="9">
        <v>80</v>
      </c>
      <c r="M81" s="3">
        <v>0.1089686379392189</v>
      </c>
      <c r="N81" s="1"/>
      <c r="O81" s="1"/>
      <c r="P81">
        <v>-4.6636439416877003E-3</v>
      </c>
      <c r="Q81">
        <v>-0.13664953230965721</v>
      </c>
      <c r="R81">
        <v>-1.9382365641788302E-2</v>
      </c>
      <c r="S81">
        <v>-3.33711218711433E-2</v>
      </c>
      <c r="T81">
        <v>-0.1514176800356915</v>
      </c>
      <c r="U81">
        <v>-2.0998566127605301E-2</v>
      </c>
      <c r="V81">
        <v>-4.1635961892058898E-2</v>
      </c>
      <c r="W81">
        <v>-0.137796955147855</v>
      </c>
      <c r="X81">
        <v>-2.6862213244469999E-2</v>
      </c>
      <c r="Y81">
        <v>-0.16406970217414191</v>
      </c>
      <c r="AA81" s="4">
        <f t="shared" si="2"/>
        <v>3.7619946031530863E-3</v>
      </c>
    </row>
    <row r="82" spans="1:27" x14ac:dyDescent="0.25">
      <c r="A82" s="1" t="s">
        <v>429</v>
      </c>
      <c r="B82" s="1">
        <v>-0.43545174741881781</v>
      </c>
      <c r="C82" s="1">
        <v>-1.5363650465700609</v>
      </c>
      <c r="D82" s="1">
        <v>-1.4967734229191001</v>
      </c>
      <c r="E82" s="1">
        <v>2.0840488878192232</v>
      </c>
      <c r="F82" s="1">
        <v>2.6637124176740539</v>
      </c>
      <c r="G82" s="1">
        <v>-3.071232862873968</v>
      </c>
      <c r="H82" s="1">
        <v>-1.9312549263099179</v>
      </c>
      <c r="I82" s="1"/>
      <c r="J82" s="1"/>
      <c r="K82" s="8">
        <v>0.78766087521432104</v>
      </c>
      <c r="L82" s="9">
        <v>81</v>
      </c>
      <c r="M82" s="3">
        <v>0.54298250440673823</v>
      </c>
      <c r="N82" s="1"/>
      <c r="O82" s="1"/>
      <c r="P82">
        <v>-9.5729589174010001E-3</v>
      </c>
      <c r="Q82">
        <v>-0.12943115930886559</v>
      </c>
      <c r="R82">
        <v>-0.1289275362872063</v>
      </c>
      <c r="S82">
        <v>-3.4018866541399698E-2</v>
      </c>
      <c r="T82">
        <v>-0.20129822612140719</v>
      </c>
      <c r="U82">
        <v>-6.2947467459124801E-2</v>
      </c>
      <c r="V82">
        <v>-8.5586050954823606E-2</v>
      </c>
      <c r="W82">
        <v>-0.16902862131468069</v>
      </c>
      <c r="X82">
        <v>-6.6000306686975402E-2</v>
      </c>
      <c r="Y82">
        <v>-6.8194443698357003E-3</v>
      </c>
      <c r="AA82" s="4">
        <f t="shared" si="2"/>
        <v>3.9547639470948826E-3</v>
      </c>
    </row>
    <row r="83" spans="1:27" x14ac:dyDescent="0.25">
      <c r="A83" s="1" t="s">
        <v>171</v>
      </c>
      <c r="B83" s="1">
        <v>-1.918681058644661</v>
      </c>
      <c r="C83" s="1">
        <v>3.020799034709023</v>
      </c>
      <c r="D83" s="1">
        <v>-1.761794199652803</v>
      </c>
      <c r="E83" s="1">
        <v>2.804497198598209</v>
      </c>
      <c r="F83" s="1">
        <v>-2.446767602336235</v>
      </c>
      <c r="G83" s="1"/>
      <c r="H83" s="1"/>
      <c r="I83" s="1"/>
      <c r="J83" s="1"/>
      <c r="K83" s="8">
        <v>0.68197764375588399</v>
      </c>
      <c r="L83" s="9">
        <v>82</v>
      </c>
      <c r="M83" s="3">
        <v>0.59400519878475677</v>
      </c>
      <c r="N83" s="1"/>
      <c r="O83" s="1"/>
      <c r="P83">
        <v>-1.3263312768274E-3</v>
      </c>
      <c r="Q83">
        <v>-9.7015052649042602E-2</v>
      </c>
      <c r="R83">
        <v>-2.7524368834663001E-3</v>
      </c>
      <c r="S83">
        <v>2.2963298500568802E-2</v>
      </c>
      <c r="T83">
        <v>-8.3076667423897105E-2</v>
      </c>
      <c r="U83">
        <v>-9.6152640711011303E-2</v>
      </c>
      <c r="V83">
        <v>-0.12410531672672651</v>
      </c>
      <c r="W83">
        <v>-0.1170527408503015</v>
      </c>
      <c r="X83">
        <v>6.8149475540564899E-2</v>
      </c>
      <c r="Y83">
        <v>-1.7409758205212601E-2</v>
      </c>
      <c r="AA83" s="4">
        <f t="shared" si="2"/>
        <v>4.0096027031332696E-3</v>
      </c>
    </row>
    <row r="84" spans="1:27" x14ac:dyDescent="0.25">
      <c r="A84" s="1" t="s">
        <v>258</v>
      </c>
      <c r="B84" s="1">
        <v>-1.536832754898005</v>
      </c>
      <c r="C84" s="1">
        <v>2.3418118111130179</v>
      </c>
      <c r="D84" s="1">
        <v>6.7164804514002707</v>
      </c>
      <c r="E84" s="1">
        <v>-3.101419944375444</v>
      </c>
      <c r="F84" s="1">
        <v>-2.862050089736258</v>
      </c>
      <c r="G84" s="1">
        <v>2.5893478890830091</v>
      </c>
      <c r="H84" s="1"/>
      <c r="I84" s="1"/>
      <c r="J84" s="1"/>
      <c r="K84" s="8">
        <v>0.81057297061786804</v>
      </c>
      <c r="L84" s="9">
        <v>83</v>
      </c>
      <c r="M84" s="3">
        <v>0.3885011523872004</v>
      </c>
      <c r="N84" s="1"/>
      <c r="O84" s="1"/>
      <c r="P84">
        <v>1.364015349978E-3</v>
      </c>
      <c r="Q84">
        <v>1.51076689079365E-2</v>
      </c>
      <c r="R84">
        <v>1.03031948267573E-2</v>
      </c>
      <c r="S84">
        <v>-1.6618944963430301E-2</v>
      </c>
      <c r="T84">
        <v>8.3673523353619605E-2</v>
      </c>
      <c r="U84">
        <v>2.2688644127143599E-2</v>
      </c>
      <c r="V84">
        <v>1.7456518395926501E-2</v>
      </c>
      <c r="W84">
        <v>9.2894562092327299E-2</v>
      </c>
      <c r="X84">
        <v>-6.2149337469946199E-2</v>
      </c>
      <c r="Y84">
        <v>-0.14004238831130941</v>
      </c>
      <c r="AA84" s="4">
        <f t="shared" si="2"/>
        <v>4.0476123123512472E-3</v>
      </c>
    </row>
    <row r="85" spans="1:27" x14ac:dyDescent="0.25">
      <c r="A85" s="1" t="s">
        <v>268</v>
      </c>
      <c r="B85" s="1">
        <v>0.68219792658801559</v>
      </c>
      <c r="C85" s="1">
        <v>5.4205504388920778</v>
      </c>
      <c r="D85" s="1">
        <v>0.69520931682527043</v>
      </c>
      <c r="E85" s="1">
        <v>-5.2540902808404972</v>
      </c>
      <c r="F85" s="1">
        <v>-2.1814224288676329</v>
      </c>
      <c r="G85" s="1">
        <v>2.7151484083429129</v>
      </c>
      <c r="H85" s="1"/>
      <c r="I85" s="1"/>
      <c r="J85" s="1"/>
      <c r="K85" s="8">
        <v>0.74435840520744401</v>
      </c>
      <c r="L85" s="9">
        <v>84</v>
      </c>
      <c r="M85" s="3">
        <v>0.26488058793287189</v>
      </c>
      <c r="N85" s="1"/>
      <c r="O85" s="1"/>
      <c r="P85">
        <v>-1.03775606564131E-2</v>
      </c>
      <c r="Q85">
        <v>-6.3621397992197196E-2</v>
      </c>
      <c r="R85">
        <v>-0.1353564476916288</v>
      </c>
      <c r="S85">
        <v>1.3069710530734999E-3</v>
      </c>
      <c r="T85">
        <v>-0.12782394512640141</v>
      </c>
      <c r="U85">
        <v>-0.165079052089601</v>
      </c>
      <c r="V85">
        <v>-0.14033884751721759</v>
      </c>
      <c r="W85">
        <v>-0.18991233302585109</v>
      </c>
      <c r="X85">
        <v>-0.13738689390924971</v>
      </c>
      <c r="Y85">
        <v>-3.9167252990570799E-2</v>
      </c>
      <c r="AA85" s="4">
        <f t="shared" si="2"/>
        <v>4.0682056500111691E-3</v>
      </c>
    </row>
    <row r="86" spans="1:27" x14ac:dyDescent="0.25">
      <c r="A86" s="1" t="s">
        <v>374</v>
      </c>
      <c r="B86" s="1">
        <v>-0.76521965285913018</v>
      </c>
      <c r="C86" s="1">
        <v>-1.5053305904204459</v>
      </c>
      <c r="D86" s="1">
        <v>0.84173382419129172</v>
      </c>
      <c r="E86" s="1">
        <v>0.61150493903829528</v>
      </c>
      <c r="F86" s="1">
        <v>1.291086225137333</v>
      </c>
      <c r="G86" s="1">
        <v>-1.121545954731296</v>
      </c>
      <c r="H86" s="1">
        <v>-1.0601096578564271</v>
      </c>
      <c r="I86" s="1"/>
      <c r="J86" s="1"/>
      <c r="K86" s="8">
        <v>0.85106794488729398</v>
      </c>
      <c r="L86" s="9">
        <v>85</v>
      </c>
      <c r="M86" s="3">
        <v>0.21844847365283029</v>
      </c>
      <c r="N86" s="1"/>
      <c r="O86" s="1"/>
      <c r="P86">
        <v>-1.0641592256903001E-3</v>
      </c>
      <c r="Q86">
        <v>-2.3542917098924601E-2</v>
      </c>
      <c r="R86">
        <v>1.4519256577790001E-3</v>
      </c>
      <c r="S86">
        <v>-3.0496247740318099E-2</v>
      </c>
      <c r="T86">
        <v>-3.1499306441134502E-2</v>
      </c>
      <c r="U86">
        <v>2.80588949222914E-2</v>
      </c>
      <c r="V86">
        <v>3.4675732993568499E-2</v>
      </c>
      <c r="W86">
        <v>-2.8435686532799299E-2</v>
      </c>
      <c r="X86">
        <v>-0.13582033825922421</v>
      </c>
      <c r="Y86">
        <v>-0.1746527316442589</v>
      </c>
      <c r="AA86" s="4">
        <f t="shared" si="2"/>
        <v>4.1173210647263521E-3</v>
      </c>
    </row>
    <row r="87" spans="1:27" x14ac:dyDescent="0.25">
      <c r="A87" s="1" t="s">
        <v>238</v>
      </c>
      <c r="B87" s="1">
        <v>1.957506674704691</v>
      </c>
      <c r="C87" s="1">
        <v>3.761541070965396</v>
      </c>
      <c r="D87" s="1">
        <v>2.7609524533078562</v>
      </c>
      <c r="E87" s="1">
        <v>-3.760884080662247</v>
      </c>
      <c r="F87" s="1">
        <v>-1.278315834400336</v>
      </c>
      <c r="G87" s="1">
        <v>2.8273040203171722</v>
      </c>
      <c r="H87" s="1"/>
      <c r="I87" s="1"/>
      <c r="J87" s="1"/>
      <c r="K87" s="8">
        <v>0.82282934944335495</v>
      </c>
      <c r="L87" s="9">
        <v>86</v>
      </c>
      <c r="M87" s="3">
        <v>0.76150808817919846</v>
      </c>
      <c r="N87" s="1"/>
      <c r="O87" s="1"/>
      <c r="P87">
        <v>-7.2475901103256999E-3</v>
      </c>
      <c r="Q87">
        <v>-9.6402952026912903E-2</v>
      </c>
      <c r="R87">
        <v>-7.6664442003203395E-2</v>
      </c>
      <c r="S87">
        <v>1.8322469584719201E-2</v>
      </c>
      <c r="T87">
        <v>-0.18930688068915891</v>
      </c>
      <c r="U87">
        <v>-3.1400757428769799E-2</v>
      </c>
      <c r="V87">
        <v>-1.0516688661029901E-2</v>
      </c>
      <c r="W87">
        <v>-0.14036670892287809</v>
      </c>
      <c r="X87">
        <v>-5.9401850426995299E-2</v>
      </c>
      <c r="Y87">
        <v>7.9238869054355995E-3</v>
      </c>
      <c r="AA87" s="4">
        <f t="shared" si="2"/>
        <v>4.1557392966138761E-3</v>
      </c>
    </row>
    <row r="88" spans="1:27" x14ac:dyDescent="0.25">
      <c r="A88" s="1" t="s">
        <v>284</v>
      </c>
      <c r="B88" s="1">
        <v>-0.73322068438001775</v>
      </c>
      <c r="C88" s="1">
        <v>1.5738110794135181</v>
      </c>
      <c r="D88" s="1">
        <v>3.1322030136881529</v>
      </c>
      <c r="E88" s="1">
        <v>-3.2948336817533859</v>
      </c>
      <c r="F88" s="1">
        <v>1.6992493701738289</v>
      </c>
      <c r="G88" s="1">
        <v>2.2181882511610622</v>
      </c>
      <c r="H88" s="1"/>
      <c r="I88" s="1"/>
      <c r="J88" s="1"/>
      <c r="K88" s="8">
        <v>0.80042228591373299</v>
      </c>
      <c r="L88" s="9">
        <v>87</v>
      </c>
      <c r="M88" s="3">
        <v>0.44835388907017598</v>
      </c>
      <c r="N88" s="1"/>
      <c r="O88" s="1"/>
      <c r="P88">
        <v>-8.7808121157840005E-4</v>
      </c>
      <c r="Q88">
        <v>-5.3074442992142201E-2</v>
      </c>
      <c r="R88">
        <v>1.82542933324281E-2</v>
      </c>
      <c r="S88">
        <v>0.1028894437253734</v>
      </c>
      <c r="T88">
        <v>-0.14980897485180611</v>
      </c>
      <c r="U88">
        <v>-4.2797583467751803E-2</v>
      </c>
      <c r="V88">
        <v>-3.7688779520267203E-2</v>
      </c>
      <c r="W88">
        <v>-9.3080476254876393E-2</v>
      </c>
      <c r="X88">
        <v>-5.9909342846761103E-2</v>
      </c>
      <c r="Y88">
        <v>-8.0698899707741606E-2</v>
      </c>
      <c r="AA88" s="4">
        <f t="shared" si="2"/>
        <v>4.2452891324782352E-3</v>
      </c>
    </row>
    <row r="89" spans="1:27" x14ac:dyDescent="0.25">
      <c r="A89" s="1" t="s">
        <v>236</v>
      </c>
      <c r="B89" s="1">
        <v>-2.157348934664773</v>
      </c>
      <c r="C89" s="1">
        <v>1.2523222216592651</v>
      </c>
      <c r="D89" s="1">
        <v>3.6279776996200881</v>
      </c>
      <c r="E89" s="1">
        <v>-1.5794026907586161</v>
      </c>
      <c r="F89" s="1">
        <v>-2.61397835874256</v>
      </c>
      <c r="G89" s="1">
        <v>-5.4682309669090436</v>
      </c>
      <c r="H89" s="1"/>
      <c r="I89" s="1"/>
      <c r="J89" s="1"/>
      <c r="K89" s="8">
        <v>0.766116363112464</v>
      </c>
      <c r="L89" s="9">
        <v>88</v>
      </c>
      <c r="M89" s="3">
        <v>0.1000450754234999</v>
      </c>
      <c r="N89" s="1"/>
      <c r="O89" s="1"/>
      <c r="P89">
        <v>-8.5110571837583998E-3</v>
      </c>
      <c r="Q89">
        <v>-8.49328633095041E-2</v>
      </c>
      <c r="R89">
        <v>-0.17731763201432019</v>
      </c>
      <c r="S89">
        <v>-1.22287092137027E-2</v>
      </c>
      <c r="T89">
        <v>-5.7423680058319201E-2</v>
      </c>
      <c r="U89">
        <v>-2.4072271863451799E-2</v>
      </c>
      <c r="V89">
        <v>-3.43643769452988E-2</v>
      </c>
      <c r="W89">
        <v>-4.7341180126301799E-2</v>
      </c>
      <c r="X89">
        <v>-0.20459582829778111</v>
      </c>
      <c r="Y89">
        <v>-0.1149036573542199</v>
      </c>
      <c r="AA89" s="4">
        <f t="shared" si="2"/>
        <v>4.2610157781828939E-3</v>
      </c>
    </row>
    <row r="90" spans="1:27" x14ac:dyDescent="0.25">
      <c r="A90" s="1" t="s">
        <v>261</v>
      </c>
      <c r="B90" s="1">
        <v>-1.9457279367442899</v>
      </c>
      <c r="C90" s="1">
        <v>1.0804123012190749</v>
      </c>
      <c r="D90" s="1">
        <v>3.575261251577063</v>
      </c>
      <c r="E90" s="1">
        <v>-2.499590213630186</v>
      </c>
      <c r="F90" s="1">
        <v>0.89072927117190537</v>
      </c>
      <c r="G90" s="1">
        <v>-1.7129890925390709</v>
      </c>
      <c r="H90" s="1"/>
      <c r="I90" s="1"/>
      <c r="J90" s="1"/>
      <c r="K90" s="8">
        <v>0.88843462700735498</v>
      </c>
      <c r="L90" s="9">
        <v>89</v>
      </c>
      <c r="M90" s="3">
        <v>0.1184825353029758</v>
      </c>
      <c r="N90" s="1"/>
      <c r="O90" s="1"/>
      <c r="P90">
        <v>1.118172061443E-3</v>
      </c>
      <c r="Q90">
        <v>-5.7799673343864001E-3</v>
      </c>
      <c r="R90">
        <v>3.49265319554821E-2</v>
      </c>
      <c r="S90">
        <v>3.3588091558409E-3</v>
      </c>
      <c r="T90">
        <v>-4.1793987292302298E-2</v>
      </c>
      <c r="U90">
        <v>3.0447069581080003E-4</v>
      </c>
      <c r="V90">
        <v>7.5763339163851598E-2</v>
      </c>
      <c r="W90">
        <v>-4.3639072925754996E-3</v>
      </c>
      <c r="X90">
        <v>-6.7648591456171706E-2</v>
      </c>
      <c r="Y90">
        <v>-0.1807889481284933</v>
      </c>
      <c r="AA90" s="4">
        <f t="shared" si="2"/>
        <v>4.2613783756708544E-3</v>
      </c>
    </row>
    <row r="91" spans="1:27" x14ac:dyDescent="0.25">
      <c r="A91" s="1" t="s">
        <v>156</v>
      </c>
      <c r="B91" s="1">
        <v>-1.305106177631207</v>
      </c>
      <c r="C91" s="1">
        <v>1.096241208902059</v>
      </c>
      <c r="D91" s="1">
        <v>0.62922523907160932</v>
      </c>
      <c r="E91" s="1">
        <v>2.0025495524589449</v>
      </c>
      <c r="F91" s="1">
        <v>-2.0316330743377549</v>
      </c>
      <c r="G91" s="1"/>
      <c r="H91" s="1"/>
      <c r="I91" s="1"/>
      <c r="J91" s="1"/>
      <c r="K91" s="8">
        <v>0.76983328248681104</v>
      </c>
      <c r="L91" s="9">
        <v>90</v>
      </c>
      <c r="M91" s="3">
        <v>0.1749443239595754</v>
      </c>
      <c r="N91" s="1"/>
      <c r="O91" s="1"/>
      <c r="P91">
        <v>-6.9160434105229997E-4</v>
      </c>
      <c r="Q91">
        <v>-0.1032086786305173</v>
      </c>
      <c r="R91">
        <v>3.6257272096563299E-2</v>
      </c>
      <c r="S91">
        <v>5.0130852379998897E-2</v>
      </c>
      <c r="T91">
        <v>-8.5865736733102396E-2</v>
      </c>
      <c r="U91">
        <v>3.127522722887E-3</v>
      </c>
      <c r="V91">
        <v>-0.14980308705063511</v>
      </c>
      <c r="W91">
        <v>-0.1209895504485651</v>
      </c>
      <c r="X91">
        <v>-4.3263766199015501E-2</v>
      </c>
      <c r="Y91">
        <v>-8.4097753131917696E-2</v>
      </c>
      <c r="AA91" s="4">
        <f t="shared" si="2"/>
        <v>4.3045822213558342E-3</v>
      </c>
    </row>
    <row r="92" spans="1:27" x14ac:dyDescent="0.25">
      <c r="A92" s="1" t="s">
        <v>432</v>
      </c>
      <c r="B92" s="1">
        <v>-0.36251182739635518</v>
      </c>
      <c r="C92" s="1">
        <v>-1.4771265743058939</v>
      </c>
      <c r="D92" s="1">
        <v>0.97612179714258906</v>
      </c>
      <c r="E92" s="1">
        <v>2.919188381079183</v>
      </c>
      <c r="F92" s="1">
        <v>-2.0670503185883602</v>
      </c>
      <c r="G92" s="1">
        <v>1.1572844529361019</v>
      </c>
      <c r="H92" s="1">
        <v>-1.5687975156010661</v>
      </c>
      <c r="I92" s="1"/>
      <c r="J92" s="1"/>
      <c r="K92" s="8">
        <v>0.88536006491618802</v>
      </c>
      <c r="L92" s="9">
        <v>91</v>
      </c>
      <c r="M92" s="3">
        <v>0.41318683633122649</v>
      </c>
      <c r="N92" s="1"/>
      <c r="O92" s="1"/>
      <c r="P92">
        <v>-6.4852835038918004E-3</v>
      </c>
      <c r="Q92">
        <v>-0.1497430621841114</v>
      </c>
      <c r="R92">
        <v>-8.60313242380112E-2</v>
      </c>
      <c r="S92">
        <v>-1.0269083476427699E-2</v>
      </c>
      <c r="T92">
        <v>-0.19007086991406461</v>
      </c>
      <c r="U92">
        <v>-1.9010456693156999E-3</v>
      </c>
      <c r="V92">
        <v>-8.8829690407884396E-2</v>
      </c>
      <c r="W92">
        <v>-0.15761815253054309</v>
      </c>
      <c r="X92">
        <v>-6.56276863134133E-2</v>
      </c>
      <c r="Y92">
        <v>-2.1369633630193698E-2</v>
      </c>
      <c r="AA92" s="4">
        <f t="shared" si="2"/>
        <v>4.3080314589903686E-3</v>
      </c>
    </row>
    <row r="93" spans="1:27" x14ac:dyDescent="0.25">
      <c r="A93" s="1" t="s">
        <v>286</v>
      </c>
      <c r="B93" s="1">
        <v>-1.2415952678354829</v>
      </c>
      <c r="C93" s="1">
        <v>2.3128227093848399</v>
      </c>
      <c r="D93" s="1">
        <v>-4.6058966764619846</v>
      </c>
      <c r="E93" s="1">
        <v>3.891025323394969</v>
      </c>
      <c r="F93" s="1">
        <v>2.6893539118761849</v>
      </c>
      <c r="G93" s="1">
        <v>2.0837164872305531</v>
      </c>
      <c r="H93" s="1"/>
      <c r="I93" s="1"/>
      <c r="J93" s="1"/>
      <c r="K93" s="8">
        <v>0.762951725308048</v>
      </c>
      <c r="L93" s="9">
        <v>92</v>
      </c>
      <c r="M93" s="3">
        <v>0.68576777898227115</v>
      </c>
      <c r="N93" s="1"/>
      <c r="O93" s="1"/>
      <c r="P93">
        <v>-1.8396765483054999E-3</v>
      </c>
      <c r="Q93">
        <v>-3.6770252542031798E-2</v>
      </c>
      <c r="R93">
        <v>-2.1415556541295198E-2</v>
      </c>
      <c r="S93">
        <v>-1.0827019744304099E-2</v>
      </c>
      <c r="T93">
        <v>-0.1231223186044666</v>
      </c>
      <c r="U93">
        <v>-7.7195013089154003E-3</v>
      </c>
      <c r="V93">
        <v>6.4987770862325406E-2</v>
      </c>
      <c r="W93">
        <v>-0.1754354583601167</v>
      </c>
      <c r="X93">
        <v>-9.0461200906273992E-3</v>
      </c>
      <c r="Y93">
        <v>4.2512507066446499E-2</v>
      </c>
      <c r="AA93" s="4">
        <f t="shared" si="2"/>
        <v>4.6274127854637886E-3</v>
      </c>
    </row>
    <row r="94" spans="1:27" x14ac:dyDescent="0.25">
      <c r="A94" s="1" t="s">
        <v>428</v>
      </c>
      <c r="B94" s="1">
        <v>-0.25046036390740972</v>
      </c>
      <c r="C94" s="1">
        <v>-1.520709976397616</v>
      </c>
      <c r="D94" s="1">
        <v>2.102020932463005</v>
      </c>
      <c r="E94" s="1">
        <v>-1.3649401393591409</v>
      </c>
      <c r="F94" s="1">
        <v>4.1523168535088768</v>
      </c>
      <c r="G94" s="1">
        <v>-1.9106780677456161</v>
      </c>
      <c r="H94" s="1">
        <v>-1.9704719784599609</v>
      </c>
      <c r="I94" s="1"/>
      <c r="J94" s="1"/>
      <c r="K94" s="8">
        <v>0.87908454813768599</v>
      </c>
      <c r="L94" s="9">
        <v>93</v>
      </c>
      <c r="M94" s="3">
        <v>0.38861666717650928</v>
      </c>
      <c r="N94" s="1"/>
      <c r="O94" s="1"/>
      <c r="P94">
        <v>-1.6482861799871999E-3</v>
      </c>
      <c r="Q94">
        <v>-0.13088663138209369</v>
      </c>
      <c r="R94">
        <v>-4.3571876981276002E-3</v>
      </c>
      <c r="S94">
        <v>2.4708471624190601E-2</v>
      </c>
      <c r="T94">
        <v>-0.15483789338317669</v>
      </c>
      <c r="U94">
        <v>-1.6516647973628E-2</v>
      </c>
      <c r="V94">
        <v>-5.3529943322440598E-2</v>
      </c>
      <c r="W94">
        <v>-0.1498447306111369</v>
      </c>
      <c r="X94">
        <v>7.1333165569162804E-2</v>
      </c>
      <c r="Y94">
        <v>-1.2757535923902399E-2</v>
      </c>
      <c r="AA94" s="4">
        <f t="shared" si="2"/>
        <v>5.4233889678993322E-3</v>
      </c>
    </row>
    <row r="95" spans="1:27" x14ac:dyDescent="0.25">
      <c r="A95" s="1" t="s">
        <v>381</v>
      </c>
      <c r="B95" s="1">
        <v>-0.25379337006433289</v>
      </c>
      <c r="C95" s="1">
        <v>-1.2091351932073</v>
      </c>
      <c r="D95" s="1">
        <v>0.9993727479983977</v>
      </c>
      <c r="E95" s="1">
        <v>2.8180983349826292</v>
      </c>
      <c r="F95" s="1">
        <v>-2.0612478245125581</v>
      </c>
      <c r="G95" s="1">
        <v>-0.87713752912501552</v>
      </c>
      <c r="H95" s="1">
        <v>-3.30523354964566</v>
      </c>
      <c r="I95" s="1"/>
      <c r="J95" s="1"/>
      <c r="K95" s="8">
        <v>0.79932087321267398</v>
      </c>
      <c r="L95" s="9">
        <v>94</v>
      </c>
      <c r="M95" s="3">
        <v>0.1322829447055649</v>
      </c>
      <c r="N95" s="1"/>
      <c r="O95" s="1"/>
      <c r="P95">
        <v>3.781595761372E-4</v>
      </c>
      <c r="Q95">
        <v>-3.0723419467054699E-2</v>
      </c>
      <c r="R95">
        <v>1.1519139811088E-2</v>
      </c>
      <c r="S95">
        <v>0.16008769887786961</v>
      </c>
      <c r="T95">
        <v>-0.1486511340028647</v>
      </c>
      <c r="U95">
        <v>-4.2878389011911003E-2</v>
      </c>
      <c r="V95">
        <v>-1.3659906366590299E-2</v>
      </c>
      <c r="W95">
        <v>-9.1948995777732398E-2</v>
      </c>
      <c r="X95">
        <v>4.2617367926160001E-3</v>
      </c>
      <c r="Y95">
        <v>-7.8434468791998002E-3</v>
      </c>
      <c r="AA95" s="4">
        <f t="shared" si="2"/>
        <v>5.6818739110484125E-3</v>
      </c>
    </row>
    <row r="96" spans="1:27" x14ac:dyDescent="0.25">
      <c r="A96" s="1" t="s">
        <v>300</v>
      </c>
      <c r="B96" s="1">
        <v>-0.77068670635682235</v>
      </c>
      <c r="C96" s="1">
        <v>-1.0242315849636621</v>
      </c>
      <c r="D96" s="1">
        <v>2.0397008922208908</v>
      </c>
      <c r="E96" s="1">
        <v>-2.083843840130585</v>
      </c>
      <c r="F96" s="1">
        <v>0.81278543007098603</v>
      </c>
      <c r="G96" s="1">
        <v>-2.1330864018397988</v>
      </c>
      <c r="H96" s="1"/>
      <c r="I96" s="1"/>
      <c r="J96" s="1"/>
      <c r="K96" s="8">
        <v>0.66541820884395597</v>
      </c>
      <c r="L96" s="9">
        <v>95</v>
      </c>
      <c r="M96" s="3">
        <v>0.1073546372966605</v>
      </c>
      <c r="N96" s="1"/>
      <c r="O96" s="1"/>
      <c r="P96">
        <v>-4.5122781818140003E-3</v>
      </c>
      <c r="Q96">
        <v>-6.6321762380652599E-2</v>
      </c>
      <c r="R96">
        <v>-6.11708795037718E-2</v>
      </c>
      <c r="S96">
        <v>3.5258496960997002E-3</v>
      </c>
      <c r="T96">
        <v>-8.0306277005179505E-2</v>
      </c>
      <c r="U96">
        <v>-7.7951080201615003E-3</v>
      </c>
      <c r="V96">
        <v>-3.8946200520952601E-2</v>
      </c>
      <c r="W96">
        <v>-5.0659564629156099E-2</v>
      </c>
      <c r="X96">
        <v>-0.23356088657901619</v>
      </c>
      <c r="Y96">
        <v>-0.19982845914738931</v>
      </c>
      <c r="AA96" s="4">
        <f t="shared" si="2"/>
        <v>5.8551203796064636E-3</v>
      </c>
    </row>
    <row r="97" spans="1:27" x14ac:dyDescent="0.25">
      <c r="A97" s="1" t="s">
        <v>306</v>
      </c>
      <c r="B97" s="1">
        <v>-0.2407050269126508</v>
      </c>
      <c r="C97" s="1">
        <v>-1.342422074640107</v>
      </c>
      <c r="D97" s="1">
        <v>1.1452502299902649</v>
      </c>
      <c r="E97" s="1">
        <v>0.74169140218991736</v>
      </c>
      <c r="F97" s="1">
        <v>1.834699001277829</v>
      </c>
      <c r="G97" s="1">
        <v>-1.887508952129956</v>
      </c>
      <c r="H97" s="1"/>
      <c r="I97" s="1"/>
      <c r="J97" s="1"/>
      <c r="K97" s="8">
        <v>0.85135869024127298</v>
      </c>
      <c r="L97" s="9">
        <v>96</v>
      </c>
      <c r="M97" s="3">
        <v>0.20311040955114479</v>
      </c>
      <c r="N97" s="1"/>
      <c r="O97" s="1"/>
      <c r="P97">
        <v>-3.9220410110852996E-3</v>
      </c>
      <c r="Q97">
        <v>-3.9908436446714997E-2</v>
      </c>
      <c r="R97">
        <v>-4.6127355177181299E-2</v>
      </c>
      <c r="S97">
        <v>-5.2881056655510001E-3</v>
      </c>
      <c r="T97">
        <v>-0.1806537459499164</v>
      </c>
      <c r="U97">
        <v>5.7075945837007702E-2</v>
      </c>
      <c r="V97">
        <v>-8.4919817915408397E-2</v>
      </c>
      <c r="W97">
        <v>-0.21068409794038431</v>
      </c>
      <c r="X97">
        <v>-4.3268066749687799E-2</v>
      </c>
      <c r="Y97">
        <v>-9.0685528468088999E-2</v>
      </c>
      <c r="AA97" s="4">
        <f t="shared" si="2"/>
        <v>5.9312532986309802E-3</v>
      </c>
    </row>
    <row r="98" spans="1:27" x14ac:dyDescent="0.25">
      <c r="A98" s="1" t="s">
        <v>184</v>
      </c>
      <c r="B98" s="1">
        <v>-0.3256959593048952</v>
      </c>
      <c r="C98" s="1">
        <v>-1.617616413483038</v>
      </c>
      <c r="D98" s="1">
        <v>3.4238420025469019</v>
      </c>
      <c r="E98" s="1">
        <v>-3.601884332604151</v>
      </c>
      <c r="F98" s="1">
        <v>-2.2086709541321712</v>
      </c>
      <c r="G98" s="1"/>
      <c r="H98" s="1"/>
      <c r="I98" s="1"/>
      <c r="J98" s="1"/>
      <c r="K98" s="8">
        <v>0.85904887089169901</v>
      </c>
      <c r="L98" s="9">
        <v>97</v>
      </c>
      <c r="M98" s="3">
        <v>0.21869162198824671</v>
      </c>
      <c r="N98" s="1"/>
      <c r="O98" s="1"/>
      <c r="P98">
        <v>-1.0677780955131499E-2</v>
      </c>
      <c r="Q98">
        <v>-8.8405066900145393E-2</v>
      </c>
      <c r="R98">
        <v>-0.1839311637383893</v>
      </c>
      <c r="S98">
        <v>-0.1329915780778449</v>
      </c>
      <c r="T98">
        <v>2.31283343774106E-2</v>
      </c>
      <c r="U98">
        <v>2.2387821434240899E-2</v>
      </c>
      <c r="V98">
        <v>7.43999586597867E-2</v>
      </c>
      <c r="W98">
        <v>-9.6170253468518402E-2</v>
      </c>
      <c r="X98">
        <v>-2.1131967686129401E-2</v>
      </c>
      <c r="Y98">
        <v>-0.1160659229937499</v>
      </c>
      <c r="AA98" s="4">
        <f t="shared" ref="AA98:AA129" si="3">_xlfn.COVARIANCE.P(P98:Y98,P98:Y98)</f>
        <v>6.115243106402414E-3</v>
      </c>
    </row>
    <row r="99" spans="1:27" x14ac:dyDescent="0.25">
      <c r="A99" s="1" t="s">
        <v>166</v>
      </c>
      <c r="B99" s="1">
        <v>-1.3718464661703731</v>
      </c>
      <c r="C99" s="1">
        <v>1.154909129616156</v>
      </c>
      <c r="D99" s="1">
        <v>0.65654487742231216</v>
      </c>
      <c r="E99" s="1">
        <v>2.0883794437564629</v>
      </c>
      <c r="F99" s="1">
        <v>-2.134654388387986</v>
      </c>
      <c r="G99" s="1"/>
      <c r="H99" s="1"/>
      <c r="I99" s="1"/>
      <c r="J99" s="1"/>
      <c r="K99" s="8">
        <v>0.74465424493791998</v>
      </c>
      <c r="L99" s="9">
        <v>98</v>
      </c>
      <c r="M99" s="3">
        <v>0.1236564146965753</v>
      </c>
      <c r="N99" s="1"/>
      <c r="O99" s="1"/>
      <c r="P99">
        <v>-4.5092343926750002E-4</v>
      </c>
      <c r="Q99">
        <v>-0.1135401967000291</v>
      </c>
      <c r="R99">
        <v>4.9414661248278403E-2</v>
      </c>
      <c r="S99">
        <v>8.2694799397449795E-2</v>
      </c>
      <c r="T99">
        <v>-0.1039529316867545</v>
      </c>
      <c r="U99">
        <v>-1.27510715167902E-2</v>
      </c>
      <c r="V99">
        <v>-0.17212971122715401</v>
      </c>
      <c r="W99">
        <v>-0.1415716001149297</v>
      </c>
      <c r="X99">
        <v>-3.4512293020471402E-2</v>
      </c>
      <c r="Y99">
        <v>-7.9594329081768098E-2</v>
      </c>
      <c r="AA99" s="4">
        <f t="shared" si="3"/>
        <v>6.2629109255274611E-3</v>
      </c>
    </row>
    <row r="100" spans="1:27" x14ac:dyDescent="0.25">
      <c r="A100" s="1" t="s">
        <v>294</v>
      </c>
      <c r="B100" s="1">
        <v>-1.1487812989509181</v>
      </c>
      <c r="C100" s="1">
        <v>2.1907385501412668</v>
      </c>
      <c r="D100" s="1">
        <v>-1.4048866553675461</v>
      </c>
      <c r="E100" s="1">
        <v>-5.2808386260393974</v>
      </c>
      <c r="F100" s="1">
        <v>4.221813267361572</v>
      </c>
      <c r="G100" s="1">
        <v>2.5685960040933078</v>
      </c>
      <c r="H100" s="1"/>
      <c r="I100" s="1"/>
      <c r="J100" s="1"/>
      <c r="K100" s="8">
        <v>0.87400538184968002</v>
      </c>
      <c r="L100" s="9">
        <v>99</v>
      </c>
      <c r="M100" s="3">
        <v>0.59529622921894798</v>
      </c>
      <c r="N100" s="1"/>
      <c r="O100" s="1"/>
      <c r="P100">
        <v>2.3304825825431002E-3</v>
      </c>
      <c r="Q100">
        <v>-2.8965808484656599E-2</v>
      </c>
      <c r="R100">
        <v>4.0210248832093898E-2</v>
      </c>
      <c r="S100">
        <v>9.4699372188316894E-2</v>
      </c>
      <c r="T100">
        <v>-0.15144570683869271</v>
      </c>
      <c r="U100">
        <v>-1.9360853858194998E-2</v>
      </c>
      <c r="V100">
        <v>1.7000700520352002E-2</v>
      </c>
      <c r="W100">
        <v>-0.15983055296361151</v>
      </c>
      <c r="X100">
        <v>4.3124325941087102E-2</v>
      </c>
      <c r="Y100">
        <v>5.5452544029905397E-2</v>
      </c>
      <c r="AA100" s="4">
        <f t="shared" si="3"/>
        <v>6.4369141882197178E-3</v>
      </c>
    </row>
    <row r="101" spans="1:27" x14ac:dyDescent="0.25">
      <c r="A101" s="1" t="s">
        <v>295</v>
      </c>
      <c r="B101" s="1">
        <v>-0.73037351008144613</v>
      </c>
      <c r="C101" s="1">
        <v>-0.97483699674040514</v>
      </c>
      <c r="D101" s="1">
        <v>1.9323212516740551</v>
      </c>
      <c r="E101" s="1">
        <v>-1.9420952355224601</v>
      </c>
      <c r="F101" s="1">
        <v>0.76734677898000647</v>
      </c>
      <c r="G101" s="1">
        <v>-2.0100822810442902</v>
      </c>
      <c r="H101" s="1"/>
      <c r="I101" s="1"/>
      <c r="J101" s="1"/>
      <c r="K101" s="8">
        <v>0.83112527361772404</v>
      </c>
      <c r="L101" s="9">
        <v>100</v>
      </c>
      <c r="M101" s="3">
        <v>0.1158538748540241</v>
      </c>
      <c r="N101" s="1"/>
      <c r="O101" s="1"/>
      <c r="P101">
        <v>-4.2497986442293001E-3</v>
      </c>
      <c r="Q101">
        <v>-7.6898595362352204E-2</v>
      </c>
      <c r="R101">
        <v>-4.47572900338499E-2</v>
      </c>
      <c r="S101">
        <v>-6.510104995344E-3</v>
      </c>
      <c r="T101">
        <v>-0.10293082134436091</v>
      </c>
      <c r="U101">
        <v>6.7868945649006999E-3</v>
      </c>
      <c r="V101">
        <v>-1.7674454968561001E-2</v>
      </c>
      <c r="W101">
        <v>-7.38277038594191E-2</v>
      </c>
      <c r="X101">
        <v>-0.24040031154517061</v>
      </c>
      <c r="Y101">
        <v>-0.2034940210732491</v>
      </c>
      <c r="AA101" s="4">
        <f t="shared" si="3"/>
        <v>6.5220001113710183E-3</v>
      </c>
    </row>
    <row r="102" spans="1:27" x14ac:dyDescent="0.25">
      <c r="A102" s="1" t="s">
        <v>189</v>
      </c>
      <c r="B102" s="1">
        <v>-0.35021671956357597</v>
      </c>
      <c r="C102" s="1">
        <v>-1.632047850432462</v>
      </c>
      <c r="D102" s="1">
        <v>3.486335274539607</v>
      </c>
      <c r="E102" s="1">
        <v>-3.6412835687649689</v>
      </c>
      <c r="F102" s="1">
        <v>-2.2278169207116192</v>
      </c>
      <c r="G102" s="1"/>
      <c r="H102" s="1"/>
      <c r="I102" s="1"/>
      <c r="J102" s="1"/>
      <c r="K102" s="8">
        <v>0.673885413424261</v>
      </c>
      <c r="L102" s="9">
        <v>101</v>
      </c>
      <c r="M102" s="3">
        <v>0.181922126752776</v>
      </c>
      <c r="N102" s="1"/>
      <c r="O102" s="1"/>
      <c r="P102">
        <v>-1.31331182525759E-2</v>
      </c>
      <c r="Q102">
        <v>-0.11219165330388881</v>
      </c>
      <c r="R102">
        <v>-0.2136198570947393</v>
      </c>
      <c r="S102">
        <v>-0.1210085295605357</v>
      </c>
      <c r="T102">
        <v>4.2404393781084E-3</v>
      </c>
      <c r="U102">
        <v>2.61647723569166E-2</v>
      </c>
      <c r="V102">
        <v>7.4719092527046893E-2</v>
      </c>
      <c r="W102">
        <v>-0.10108324198036039</v>
      </c>
      <c r="X102">
        <v>-2.6248652810682501E-2</v>
      </c>
      <c r="Y102">
        <v>-0.11626234874851871</v>
      </c>
      <c r="AA102" s="4">
        <f t="shared" si="3"/>
        <v>6.7934199823647731E-3</v>
      </c>
    </row>
    <row r="103" spans="1:27" x14ac:dyDescent="0.25">
      <c r="A103" s="1" t="s">
        <v>262</v>
      </c>
      <c r="B103" s="1">
        <v>-1.572101964350912</v>
      </c>
      <c r="C103" s="1">
        <v>2.2208090005790879</v>
      </c>
      <c r="D103" s="1">
        <v>-1.4279103745033179</v>
      </c>
      <c r="E103" s="1">
        <v>4.2117000407472931</v>
      </c>
      <c r="F103" s="1">
        <v>-1.8746300695398079</v>
      </c>
      <c r="G103" s="1">
        <v>-2.058200867080894</v>
      </c>
      <c r="H103" s="1"/>
      <c r="I103" s="1"/>
      <c r="J103" s="1"/>
      <c r="K103" s="8">
        <v>0.89477433020158903</v>
      </c>
      <c r="L103" s="9">
        <v>102</v>
      </c>
      <c r="M103" s="3">
        <v>0.3056650509059145</v>
      </c>
      <c r="N103" s="1"/>
      <c r="O103" s="1"/>
      <c r="P103">
        <v>-2.1961292905919002E-3</v>
      </c>
      <c r="Q103">
        <v>-0.16590331523242849</v>
      </c>
      <c r="R103">
        <v>6.6531084370917998E-3</v>
      </c>
      <c r="S103">
        <v>2.46545665793832E-2</v>
      </c>
      <c r="T103">
        <v>-0.20288816826805761</v>
      </c>
      <c r="U103">
        <v>-1.3742124533138399E-2</v>
      </c>
      <c r="V103">
        <v>-6.8976418751078003E-2</v>
      </c>
      <c r="W103">
        <v>-0.17823691121377899</v>
      </c>
      <c r="X103">
        <v>-1.5856643591907301E-2</v>
      </c>
      <c r="Y103">
        <v>-0.1395088974163079</v>
      </c>
      <c r="AA103" s="4">
        <f t="shared" si="3"/>
        <v>6.8619866658837583E-3</v>
      </c>
    </row>
    <row r="104" spans="1:27" x14ac:dyDescent="0.25">
      <c r="A104" s="1" t="s">
        <v>341</v>
      </c>
      <c r="B104" s="1">
        <v>-0.19678766353304819</v>
      </c>
      <c r="C104" s="1">
        <v>-0.31990222524818063</v>
      </c>
      <c r="D104" s="1">
        <v>-1.589833577817326</v>
      </c>
      <c r="E104" s="1">
        <v>3.3737577428200449</v>
      </c>
      <c r="F104" s="1">
        <v>-3.569380229196748</v>
      </c>
      <c r="G104" s="1">
        <v>-2.1791662750212581</v>
      </c>
      <c r="H104" s="1"/>
      <c r="I104" s="1"/>
      <c r="J104" s="1"/>
      <c r="K104" s="8">
        <v>0.82073912872090404</v>
      </c>
      <c r="L104" s="9">
        <v>103</v>
      </c>
      <c r="M104" s="3">
        <v>0.20296775667489009</v>
      </c>
      <c r="N104" s="1"/>
      <c r="O104" s="1"/>
      <c r="P104">
        <v>-9.4731892395756006E-3</v>
      </c>
      <c r="Q104">
        <v>-6.7182556717772596E-2</v>
      </c>
      <c r="R104">
        <v>-0.1836706717028562</v>
      </c>
      <c r="S104">
        <v>-0.1238804172788296</v>
      </c>
      <c r="T104">
        <v>8.5710912664078306E-2</v>
      </c>
      <c r="U104">
        <v>2.0842065410403999E-2</v>
      </c>
      <c r="V104">
        <v>8.2927600433195206E-2</v>
      </c>
      <c r="W104">
        <v>-3.7308682752398903E-2</v>
      </c>
      <c r="X104">
        <v>5.25536173396123E-2</v>
      </c>
      <c r="Y104">
        <v>2.6569464629690002E-4</v>
      </c>
      <c r="AA104" s="4">
        <f t="shared" si="3"/>
        <v>6.9284316819000239E-3</v>
      </c>
    </row>
    <row r="105" spans="1:27" x14ac:dyDescent="0.25">
      <c r="A105" s="1" t="s">
        <v>343</v>
      </c>
      <c r="B105" s="1">
        <v>-0.19821775508252429</v>
      </c>
      <c r="C105" s="1">
        <v>-0.34162165533001582</v>
      </c>
      <c r="D105" s="1">
        <v>-1.588376558964691</v>
      </c>
      <c r="E105" s="1">
        <v>3.4252977580511779</v>
      </c>
      <c r="F105" s="1">
        <v>-3.6114253000889369</v>
      </c>
      <c r="G105" s="1">
        <v>-2.1968798874685258</v>
      </c>
      <c r="H105" s="1"/>
      <c r="I105" s="1"/>
      <c r="J105" s="1"/>
      <c r="K105" s="8">
        <v>0.76222345985073803</v>
      </c>
      <c r="L105" s="9">
        <v>104</v>
      </c>
      <c r="M105" s="3">
        <v>0.1638220643998623</v>
      </c>
      <c r="N105" s="1"/>
      <c r="O105" s="1"/>
      <c r="P105">
        <v>-1.23242858802971E-2</v>
      </c>
      <c r="Q105">
        <v>-9.8144214970623103E-2</v>
      </c>
      <c r="R105">
        <v>-0.2169609140119946</v>
      </c>
      <c r="S105">
        <v>-0.11305983584014161</v>
      </c>
      <c r="T105">
        <v>5.70723585413484E-2</v>
      </c>
      <c r="U105">
        <v>2.1818989347785901E-2</v>
      </c>
      <c r="V105">
        <v>8.0291749691974307E-2</v>
      </c>
      <c r="W105">
        <v>-4.8836102395928498E-2</v>
      </c>
      <c r="X105">
        <v>4.2157043380073103E-2</v>
      </c>
      <c r="Y105">
        <v>-2.1234608972427E-3</v>
      </c>
      <c r="AA105" s="4">
        <f t="shared" si="3"/>
        <v>7.5569213190950311E-3</v>
      </c>
    </row>
    <row r="106" spans="1:27" x14ac:dyDescent="0.25">
      <c r="A106" s="1" t="s">
        <v>479</v>
      </c>
      <c r="B106" s="1">
        <v>-0.4358309286460883</v>
      </c>
      <c r="C106" s="1">
        <v>-2.2407267316790609</v>
      </c>
      <c r="D106" s="1">
        <v>1.4224295926250989</v>
      </c>
      <c r="E106" s="1">
        <v>3.9976075479904152</v>
      </c>
      <c r="F106" s="1">
        <v>-3.3366234062581941</v>
      </c>
      <c r="G106" s="1">
        <v>0.93287670897277464</v>
      </c>
      <c r="H106" s="1">
        <v>-1.5868430017176789</v>
      </c>
      <c r="I106" s="1">
        <v>0.80512602415322365</v>
      </c>
      <c r="J106" s="1"/>
      <c r="K106" s="8">
        <v>0.86570913175578201</v>
      </c>
      <c r="L106" s="9">
        <v>105</v>
      </c>
      <c r="M106" s="3">
        <v>0.24638540345356849</v>
      </c>
      <c r="N106" s="1"/>
      <c r="O106" s="1"/>
      <c r="P106">
        <v>-5.1611456915213998E-3</v>
      </c>
      <c r="Q106">
        <v>-0.12958097801167251</v>
      </c>
      <c r="R106">
        <v>-1.7275221534199501E-2</v>
      </c>
      <c r="S106">
        <v>-5.3949967533758001E-3</v>
      </c>
      <c r="T106">
        <v>-0.2257706142694669</v>
      </c>
      <c r="U106">
        <v>-3.70581980657263E-2</v>
      </c>
      <c r="V106">
        <v>-4.2735322511995903E-2</v>
      </c>
      <c r="W106">
        <v>-0.19038361070620111</v>
      </c>
      <c r="X106">
        <v>6.9705796748209994E-2</v>
      </c>
      <c r="Y106">
        <v>1.4534556088679999E-4</v>
      </c>
      <c r="AA106" s="4">
        <f t="shared" si="3"/>
        <v>7.8373964192262214E-3</v>
      </c>
    </row>
    <row r="107" spans="1:27" x14ac:dyDescent="0.25">
      <c r="A107" s="1" t="s">
        <v>305</v>
      </c>
      <c r="B107" s="1">
        <v>-0.83667616101502773</v>
      </c>
      <c r="C107" s="1">
        <v>-1.430372237191464</v>
      </c>
      <c r="D107" s="1">
        <v>1.541442802781857</v>
      </c>
      <c r="E107" s="1">
        <v>0.71080044440910073</v>
      </c>
      <c r="F107" s="1">
        <v>1.1813747745860641</v>
      </c>
      <c r="G107" s="1">
        <v>-0.87890582239760517</v>
      </c>
      <c r="H107" s="1"/>
      <c r="I107" s="1"/>
      <c r="J107" s="1"/>
      <c r="K107" s="8">
        <v>0.86896250111808504</v>
      </c>
      <c r="L107" s="9">
        <v>106</v>
      </c>
      <c r="M107" s="3">
        <v>0.1899297237265645</v>
      </c>
      <c r="N107" s="1"/>
      <c r="O107" s="1"/>
      <c r="P107">
        <v>-3.8450689037307999E-3</v>
      </c>
      <c r="Q107">
        <v>-4.7863443405299001E-2</v>
      </c>
      <c r="R107">
        <v>-8.0763904762099603E-2</v>
      </c>
      <c r="S107">
        <v>-0.1254044225710749</v>
      </c>
      <c r="T107">
        <v>-3.6304317956935298E-2</v>
      </c>
      <c r="U107">
        <v>5.7045715466001699E-2</v>
      </c>
      <c r="V107">
        <v>0.1345165509986849</v>
      </c>
      <c r="W107">
        <v>-5.5220043535685902E-2</v>
      </c>
      <c r="X107">
        <v>-0.1545795332981777</v>
      </c>
      <c r="Y107">
        <v>-0.16437176329647421</v>
      </c>
      <c r="AA107" s="4">
        <f t="shared" si="3"/>
        <v>7.8450960359225334E-3</v>
      </c>
    </row>
    <row r="108" spans="1:27" x14ac:dyDescent="0.25">
      <c r="A108" s="1" t="s">
        <v>227</v>
      </c>
      <c r="B108" s="1">
        <v>-0.21607312278012031</v>
      </c>
      <c r="C108" s="1">
        <v>-0.66037619758483312</v>
      </c>
      <c r="D108" s="1">
        <v>-1.6771730843449231</v>
      </c>
      <c r="E108" s="1">
        <v>1.4141915815403989</v>
      </c>
      <c r="F108" s="1">
        <v>0.5862119769804871</v>
      </c>
      <c r="G108" s="1"/>
      <c r="H108" s="1"/>
      <c r="I108" s="1"/>
      <c r="J108" s="1"/>
      <c r="K108" s="8">
        <v>0.77626032739623396</v>
      </c>
      <c r="L108" s="9">
        <v>107</v>
      </c>
      <c r="M108" s="3">
        <v>0.19526767279405</v>
      </c>
      <c r="N108" s="1"/>
      <c r="O108" s="1"/>
      <c r="P108">
        <v>-9.9340104394511006E-3</v>
      </c>
      <c r="Q108">
        <v>-0.1456758436455293</v>
      </c>
      <c r="R108">
        <v>-0.19410544234956589</v>
      </c>
      <c r="S108">
        <v>-0.16869573453048961</v>
      </c>
      <c r="T108">
        <v>-8.8488319274144606E-2</v>
      </c>
      <c r="U108">
        <v>-4.8880920234269003E-3</v>
      </c>
      <c r="V108">
        <v>-3.3289111388400999E-3</v>
      </c>
      <c r="W108">
        <v>-0.25512975206995558</v>
      </c>
      <c r="X108">
        <v>-5.0631506860382E-3</v>
      </c>
      <c r="Y108">
        <v>-1.61123019515193E-2</v>
      </c>
      <c r="AA108" s="4">
        <f t="shared" si="3"/>
        <v>8.1233660058895405E-3</v>
      </c>
    </row>
    <row r="109" spans="1:27" x14ac:dyDescent="0.25">
      <c r="A109" s="1" t="s">
        <v>475</v>
      </c>
      <c r="B109" s="1">
        <v>-0.37930349583454931</v>
      </c>
      <c r="C109" s="1">
        <v>-1.983345961628999</v>
      </c>
      <c r="D109" s="1">
        <v>1.8497594074844601</v>
      </c>
      <c r="E109" s="1">
        <v>-0.98055729718203322</v>
      </c>
      <c r="F109" s="1">
        <v>3.019093893929929</v>
      </c>
      <c r="G109" s="1">
        <v>-2.5561754175663709</v>
      </c>
      <c r="H109" s="1">
        <v>0.72750270892301927</v>
      </c>
      <c r="I109" s="1">
        <v>-1.2209094869000181</v>
      </c>
      <c r="J109" s="1"/>
      <c r="K109" s="8">
        <v>0.65515706383926797</v>
      </c>
      <c r="L109" s="9">
        <v>108</v>
      </c>
      <c r="M109" s="3">
        <v>0.1850378219080894</v>
      </c>
      <c r="N109" s="1"/>
      <c r="O109" s="1"/>
      <c r="P109">
        <v>-5.8145627336653001E-3</v>
      </c>
      <c r="Q109">
        <v>-0.1527775105886969</v>
      </c>
      <c r="R109">
        <v>-3.9138690878428299E-2</v>
      </c>
      <c r="S109">
        <v>-3.5275430814223498E-2</v>
      </c>
      <c r="T109">
        <v>-0.22852493224413831</v>
      </c>
      <c r="U109">
        <v>-4.4660307909852502E-2</v>
      </c>
      <c r="V109">
        <v>-4.62069200202831E-2</v>
      </c>
      <c r="W109">
        <v>-0.2111754285294119</v>
      </c>
      <c r="X109">
        <v>7.1036373215229903E-2</v>
      </c>
      <c r="Y109">
        <v>-7.1942720568878996E-3</v>
      </c>
      <c r="AA109" s="4">
        <f t="shared" si="3"/>
        <v>8.3234779968528808E-3</v>
      </c>
    </row>
    <row r="110" spans="1:27" x14ac:dyDescent="0.25">
      <c r="A110" s="1" t="s">
        <v>434</v>
      </c>
      <c r="B110" s="1">
        <v>-0.28908817875356752</v>
      </c>
      <c r="C110" s="1">
        <v>-1.5474770374231761</v>
      </c>
      <c r="D110" s="1">
        <v>1.3632180028209699</v>
      </c>
      <c r="E110" s="1">
        <v>5.7153887864091262</v>
      </c>
      <c r="F110" s="1">
        <v>-2.6693672376371511</v>
      </c>
      <c r="G110" s="1">
        <v>-2.5826898752123819</v>
      </c>
      <c r="H110" s="1">
        <v>1.1384375600764041</v>
      </c>
      <c r="I110" s="1"/>
      <c r="J110" s="1"/>
      <c r="K110" s="8">
        <v>0.88618366932862402</v>
      </c>
      <c r="L110" s="9">
        <v>109</v>
      </c>
      <c r="M110" s="3">
        <v>0.54644476446835677</v>
      </c>
      <c r="N110" s="1"/>
      <c r="O110" s="1"/>
      <c r="P110">
        <v>-1.6456336624402E-3</v>
      </c>
      <c r="Q110">
        <v>-0.12462162485704351</v>
      </c>
      <c r="R110">
        <v>1.6822515431789802E-2</v>
      </c>
      <c r="S110">
        <v>5.1587114691227898E-2</v>
      </c>
      <c r="T110">
        <v>-0.21570543747684229</v>
      </c>
      <c r="U110">
        <v>-3.5212125120275703E-2</v>
      </c>
      <c r="V110">
        <v>-6.5972498027637397E-2</v>
      </c>
      <c r="W110">
        <v>-0.19398925215657001</v>
      </c>
      <c r="X110">
        <v>5.0676202590412001E-2</v>
      </c>
      <c r="Y110">
        <v>-5.4837288103496001E-3</v>
      </c>
      <c r="AA110" s="4">
        <f t="shared" si="3"/>
        <v>8.3418682736985904E-3</v>
      </c>
    </row>
    <row r="111" spans="1:27" x14ac:dyDescent="0.25">
      <c r="A111" s="1" t="s">
        <v>273</v>
      </c>
      <c r="B111" s="1">
        <v>-1.618757416401309</v>
      </c>
      <c r="C111" s="1">
        <v>1.4582030197845499</v>
      </c>
      <c r="D111" s="1">
        <v>5.6419120778594136</v>
      </c>
      <c r="E111" s="1">
        <v>-2.5616072755166912</v>
      </c>
      <c r="F111" s="1">
        <v>-2.6043127192123752</v>
      </c>
      <c r="G111" s="1">
        <v>1.118769237513398</v>
      </c>
      <c r="H111" s="1"/>
      <c r="I111" s="1"/>
      <c r="J111" s="1"/>
      <c r="K111" s="8">
        <v>0.826909417024138</v>
      </c>
      <c r="L111" s="9">
        <v>110</v>
      </c>
      <c r="M111" s="3">
        <v>0.30349608001371869</v>
      </c>
      <c r="N111" s="1"/>
      <c r="O111" s="1"/>
      <c r="P111">
        <v>-1.6264062037023999E-3</v>
      </c>
      <c r="Q111">
        <v>-0.15803296877044651</v>
      </c>
      <c r="R111">
        <v>2.88925345834735E-2</v>
      </c>
      <c r="S111">
        <v>4.67683436397833E-2</v>
      </c>
      <c r="T111">
        <v>-0.2266933332203046</v>
      </c>
      <c r="U111">
        <v>-3.20450618406583E-2</v>
      </c>
      <c r="V111">
        <v>-8.04361516176261E-2</v>
      </c>
      <c r="W111">
        <v>-0.2024702469268195</v>
      </c>
      <c r="X111">
        <v>-3.2455161105084701E-2</v>
      </c>
      <c r="Y111">
        <v>-0.1450423083765166</v>
      </c>
      <c r="AA111" s="4">
        <f t="shared" si="3"/>
        <v>8.5467150319816394E-3</v>
      </c>
    </row>
    <row r="112" spans="1:27" x14ac:dyDescent="0.25">
      <c r="A112" s="1" t="s">
        <v>437</v>
      </c>
      <c r="B112" s="1">
        <v>-0.25073041765736331</v>
      </c>
      <c r="C112" s="1">
        <v>-1.5557157298582329</v>
      </c>
      <c r="D112" s="1">
        <v>2.1728830832507868</v>
      </c>
      <c r="E112" s="1">
        <v>-1.3995799144225149</v>
      </c>
      <c r="F112" s="1">
        <v>4.2695001889084132</v>
      </c>
      <c r="G112" s="1">
        <v>-1.9622351626360961</v>
      </c>
      <c r="H112" s="1">
        <v>-2.0359037723943829</v>
      </c>
      <c r="I112" s="1"/>
      <c r="J112" s="1"/>
      <c r="K112" s="8">
        <v>0.78998385554879702</v>
      </c>
      <c r="L112" s="9">
        <v>111</v>
      </c>
      <c r="M112" s="3">
        <v>0.22935240254124639</v>
      </c>
      <c r="N112" s="1"/>
      <c r="O112" s="1"/>
      <c r="P112">
        <v>-3.0053021605144E-3</v>
      </c>
      <c r="Q112">
        <v>-0.1733563763569784</v>
      </c>
      <c r="R112">
        <v>-2.0502205850908201E-2</v>
      </c>
      <c r="S112">
        <v>4.1051055201692499E-2</v>
      </c>
      <c r="T112">
        <v>-0.21098727305115139</v>
      </c>
      <c r="U112">
        <v>-3.11734566406968E-2</v>
      </c>
      <c r="V112">
        <v>-7.5814863561943793E-2</v>
      </c>
      <c r="W112">
        <v>-0.2008627224748562</v>
      </c>
      <c r="X112">
        <v>7.1494847158042704E-2</v>
      </c>
      <c r="Y112">
        <v>-1.55975865146534E-2</v>
      </c>
      <c r="AA112" s="4">
        <f t="shared" si="3"/>
        <v>9.08172961955858E-3</v>
      </c>
    </row>
    <row r="113" spans="1:27" x14ac:dyDescent="0.25">
      <c r="A113" s="1" t="s">
        <v>111</v>
      </c>
      <c r="B113" s="1">
        <v>-0.66187798820525734</v>
      </c>
      <c r="C113" s="1">
        <v>-1.6754513607867321</v>
      </c>
      <c r="D113" s="1">
        <v>1.421776440482361</v>
      </c>
      <c r="E113" s="1">
        <v>0.59466117137108399</v>
      </c>
      <c r="F113" s="1"/>
      <c r="G113" s="1"/>
      <c r="H113" s="1"/>
      <c r="I113" s="1"/>
      <c r="J113" s="1"/>
      <c r="K113" s="8">
        <v>0.85462612429030105</v>
      </c>
      <c r="L113" s="9">
        <v>112</v>
      </c>
      <c r="M113" s="3">
        <v>0.16241031752135329</v>
      </c>
      <c r="N113" s="1"/>
      <c r="O113" s="1"/>
      <c r="P113">
        <v>-1.1081402806726899E-2</v>
      </c>
      <c r="Q113">
        <v>-0.17983344287331979</v>
      </c>
      <c r="R113">
        <v>-0.18231827060974251</v>
      </c>
      <c r="S113">
        <v>-0.16891890448363531</v>
      </c>
      <c r="T113">
        <v>-0.17368374488976229</v>
      </c>
      <c r="U113">
        <v>-2.9360084914186999E-3</v>
      </c>
      <c r="V113">
        <v>-1.6424130260676399E-2</v>
      </c>
      <c r="W113">
        <v>-0.33252211392029002</v>
      </c>
      <c r="X113">
        <v>-8.1163587121230299E-2</v>
      </c>
      <c r="Y113">
        <v>-0.14343059794216079</v>
      </c>
      <c r="AA113" s="4">
        <f t="shared" si="3"/>
        <v>9.5404565634590079E-3</v>
      </c>
    </row>
    <row r="114" spans="1:27" x14ac:dyDescent="0.25">
      <c r="A114" s="1" t="s">
        <v>383</v>
      </c>
      <c r="B114" s="1">
        <v>-0.3485099936262781</v>
      </c>
      <c r="C114" s="1">
        <v>-2.1223877766152839</v>
      </c>
      <c r="D114" s="1">
        <v>1.1699729404775061</v>
      </c>
      <c r="E114" s="1">
        <v>3.0566260452937248</v>
      </c>
      <c r="F114" s="1">
        <v>-1.9241907093666839</v>
      </c>
      <c r="G114" s="1">
        <v>-1.746466027597096</v>
      </c>
      <c r="H114" s="1">
        <v>-4.5002722082727651</v>
      </c>
      <c r="I114" s="1"/>
      <c r="J114" s="1"/>
      <c r="K114" s="8">
        <v>0.66470417748968302</v>
      </c>
      <c r="L114" s="9">
        <v>113</v>
      </c>
      <c r="M114" s="3">
        <v>0.17383620142765499</v>
      </c>
      <c r="N114" s="1"/>
      <c r="O114" s="1"/>
      <c r="P114">
        <v>-8.0936746213090003E-4</v>
      </c>
      <c r="Q114">
        <v>-8.2491681688227902E-2</v>
      </c>
      <c r="R114">
        <v>4.5120131147068303E-2</v>
      </c>
      <c r="S114">
        <v>0.15346089878830779</v>
      </c>
      <c r="T114">
        <v>-0.21339941825140141</v>
      </c>
      <c r="U114">
        <v>-4.0541941506373497E-2</v>
      </c>
      <c r="V114">
        <v>-6.3606181816677307E-2</v>
      </c>
      <c r="W114">
        <v>-0.17109573060967651</v>
      </c>
      <c r="X114">
        <v>1.7291373145668198E-2</v>
      </c>
      <c r="Y114">
        <v>-6.2975522880804505E-2</v>
      </c>
      <c r="AA114" s="4">
        <f t="shared" si="3"/>
        <v>9.9598894719639917E-3</v>
      </c>
    </row>
    <row r="115" spans="1:27" x14ac:dyDescent="0.25">
      <c r="A115" s="1" t="s">
        <v>275</v>
      </c>
      <c r="B115" s="1">
        <v>-1.6255195757471821</v>
      </c>
      <c r="C115" s="1">
        <v>2.311620212573283</v>
      </c>
      <c r="D115" s="1">
        <v>-1.466259228665149</v>
      </c>
      <c r="E115" s="1">
        <v>4.3375304583240659</v>
      </c>
      <c r="F115" s="1">
        <v>-1.9233400183041161</v>
      </c>
      <c r="G115" s="1">
        <v>-2.1348707032685512</v>
      </c>
      <c r="H115" s="1"/>
      <c r="I115" s="1"/>
      <c r="J115" s="1"/>
      <c r="K115" s="8">
        <v>0.81879969986585399</v>
      </c>
      <c r="L115" s="9">
        <v>114</v>
      </c>
      <c r="M115" s="3">
        <v>0.20779136981902099</v>
      </c>
      <c r="N115" s="1"/>
      <c r="O115" s="1"/>
      <c r="P115">
        <v>-3.0634914994350001E-3</v>
      </c>
      <c r="Q115">
        <v>-0.20137934564297461</v>
      </c>
      <c r="R115">
        <v>-2.4327756887887E-3</v>
      </c>
      <c r="S115">
        <v>4.4138458519826299E-2</v>
      </c>
      <c r="T115">
        <v>-0.25135694598185021</v>
      </c>
      <c r="U115">
        <v>-2.6278484228429301E-2</v>
      </c>
      <c r="V115">
        <v>-8.93693842675857E-2</v>
      </c>
      <c r="W115">
        <v>-0.2242379198348696</v>
      </c>
      <c r="X115">
        <v>-9.7815263228958008E-3</v>
      </c>
      <c r="Y115">
        <v>-0.13931077657020099</v>
      </c>
      <c r="AA115" s="4">
        <f t="shared" si="3"/>
        <v>1.0260678472935098E-2</v>
      </c>
    </row>
    <row r="116" spans="1:27" x14ac:dyDescent="0.25">
      <c r="A116" s="1" t="s">
        <v>288</v>
      </c>
      <c r="B116" s="1">
        <v>-0.63903903323138711</v>
      </c>
      <c r="C116" s="1">
        <v>0.78427791305035599</v>
      </c>
      <c r="D116" s="1">
        <v>2.5812464862393809</v>
      </c>
      <c r="E116" s="1">
        <v>-2.8468984518997931</v>
      </c>
      <c r="F116" s="1">
        <v>1.519387790181109</v>
      </c>
      <c r="G116" s="1">
        <v>1.1294706782686541</v>
      </c>
      <c r="H116" s="1"/>
      <c r="I116" s="1"/>
      <c r="J116" s="1"/>
      <c r="K116" s="8">
        <v>0.777729237452636</v>
      </c>
      <c r="L116" s="9">
        <v>115</v>
      </c>
      <c r="M116" s="3">
        <v>0.1010331424755098</v>
      </c>
      <c r="N116" s="1"/>
      <c r="O116" s="1"/>
      <c r="P116">
        <v>-2.7241817412940999E-3</v>
      </c>
      <c r="Q116">
        <v>-7.3374705421367106E-2</v>
      </c>
      <c r="R116">
        <v>1.7980730681813001E-3</v>
      </c>
      <c r="S116">
        <v>0.1523034784418181</v>
      </c>
      <c r="T116">
        <v>-0.25575175714265391</v>
      </c>
      <c r="U116">
        <v>-9.0220151825433706E-2</v>
      </c>
      <c r="V116">
        <v>-9.1980584715413705E-2</v>
      </c>
      <c r="W116">
        <v>-0.214023511963497</v>
      </c>
      <c r="X116">
        <v>-6.5183045683378696E-2</v>
      </c>
      <c r="Y116">
        <v>-0.1021150179018369</v>
      </c>
      <c r="AA116" s="4">
        <f t="shared" si="3"/>
        <v>1.1613395664445993E-2</v>
      </c>
    </row>
    <row r="117" spans="1:27" x14ac:dyDescent="0.25">
      <c r="A117" s="1" t="s">
        <v>398</v>
      </c>
      <c r="B117" s="1">
        <v>-0.21854313999542949</v>
      </c>
      <c r="C117" s="1">
        <v>-0.91230769523204946</v>
      </c>
      <c r="D117" s="1">
        <v>0.97147471897005921</v>
      </c>
      <c r="E117" s="1">
        <v>2.2927592666720482</v>
      </c>
      <c r="F117" s="1">
        <v>-1.7176338763915959</v>
      </c>
      <c r="G117" s="1">
        <v>-0.75233803455089909</v>
      </c>
      <c r="H117" s="1">
        <v>-2.5946221247782688</v>
      </c>
      <c r="I117" s="1"/>
      <c r="J117" s="1"/>
      <c r="K117" s="8">
        <v>0.89970865913982301</v>
      </c>
      <c r="L117" s="9">
        <v>116</v>
      </c>
      <c r="M117" s="3">
        <v>0.17826894991460529</v>
      </c>
      <c r="N117" s="1"/>
      <c r="O117" s="1"/>
      <c r="P117">
        <v>9.4300471182728E-3</v>
      </c>
      <c r="Q117">
        <v>8.7024658040185193E-2</v>
      </c>
      <c r="R117">
        <v>7.8327046163622599E-2</v>
      </c>
      <c r="S117">
        <v>8.8373141227503102E-2</v>
      </c>
      <c r="T117">
        <v>0.38904613244831332</v>
      </c>
      <c r="U117">
        <v>5.2306688132891299E-2</v>
      </c>
      <c r="V117">
        <v>4.3249852084861401E-2</v>
      </c>
      <c r="W117">
        <v>0.25954743361550831</v>
      </c>
      <c r="X117">
        <v>2.59488039903835E-2</v>
      </c>
      <c r="Y117">
        <v>7.6433463452751996E-3</v>
      </c>
      <c r="AA117" s="4">
        <f t="shared" si="3"/>
        <v>1.3732053160250418E-2</v>
      </c>
    </row>
    <row r="118" spans="1:27" x14ac:dyDescent="0.25">
      <c r="A118" s="1" t="s">
        <v>281</v>
      </c>
      <c r="B118" s="1">
        <v>-1.5581219972256539</v>
      </c>
      <c r="C118" s="1">
        <v>-7.984914733646443</v>
      </c>
      <c r="D118" s="1">
        <v>5.1253951469858086</v>
      </c>
      <c r="E118" s="1">
        <v>2.042783465842601</v>
      </c>
      <c r="F118" s="1">
        <v>2.4983834554146069</v>
      </c>
      <c r="G118" s="1">
        <v>-2.4999934196170162</v>
      </c>
      <c r="H118" s="1"/>
      <c r="I118" s="1"/>
      <c r="J118" s="1"/>
      <c r="K118" s="8">
        <v>0.88222878204681798</v>
      </c>
      <c r="L118" s="9">
        <v>117</v>
      </c>
      <c r="M118" s="3">
        <v>0.49507328748030371</v>
      </c>
      <c r="N118" s="1"/>
      <c r="O118" s="1"/>
      <c r="P118">
        <v>2.0884018220677001E-3</v>
      </c>
      <c r="Q118">
        <v>-6.5015001722910304E-2</v>
      </c>
      <c r="R118">
        <v>0.13334757587665361</v>
      </c>
      <c r="S118">
        <v>9.6783291299939803E-2</v>
      </c>
      <c r="T118">
        <v>-0.25659906778165747</v>
      </c>
      <c r="U118">
        <v>-9.6173497858379003E-2</v>
      </c>
      <c r="V118">
        <v>-8.5895291139045593E-2</v>
      </c>
      <c r="W118">
        <v>-0.27801547944712163</v>
      </c>
      <c r="X118">
        <v>-8.9436668767779406E-2</v>
      </c>
      <c r="Y118">
        <v>-1.7803604805460001E-2</v>
      </c>
      <c r="AA118" s="4">
        <f t="shared" si="3"/>
        <v>1.5633078104690633E-2</v>
      </c>
    </row>
    <row r="119" spans="1:27" x14ac:dyDescent="0.25">
      <c r="A119" s="1" t="s">
        <v>392</v>
      </c>
      <c r="B119" s="1">
        <v>-0.21832103798777139</v>
      </c>
      <c r="C119" s="1">
        <v>-0.83317327495335802</v>
      </c>
      <c r="D119" s="1">
        <v>0.87435407856128888</v>
      </c>
      <c r="E119" s="1">
        <v>2.097775054108951</v>
      </c>
      <c r="F119" s="1">
        <v>-1.514111659546298</v>
      </c>
      <c r="G119" s="1">
        <v>-0.68184134347409908</v>
      </c>
      <c r="H119" s="1">
        <v>-2.372677319630569</v>
      </c>
      <c r="I119" s="1"/>
      <c r="J119" s="1"/>
      <c r="K119" s="8">
        <v>0.86633918255930897</v>
      </c>
      <c r="L119" s="9">
        <v>118</v>
      </c>
      <c r="M119" s="3">
        <v>0.13939834915146149</v>
      </c>
      <c r="N119" s="1"/>
      <c r="O119" s="1"/>
      <c r="P119">
        <v>9.7236948845684998E-3</v>
      </c>
      <c r="Q119">
        <v>9.4578624566207498E-2</v>
      </c>
      <c r="R119">
        <v>9.1341127595483698E-2</v>
      </c>
      <c r="S119">
        <v>0.11076298087323069</v>
      </c>
      <c r="T119">
        <v>0.42087494343713799</v>
      </c>
      <c r="U119">
        <v>5.1073358459514197E-2</v>
      </c>
      <c r="V119">
        <v>3.8796614577594597E-2</v>
      </c>
      <c r="W119">
        <v>0.28002807239997329</v>
      </c>
      <c r="X119">
        <v>3.2863700040237198E-2</v>
      </c>
      <c r="Y119">
        <v>8.0924024972560003E-4</v>
      </c>
      <c r="AA119" s="4">
        <f t="shared" si="3"/>
        <v>1.6251438287960367E-2</v>
      </c>
    </row>
    <row r="120" spans="1:27" x14ac:dyDescent="0.25">
      <c r="A120" s="1" t="s">
        <v>83</v>
      </c>
      <c r="B120" s="1">
        <v>1.7674540055336601</v>
      </c>
      <c r="C120" s="1">
        <v>4.1351000613131834</v>
      </c>
      <c r="D120" s="1">
        <v>-2.8547383922917069</v>
      </c>
      <c r="E120" s="1">
        <v>3.0413249359702381</v>
      </c>
      <c r="F120" s="1"/>
      <c r="G120" s="1"/>
      <c r="H120" s="1"/>
      <c r="I120" s="1"/>
      <c r="J120" s="1"/>
      <c r="K120" s="8">
        <v>0.81783401158215596</v>
      </c>
      <c r="L120" s="9">
        <v>119</v>
      </c>
      <c r="M120" s="3">
        <v>0.35471954646808929</v>
      </c>
      <c r="N120" s="1"/>
      <c r="O120" s="1"/>
      <c r="P120">
        <v>-5.7363388109609999E-4</v>
      </c>
      <c r="Q120">
        <v>-8.5103760011398299E-2</v>
      </c>
      <c r="R120">
        <v>2.72114585917443E-2</v>
      </c>
      <c r="S120">
        <v>0.1726892206484141</v>
      </c>
      <c r="T120">
        <v>-0.28166300675209432</v>
      </c>
      <c r="U120">
        <v>-0.1389986736417651</v>
      </c>
      <c r="V120">
        <v>-8.1969838269451201E-2</v>
      </c>
      <c r="W120">
        <v>-0.26395998143617622</v>
      </c>
      <c r="X120">
        <v>-1.0621666979504001E-2</v>
      </c>
      <c r="Y120">
        <v>-2.27160464643433E-2</v>
      </c>
      <c r="AA120" s="4">
        <f t="shared" si="3"/>
        <v>1.6646319284338594E-2</v>
      </c>
    </row>
    <row r="121" spans="1:27" x14ac:dyDescent="0.25">
      <c r="A121" s="1" t="s">
        <v>151</v>
      </c>
      <c r="B121" s="1">
        <v>0.42723531896055938</v>
      </c>
      <c r="C121" s="1">
        <v>4.431713672176965</v>
      </c>
      <c r="D121" s="1">
        <v>-4.6156937103161484</v>
      </c>
      <c r="E121" s="1">
        <v>-1.431110210410508</v>
      </c>
      <c r="F121" s="1">
        <v>2.7675681642708989</v>
      </c>
      <c r="G121" s="1"/>
      <c r="H121" s="1"/>
      <c r="I121" s="1"/>
      <c r="J121" s="1"/>
      <c r="K121" s="8">
        <v>0.72508530963017204</v>
      </c>
      <c r="L121" s="9">
        <v>120</v>
      </c>
      <c r="M121" s="3">
        <v>0.1079884377822322</v>
      </c>
      <c r="N121" s="1"/>
      <c r="O121" s="1"/>
      <c r="P121">
        <v>1.0877722953596999E-3</v>
      </c>
      <c r="Q121">
        <v>5.7173897416612801E-2</v>
      </c>
      <c r="R121">
        <v>-1.26650795249027E-2</v>
      </c>
      <c r="S121">
        <v>2.5346842070853901E-2</v>
      </c>
      <c r="T121">
        <v>0.13395914961607441</v>
      </c>
      <c r="U121">
        <v>-0.25373526910281258</v>
      </c>
      <c r="V121">
        <v>-0.29328881267610302</v>
      </c>
      <c r="W121">
        <v>-0.20193117431751359</v>
      </c>
      <c r="X121">
        <v>-0.1352336054260965</v>
      </c>
      <c r="Y121">
        <v>-5.5015870634795502E-2</v>
      </c>
      <c r="AA121" s="4">
        <f t="shared" si="3"/>
        <v>1.8058898105863017E-2</v>
      </c>
    </row>
    <row r="122" spans="1:27" x14ac:dyDescent="0.25">
      <c r="A122" s="1" t="s">
        <v>307</v>
      </c>
      <c r="B122" s="1">
        <v>-0.84155727388848134</v>
      </c>
      <c r="C122" s="1">
        <v>-1.323994948879949</v>
      </c>
      <c r="D122" s="1">
        <v>1.116578150372372</v>
      </c>
      <c r="E122" s="1">
        <v>0.41363275379395292</v>
      </c>
      <c r="F122" s="1">
        <v>-0.46997538912630182</v>
      </c>
      <c r="G122" s="1">
        <v>0.83723372929280637</v>
      </c>
      <c r="H122" s="1"/>
      <c r="I122" s="1"/>
      <c r="J122" s="1"/>
      <c r="K122" s="8">
        <v>0.75104536351347895</v>
      </c>
      <c r="L122" s="9">
        <v>121</v>
      </c>
      <c r="M122" s="3">
        <v>0.2583057538052474</v>
      </c>
      <c r="N122" s="1"/>
      <c r="O122" s="1"/>
      <c r="P122">
        <v>-7.8705940384484994E-3</v>
      </c>
      <c r="Q122">
        <v>-0.19919204939697421</v>
      </c>
      <c r="R122">
        <v>-3.2650907261399402E-2</v>
      </c>
      <c r="S122">
        <v>-1.47608131856782E-2</v>
      </c>
      <c r="T122">
        <v>-0.41517784546543263</v>
      </c>
      <c r="U122">
        <v>-3.1724575814272897E-2</v>
      </c>
      <c r="V122">
        <v>-0.10217212057368689</v>
      </c>
      <c r="W122">
        <v>-0.37554030767270752</v>
      </c>
      <c r="X122">
        <v>-7.1320174381656401E-2</v>
      </c>
      <c r="Y122">
        <v>-0.15466317507488669</v>
      </c>
      <c r="AA122" s="4">
        <f t="shared" si="3"/>
        <v>1.9745651343616243E-2</v>
      </c>
    </row>
    <row r="123" spans="1:27" x14ac:dyDescent="0.25">
      <c r="A123" s="1" t="s">
        <v>291</v>
      </c>
      <c r="B123" s="1">
        <v>-1.408426295215631</v>
      </c>
      <c r="C123" s="1">
        <v>1.30709786264368</v>
      </c>
      <c r="D123" s="1">
        <v>-8.3309875057339227</v>
      </c>
      <c r="E123" s="1">
        <v>5.7109314564582991</v>
      </c>
      <c r="F123" s="1">
        <v>2.9571640171637821</v>
      </c>
      <c r="G123" s="1">
        <v>1.4176796081305161</v>
      </c>
      <c r="H123" s="1"/>
      <c r="I123" s="1"/>
      <c r="J123" s="1"/>
      <c r="K123" s="8">
        <v>0.81555778770776599</v>
      </c>
      <c r="L123" s="9">
        <v>122</v>
      </c>
      <c r="M123" s="3">
        <v>0.28070261930077622</v>
      </c>
      <c r="N123" s="1"/>
      <c r="O123" s="1"/>
      <c r="P123">
        <v>-6.809963826207E-3</v>
      </c>
      <c r="Q123">
        <v>-0.15397361206653989</v>
      </c>
      <c r="R123">
        <v>-3.4183932263443802E-2</v>
      </c>
      <c r="S123">
        <v>-4.9534085864395498E-2</v>
      </c>
      <c r="T123">
        <v>-0.35462797238664839</v>
      </c>
      <c r="U123">
        <v>-4.2410336619741897E-2</v>
      </c>
      <c r="V123">
        <v>3.89803017548302E-2</v>
      </c>
      <c r="W123">
        <v>-0.41788798700783908</v>
      </c>
      <c r="X123">
        <v>4.4334420200023003E-3</v>
      </c>
      <c r="Y123">
        <v>5.9980123659434302E-2</v>
      </c>
      <c r="AA123" s="4">
        <f t="shared" si="3"/>
        <v>2.4330305017453847E-2</v>
      </c>
    </row>
    <row r="124" spans="1:27" x14ac:dyDescent="0.25">
      <c r="A124" s="1" t="s">
        <v>233</v>
      </c>
      <c r="B124" s="1">
        <v>2.1295232586751691</v>
      </c>
      <c r="C124" s="1">
        <v>2.0257029654388128</v>
      </c>
      <c r="D124" s="1">
        <v>1.343202393250374</v>
      </c>
      <c r="E124" s="1">
        <v>-1.6011070173768649</v>
      </c>
      <c r="F124" s="1">
        <v>-2.642346940243816</v>
      </c>
      <c r="G124" s="1">
        <v>-1.873183257526883</v>
      </c>
      <c r="H124" s="1"/>
      <c r="I124" s="1"/>
      <c r="J124" s="1"/>
      <c r="K124" s="8">
        <v>0.86042527990247397</v>
      </c>
      <c r="L124" s="9">
        <v>123</v>
      </c>
      <c r="M124" s="3">
        <v>0.25494149402139399</v>
      </c>
      <c r="N124" s="1"/>
      <c r="O124" s="1"/>
      <c r="P124">
        <v>-1.1377676501624899E-2</v>
      </c>
      <c r="Q124">
        <v>-0.26558413522190422</v>
      </c>
      <c r="R124">
        <v>-7.5490127591858705E-2</v>
      </c>
      <c r="S124">
        <v>-8.8083199804992102E-2</v>
      </c>
      <c r="T124">
        <v>-0.50460794959424549</v>
      </c>
      <c r="U124">
        <v>-1.56135348607431E-2</v>
      </c>
      <c r="V124">
        <v>2.2396017397379502E-2</v>
      </c>
      <c r="W124">
        <v>-0.40962556783095372</v>
      </c>
      <c r="X124">
        <v>-0.1478052811263165</v>
      </c>
      <c r="Y124">
        <v>-6.8946073890798999E-3</v>
      </c>
      <c r="AA124" s="4">
        <f t="shared" si="3"/>
        <v>3.0337684302590373E-2</v>
      </c>
    </row>
    <row r="125" spans="1:27" x14ac:dyDescent="0.25">
      <c r="A125" s="1" t="s">
        <v>246</v>
      </c>
      <c r="B125" s="1">
        <v>0.81170314477862626</v>
      </c>
      <c r="C125" s="1">
        <v>2.1502914008274101</v>
      </c>
      <c r="D125" s="1">
        <v>0.67197070236373047</v>
      </c>
      <c r="E125" s="1">
        <v>2.8507204443726262</v>
      </c>
      <c r="F125" s="1">
        <v>-2.265138693038558</v>
      </c>
      <c r="G125" s="1">
        <v>-2.0949185545414521</v>
      </c>
      <c r="H125" s="1"/>
      <c r="I125" s="1"/>
      <c r="J125" s="1"/>
      <c r="K125" s="8">
        <v>0.749450338185359</v>
      </c>
      <c r="L125" s="9">
        <v>124</v>
      </c>
      <c r="M125" s="3">
        <v>0.48663727550552088</v>
      </c>
      <c r="N125" s="1"/>
      <c r="O125" s="1"/>
      <c r="P125">
        <v>-1.9355271569442101E-2</v>
      </c>
      <c r="Q125">
        <v>-0.45173849609689132</v>
      </c>
      <c r="R125">
        <v>-6.6484833575724503E-2</v>
      </c>
      <c r="S125">
        <v>-8.4057495085375605E-2</v>
      </c>
      <c r="T125">
        <v>-0.9008167828966418</v>
      </c>
      <c r="U125">
        <v>-5.6620365709298903E-2</v>
      </c>
      <c r="V125">
        <v>-8.9419019843132996E-3</v>
      </c>
      <c r="W125">
        <v>-0.6904878880192783</v>
      </c>
      <c r="X125">
        <v>-7.8751705849931297E-2</v>
      </c>
      <c r="Y125">
        <v>1.93488305847547E-2</v>
      </c>
      <c r="AA125" s="4">
        <f t="shared" si="3"/>
        <v>9.6745421816621907E-2</v>
      </c>
    </row>
    <row r="126" spans="1:27" x14ac:dyDescent="0.25">
      <c r="A126" s="1" t="s">
        <v>242</v>
      </c>
      <c r="B126" s="1">
        <v>1.1716791826616531</v>
      </c>
      <c r="C126" s="1">
        <v>2.0897555139899628</v>
      </c>
      <c r="D126" s="1">
        <v>3.530203322431575</v>
      </c>
      <c r="E126" s="1">
        <v>-2.518675388326761</v>
      </c>
      <c r="F126" s="1">
        <v>-1.782431618095883</v>
      </c>
      <c r="G126" s="1">
        <v>0.87445351246940628</v>
      </c>
      <c r="H126" s="1"/>
      <c r="I126" s="1"/>
      <c r="J126" s="1"/>
      <c r="K126" s="8">
        <v>0.77737170016621304</v>
      </c>
      <c r="L126" s="9">
        <v>125</v>
      </c>
      <c r="M126" s="3">
        <v>0.50267152671410242</v>
      </c>
      <c r="N126" s="1"/>
      <c r="O126" s="1"/>
      <c r="P126">
        <v>-2.2781632205952199E-2</v>
      </c>
      <c r="Q126">
        <v>-0.49137068587259308</v>
      </c>
      <c r="R126">
        <v>-7.3161320441941805E-2</v>
      </c>
      <c r="S126">
        <v>-8.1314862581347805E-2</v>
      </c>
      <c r="T126">
        <v>-0.9475510539595019</v>
      </c>
      <c r="U126">
        <v>-7.2404628908318294E-2</v>
      </c>
      <c r="V126">
        <v>-2.11130642470026E-2</v>
      </c>
      <c r="W126">
        <v>-0.73619760479757668</v>
      </c>
      <c r="X126">
        <v>-5.4284561542116097E-2</v>
      </c>
      <c r="Y126">
        <v>2.7147118799806701E-2</v>
      </c>
      <c r="AA126" s="4">
        <f t="shared" si="3"/>
        <v>0.10915518504204653</v>
      </c>
    </row>
    <row r="127" spans="1:27" x14ac:dyDescent="0.25">
      <c r="A127" s="1" t="s">
        <v>237</v>
      </c>
      <c r="B127" s="1">
        <v>0.90521508836895459</v>
      </c>
      <c r="C127" s="1">
        <v>1.912883925896667</v>
      </c>
      <c r="D127" s="1">
        <v>0.93769256122473732</v>
      </c>
      <c r="E127" s="1">
        <v>2.355440279753362</v>
      </c>
      <c r="F127" s="1">
        <v>-1.822426226626626</v>
      </c>
      <c r="G127" s="1">
        <v>-2.0336250361467298</v>
      </c>
      <c r="H127" s="1"/>
      <c r="I127" s="1"/>
      <c r="J127" s="1"/>
      <c r="K127" s="8">
        <v>0.84628669050907501</v>
      </c>
      <c r="L127" s="9">
        <v>126</v>
      </c>
      <c r="M127" s="3">
        <v>0.25219406014368551</v>
      </c>
      <c r="N127" s="1"/>
      <c r="O127" s="1"/>
      <c r="P127">
        <v>-1.8568707404191399E-2</v>
      </c>
      <c r="Q127">
        <v>-0.4861573237034752</v>
      </c>
      <c r="R127">
        <v>-5.6444828592862997E-2</v>
      </c>
      <c r="S127">
        <v>-0.10255709009835361</v>
      </c>
      <c r="T127">
        <v>-1.0001199982695781</v>
      </c>
      <c r="U127">
        <v>-5.9995614375934099E-2</v>
      </c>
      <c r="V127">
        <v>-7.1458700622770003E-4</v>
      </c>
      <c r="W127">
        <v>-0.79511833569152668</v>
      </c>
      <c r="X127">
        <v>-0.1238928581769379</v>
      </c>
      <c r="Y127">
        <v>-8.5719883038828E-3</v>
      </c>
      <c r="AA127" s="4">
        <f t="shared" si="3"/>
        <v>0.11984884337604937</v>
      </c>
    </row>
    <row r="128" spans="1:27" x14ac:dyDescent="0.25">
      <c r="A128" s="1" t="s">
        <v>179</v>
      </c>
      <c r="B128" s="1">
        <v>-1.647159436597311</v>
      </c>
      <c r="C128" s="1">
        <v>1.0699701661494689</v>
      </c>
      <c r="D128" s="1">
        <v>-4.1115075869756863</v>
      </c>
      <c r="E128" s="1">
        <v>3.64343463355564</v>
      </c>
      <c r="F128" s="1">
        <v>2.131185271553715</v>
      </c>
      <c r="G128" s="1"/>
      <c r="H128" s="1"/>
      <c r="I128" s="1"/>
      <c r="J128" s="1"/>
      <c r="K128" s="8">
        <v>0.822517203761299</v>
      </c>
      <c r="L128" s="9">
        <v>127</v>
      </c>
      <c r="M128" s="3">
        <v>0.1192093376137723</v>
      </c>
      <c r="N128" s="1"/>
      <c r="O128" s="1"/>
      <c r="P128">
        <v>2.28318873741678E-2</v>
      </c>
      <c r="Q128">
        <v>0.59361284371053413</v>
      </c>
      <c r="R128">
        <v>-3.7050325233011001E-2</v>
      </c>
      <c r="S128">
        <v>4.4225782921446501E-2</v>
      </c>
      <c r="T128">
        <v>1.15896485485971</v>
      </c>
      <c r="U128">
        <v>0.14081717281714959</v>
      </c>
      <c r="V128">
        <v>0.39161363241414821</v>
      </c>
      <c r="W128">
        <v>0.57343245600294923</v>
      </c>
      <c r="X128">
        <v>4.4653360007097E-2</v>
      </c>
      <c r="Y128">
        <v>5.3461331776518503E-2</v>
      </c>
      <c r="AA128" s="4">
        <f t="shared" si="3"/>
        <v>0.13143373626833577</v>
      </c>
    </row>
    <row r="129" spans="1:27" x14ac:dyDescent="0.25">
      <c r="A129" s="2" t="s">
        <v>234</v>
      </c>
      <c r="B129" s="2">
        <v>1.655651700324279</v>
      </c>
      <c r="C129" s="2">
        <v>1.689982466206116</v>
      </c>
      <c r="D129" s="2">
        <v>3.1719590508239981</v>
      </c>
      <c r="E129" s="2">
        <v>-1.974070672356133</v>
      </c>
      <c r="F129" s="2">
        <v>-1.4793565064624199</v>
      </c>
      <c r="G129" s="2">
        <v>1.5405186137800171</v>
      </c>
      <c r="H129" s="2"/>
      <c r="I129" s="2"/>
      <c r="J129" s="1"/>
      <c r="K129" s="8">
        <v>0.76910331832560097</v>
      </c>
      <c r="L129" s="9">
        <v>128</v>
      </c>
      <c r="M129" s="5">
        <v>0.19513326784232321</v>
      </c>
      <c r="N129" s="1"/>
      <c r="O129" s="1"/>
      <c r="P129">
        <v>-2.4212974959808901E-2</v>
      </c>
      <c r="Q129">
        <v>-0.58136528321921088</v>
      </c>
      <c r="R129">
        <v>-7.7564524177312702E-2</v>
      </c>
      <c r="S129">
        <v>-0.1117671679206511</v>
      </c>
      <c r="T129">
        <v>-1.171721565400843</v>
      </c>
      <c r="U129">
        <v>-9.4564369014686206E-2</v>
      </c>
      <c r="V129">
        <v>-2.0405031607840199E-2</v>
      </c>
      <c r="W129">
        <v>-0.95580733421028641</v>
      </c>
      <c r="X129">
        <v>-0.1013938784340586</v>
      </c>
      <c r="Y129">
        <v>-7.4890556286183003E-3</v>
      </c>
      <c r="AA129" s="4">
        <f t="shared" si="3"/>
        <v>0.16733598708081859</v>
      </c>
    </row>
  </sheetData>
  <sortState ref="A1:AA129">
    <sortCondition ref="AA1:AA128"/>
  </sortState>
  <conditionalFormatting sqref="AA2:AA129">
    <cfRule type="cellIs" dxfId="1" priority="1" operator="greaterThan">
      <formula>0.053668826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46"/>
  <sheetViews>
    <sheetView zoomScale="62" workbookViewId="0">
      <selection activeCell="B1" sqref="B1:I1048576"/>
    </sheetView>
  </sheetViews>
  <sheetFormatPr defaultRowHeight="15" x14ac:dyDescent="0.25"/>
  <sheetData>
    <row r="1" spans="1:11" x14ac:dyDescent="0.25">
      <c r="A1" s="1" t="s">
        <v>154</v>
      </c>
      <c r="B1" s="1">
        <v>-1.1328236025340239</v>
      </c>
      <c r="C1" s="1">
        <v>3.027895043816923</v>
      </c>
      <c r="D1" s="1">
        <v>4.8581010217361253</v>
      </c>
      <c r="E1" s="1">
        <v>-3.67659214588044</v>
      </c>
      <c r="F1" s="1">
        <v>3.5885753933825688</v>
      </c>
      <c r="G1" s="1"/>
      <c r="H1" s="1"/>
      <c r="I1" s="1"/>
      <c r="J1" s="1"/>
      <c r="K1" s="1">
        <v>0.99696668917794118</v>
      </c>
    </row>
    <row r="2" spans="1:11" x14ac:dyDescent="0.25">
      <c r="A2" s="1" t="s">
        <v>164</v>
      </c>
      <c r="B2" s="1">
        <v>-1.230157576539584</v>
      </c>
      <c r="C2" s="1">
        <v>3.2209295792421262</v>
      </c>
      <c r="D2" s="1">
        <v>5.093523883755581</v>
      </c>
      <c r="E2" s="1">
        <v>-3.8774023670226239</v>
      </c>
      <c r="F2" s="1">
        <v>3.7742479030274509</v>
      </c>
      <c r="G2" s="1"/>
      <c r="H2" s="1"/>
      <c r="I2" s="1"/>
      <c r="J2" s="1"/>
      <c r="K2" s="1">
        <v>0.99475080767461654</v>
      </c>
    </row>
    <row r="3" spans="1:11" x14ac:dyDescent="0.25">
      <c r="A3" s="1" t="s">
        <v>389</v>
      </c>
      <c r="B3" s="1">
        <v>-0.56575731660484163</v>
      </c>
      <c r="C3" s="1">
        <v>-5.9801367690983893</v>
      </c>
      <c r="D3" s="1">
        <v>7.3893931669528206</v>
      </c>
      <c r="E3" s="1">
        <v>4.2234409652971854</v>
      </c>
      <c r="F3" s="1">
        <v>2.2157160726498861</v>
      </c>
      <c r="G3" s="1">
        <v>-1.791327799475132</v>
      </c>
      <c r="H3" s="1">
        <v>-2.9011474490714049</v>
      </c>
      <c r="I3" s="1"/>
      <c r="J3" s="1"/>
      <c r="K3" s="1">
        <v>0.99142877280429653</v>
      </c>
    </row>
    <row r="4" spans="1:11" x14ac:dyDescent="0.25">
      <c r="A4" s="1" t="s">
        <v>431</v>
      </c>
      <c r="B4" s="1">
        <v>-0.31913236573739823</v>
      </c>
      <c r="C4" s="1">
        <v>-1.5583513617724549</v>
      </c>
      <c r="D4" s="1">
        <v>2.3335692514935902</v>
      </c>
      <c r="E4" s="1">
        <v>7.16445780143939</v>
      </c>
      <c r="F4" s="1">
        <v>-3.3740940652783449</v>
      </c>
      <c r="G4" s="1">
        <v>-3.0458407714993498</v>
      </c>
      <c r="H4" s="1">
        <v>2.689787086175218</v>
      </c>
      <c r="I4" s="1"/>
      <c r="J4" s="1"/>
      <c r="K4" s="1">
        <v>0.99035256236056901</v>
      </c>
    </row>
    <row r="5" spans="1:11" x14ac:dyDescent="0.25">
      <c r="A5" s="1" t="s">
        <v>390</v>
      </c>
      <c r="B5" s="1">
        <v>-0.45385839496753949</v>
      </c>
      <c r="C5" s="1">
        <v>-4.2072738553350284</v>
      </c>
      <c r="D5" s="1">
        <v>5.3779634491501076</v>
      </c>
      <c r="E5" s="1">
        <v>1.731785247623727</v>
      </c>
      <c r="F5" s="1">
        <v>3.345061419082783</v>
      </c>
      <c r="G5" s="1">
        <v>-2.0140094470209808</v>
      </c>
      <c r="H5" s="1">
        <v>-1.4163890424090451</v>
      </c>
      <c r="I5" s="1"/>
      <c r="J5" s="1"/>
      <c r="K5" s="1">
        <v>0.98296832098831999</v>
      </c>
    </row>
    <row r="6" spans="1:11" x14ac:dyDescent="0.25">
      <c r="A6" s="1" t="s">
        <v>424</v>
      </c>
      <c r="B6" s="1">
        <v>-0.31571872111444682</v>
      </c>
      <c r="C6" s="1">
        <v>-1.4676321336406271</v>
      </c>
      <c r="D6" s="1">
        <v>2.173506726738748</v>
      </c>
      <c r="E6" s="1">
        <v>6.7351723589370547</v>
      </c>
      <c r="F6" s="1">
        <v>-3.182258334402043</v>
      </c>
      <c r="G6" s="1">
        <v>-2.8347903831453269</v>
      </c>
      <c r="H6" s="1">
        <v>2.510024995788934</v>
      </c>
      <c r="I6" s="1"/>
      <c r="J6" s="1"/>
      <c r="K6" s="1">
        <v>0.96724011899471685</v>
      </c>
    </row>
    <row r="7" spans="1:11" x14ac:dyDescent="0.25">
      <c r="A7" s="1" t="s">
        <v>476</v>
      </c>
      <c r="B7" s="1">
        <v>-0.2858043189804203</v>
      </c>
      <c r="C7" s="1">
        <v>-1.9803603690131639</v>
      </c>
      <c r="D7" s="1">
        <v>1.4949518308740919</v>
      </c>
      <c r="E7" s="1">
        <v>-1.2506517545089459</v>
      </c>
      <c r="F7" s="1">
        <v>1.6405100800396351</v>
      </c>
      <c r="G7" s="1">
        <v>1.670903916069661</v>
      </c>
      <c r="H7" s="1">
        <v>2.3818903552689461</v>
      </c>
      <c r="I7" s="1">
        <v>-3.991185691620772</v>
      </c>
      <c r="J7" s="1"/>
      <c r="K7" s="1">
        <v>0.96690021995709474</v>
      </c>
    </row>
    <row r="8" spans="1:11" x14ac:dyDescent="0.25">
      <c r="A8" s="1" t="s">
        <v>460</v>
      </c>
      <c r="B8" s="1">
        <v>-0.37706060046454049</v>
      </c>
      <c r="C8" s="1">
        <v>-0.70055464623294972</v>
      </c>
      <c r="D8" s="1">
        <v>-3.299572780226125</v>
      </c>
      <c r="E8" s="1">
        <v>4.5361586050482199</v>
      </c>
      <c r="F8" s="1">
        <v>1.09877707987258</v>
      </c>
      <c r="G8" s="1">
        <v>2.6949433853835272</v>
      </c>
      <c r="H8" s="1">
        <v>-0.94979942931811145</v>
      </c>
      <c r="I8" s="1">
        <v>-1.049491194013203</v>
      </c>
      <c r="J8" s="1"/>
      <c r="K8" s="1">
        <v>0.96526539046505389</v>
      </c>
    </row>
    <row r="9" spans="1:11" x14ac:dyDescent="0.25">
      <c r="A9" s="1" t="s">
        <v>387</v>
      </c>
      <c r="B9" s="1">
        <v>-0.44706341626981078</v>
      </c>
      <c r="C9" s="1">
        <v>-1.730827700761195</v>
      </c>
      <c r="D9" s="1">
        <v>1.806037002924634</v>
      </c>
      <c r="E9" s="1">
        <v>4.5888591971096986</v>
      </c>
      <c r="F9" s="1">
        <v>-1.8186255967980409</v>
      </c>
      <c r="G9" s="1">
        <v>-3.4777382992392281</v>
      </c>
      <c r="H9" s="1">
        <v>-5.510845123921702</v>
      </c>
      <c r="I9" s="1"/>
      <c r="J9" s="1"/>
      <c r="K9" s="1">
        <v>0.93425399770073236</v>
      </c>
    </row>
    <row r="10" spans="1:11" x14ac:dyDescent="0.25">
      <c r="A10" s="1" t="s">
        <v>363</v>
      </c>
      <c r="B10" s="1">
        <v>-1.677935867221215</v>
      </c>
      <c r="C10" s="1">
        <v>1.41625636515027</v>
      </c>
      <c r="D10" s="1">
        <v>0.64102350823563892</v>
      </c>
      <c r="E10" s="1">
        <v>1.0980676772481519</v>
      </c>
      <c r="F10" s="1">
        <v>2.5822718427162932</v>
      </c>
      <c r="G10" s="1">
        <v>-0.92241106591437605</v>
      </c>
      <c r="H10" s="1">
        <v>-2.711690424912633</v>
      </c>
      <c r="I10" s="1"/>
      <c r="J10" s="1"/>
      <c r="K10" s="1">
        <v>0.93273414114997388</v>
      </c>
    </row>
    <row r="11" spans="1:11" x14ac:dyDescent="0.25">
      <c r="A11" s="1" t="s">
        <v>391</v>
      </c>
      <c r="B11" s="1">
        <v>-0.35411937455045239</v>
      </c>
      <c r="C11" s="1">
        <v>-2.566548336257032</v>
      </c>
      <c r="D11" s="1">
        <v>3.5200304194460852</v>
      </c>
      <c r="E11" s="1">
        <v>3.3493630876447398</v>
      </c>
      <c r="F11" s="1">
        <v>2.5060430121030008</v>
      </c>
      <c r="G11" s="1">
        <v>-2.0765820205605712</v>
      </c>
      <c r="H11" s="1">
        <v>-2.229852260695095</v>
      </c>
      <c r="I11" s="1"/>
      <c r="J11" s="1"/>
      <c r="K11" s="1">
        <v>0.93008937672037084</v>
      </c>
    </row>
    <row r="12" spans="1:11" x14ac:dyDescent="0.25">
      <c r="A12" s="1" t="s">
        <v>282</v>
      </c>
      <c r="B12" s="1">
        <v>-1.3909032519785021</v>
      </c>
      <c r="C12" s="1">
        <v>2.1465497631064498</v>
      </c>
      <c r="D12" s="1">
        <v>2.471743068988896</v>
      </c>
      <c r="E12" s="1">
        <v>-3.0603521708761598</v>
      </c>
      <c r="F12" s="1">
        <v>2.6243257885800322</v>
      </c>
      <c r="G12" s="1">
        <v>2.1027194739648771</v>
      </c>
      <c r="H12" s="1"/>
      <c r="I12" s="1"/>
      <c r="J12" s="1"/>
      <c r="K12" s="1">
        <v>0.92948158652986834</v>
      </c>
    </row>
    <row r="13" spans="1:11" x14ac:dyDescent="0.25">
      <c r="A13" s="1" t="s">
        <v>478</v>
      </c>
      <c r="B13" s="1">
        <v>-0.51257467259060541</v>
      </c>
      <c r="C13" s="1">
        <v>-1.8483404018130101</v>
      </c>
      <c r="D13" s="1">
        <v>0.96009794132486714</v>
      </c>
      <c r="E13" s="1">
        <v>6.7196220584397226</v>
      </c>
      <c r="F13" s="1">
        <v>-3.9306981582156268</v>
      </c>
      <c r="G13" s="1">
        <v>1.076645224086362</v>
      </c>
      <c r="H13" s="1">
        <v>-2.1165059863442779</v>
      </c>
      <c r="I13" s="1">
        <v>-1.4892148595936261</v>
      </c>
      <c r="J13" s="1"/>
      <c r="K13" s="1">
        <v>0.92867123352724268</v>
      </c>
    </row>
    <row r="14" spans="1:11" x14ac:dyDescent="0.25">
      <c r="A14" s="1" t="s">
        <v>366</v>
      </c>
      <c r="B14" s="1">
        <v>-2.1866337269569249</v>
      </c>
      <c r="C14" s="1">
        <v>2.2984117854619841</v>
      </c>
      <c r="D14" s="1">
        <v>-5.5213332242099789</v>
      </c>
      <c r="E14" s="1">
        <v>4.4147969578487336</v>
      </c>
      <c r="F14" s="1">
        <v>1.5676701182677539</v>
      </c>
      <c r="G14" s="1">
        <v>1.7790576048985629</v>
      </c>
      <c r="H14" s="1">
        <v>1.971062601610565</v>
      </c>
      <c r="I14" s="1"/>
      <c r="J14" s="1"/>
      <c r="K14" s="1">
        <v>0.92366180927910158</v>
      </c>
    </row>
    <row r="15" spans="1:11" x14ac:dyDescent="0.25">
      <c r="A15" s="1" t="s">
        <v>430</v>
      </c>
      <c r="B15" s="1">
        <v>-0.64893982081852497</v>
      </c>
      <c r="C15" s="1">
        <v>-2.081104535778135</v>
      </c>
      <c r="D15" s="1">
        <v>5.7147840565179653</v>
      </c>
      <c r="E15" s="1">
        <v>-4.0717224865513844</v>
      </c>
      <c r="F15" s="1">
        <v>1.735349131222375</v>
      </c>
      <c r="G15" s="1">
        <v>-3.481409613499451</v>
      </c>
      <c r="H15" s="1">
        <v>-1.998229514994738</v>
      </c>
      <c r="I15" s="1"/>
      <c r="J15" s="1"/>
      <c r="K15" s="1">
        <v>0.8951374050705958</v>
      </c>
    </row>
    <row r="16" spans="1:11" x14ac:dyDescent="0.25">
      <c r="A16" s="1" t="s">
        <v>354</v>
      </c>
      <c r="B16" s="1">
        <v>-1.4636638165552951</v>
      </c>
      <c r="C16" s="1">
        <v>1.240367924162723</v>
      </c>
      <c r="D16" s="1">
        <v>0.56943746562461117</v>
      </c>
      <c r="E16" s="1">
        <v>1.0370575775122779</v>
      </c>
      <c r="F16" s="1">
        <v>2.3705731887112069</v>
      </c>
      <c r="G16" s="1">
        <v>-0.80560401933906567</v>
      </c>
      <c r="H16" s="1">
        <v>-2.483819302921678</v>
      </c>
      <c r="I16" s="1"/>
      <c r="J16" s="1"/>
      <c r="K16" s="1">
        <v>0.87576732752300213</v>
      </c>
    </row>
    <row r="17" spans="1:11" x14ac:dyDescent="0.25">
      <c r="A17" s="1" t="s">
        <v>471</v>
      </c>
      <c r="B17" s="1">
        <v>-0.27964346541637358</v>
      </c>
      <c r="C17" s="1">
        <v>-1.674034517907778</v>
      </c>
      <c r="D17" s="1">
        <v>1.2670722198883531</v>
      </c>
      <c r="E17" s="1">
        <v>-1.067635886968276</v>
      </c>
      <c r="F17" s="1">
        <v>1.4875136816744501</v>
      </c>
      <c r="G17" s="1">
        <v>1.5642955175964639</v>
      </c>
      <c r="H17" s="1">
        <v>2.038945219585274</v>
      </c>
      <c r="I17" s="1">
        <v>-3.5345529869705552</v>
      </c>
      <c r="J17" s="1"/>
      <c r="K17" s="1">
        <v>0.86655857869174824</v>
      </c>
    </row>
    <row r="18" spans="1:11" x14ac:dyDescent="0.25">
      <c r="A18" s="1" t="s">
        <v>473</v>
      </c>
      <c r="B18" s="1">
        <v>-0.47881861977491169</v>
      </c>
      <c r="C18" s="1">
        <v>-1.5669327879299479</v>
      </c>
      <c r="D18" s="1">
        <v>0.79754736305857676</v>
      </c>
      <c r="E18" s="1">
        <v>5.982404616976809</v>
      </c>
      <c r="F18" s="1">
        <v>-3.4610209919401922</v>
      </c>
      <c r="G18" s="1">
        <v>0.9895306252128141</v>
      </c>
      <c r="H18" s="1">
        <v>-1.8005800565280949</v>
      </c>
      <c r="I18" s="1">
        <v>-1.3947119462253461</v>
      </c>
      <c r="J18" s="1"/>
      <c r="K18" s="1">
        <v>0.85070183091983609</v>
      </c>
    </row>
    <row r="19" spans="1:11" x14ac:dyDescent="0.25">
      <c r="A19" s="1" t="s">
        <v>455</v>
      </c>
      <c r="B19" s="1">
        <v>-0.24813344676963059</v>
      </c>
      <c r="C19" s="1">
        <v>-0.64301349618955461</v>
      </c>
      <c r="D19" s="1">
        <v>-0.72911203510825306</v>
      </c>
      <c r="E19" s="1">
        <v>1.206592419056034</v>
      </c>
      <c r="F19" s="1">
        <v>3.05741423013894</v>
      </c>
      <c r="G19" s="1">
        <v>-2.399770964031402</v>
      </c>
      <c r="H19" s="1">
        <v>-1.0232208618729219</v>
      </c>
      <c r="I19" s="1">
        <v>-3.5799803053485082</v>
      </c>
      <c r="J19" s="1"/>
      <c r="K19" s="1">
        <v>0.84972860740667733</v>
      </c>
    </row>
    <row r="20" spans="1:11" x14ac:dyDescent="0.25">
      <c r="A20" s="1" t="s">
        <v>474</v>
      </c>
      <c r="B20" s="1">
        <v>-0.41363253360950991</v>
      </c>
      <c r="C20" s="1">
        <v>-1.64658575582704</v>
      </c>
      <c r="D20" s="1">
        <v>0.79510638111332044</v>
      </c>
      <c r="E20" s="1">
        <v>5.6434424038592939</v>
      </c>
      <c r="F20" s="1">
        <v>-3.1110370414801261</v>
      </c>
      <c r="G20" s="1">
        <v>0.64523559282320575</v>
      </c>
      <c r="H20" s="1">
        <v>-1.265580340003011</v>
      </c>
      <c r="I20" s="1">
        <v>-1.645986644176781</v>
      </c>
      <c r="J20" s="1"/>
      <c r="K20" s="1">
        <v>0.84735875113702974</v>
      </c>
    </row>
    <row r="21" spans="1:11" x14ac:dyDescent="0.25">
      <c r="A21" s="1" t="s">
        <v>290</v>
      </c>
      <c r="B21" s="1">
        <v>-3.446168606598135</v>
      </c>
      <c r="C21" s="1">
        <v>1.37352250531691</v>
      </c>
      <c r="D21" s="1">
        <v>-16.38986519013347</v>
      </c>
      <c r="E21" s="1">
        <v>8.0323881681884686</v>
      </c>
      <c r="F21" s="1">
        <v>6.2043676731075124</v>
      </c>
      <c r="G21" s="1">
        <v>4.2867321612888798</v>
      </c>
      <c r="H21" s="1"/>
      <c r="I21" s="1"/>
      <c r="J21" s="1"/>
      <c r="K21" s="1">
        <v>0.84362216814941771</v>
      </c>
    </row>
    <row r="22" spans="1:11" x14ac:dyDescent="0.25">
      <c r="A22" s="1" t="s">
        <v>287</v>
      </c>
      <c r="B22" s="1">
        <v>-1.190958419430141</v>
      </c>
      <c r="C22" s="1">
        <v>1.1597026836384361</v>
      </c>
      <c r="D22" s="1">
        <v>2.2256329795251029</v>
      </c>
      <c r="E22" s="1">
        <v>-2.914814806996294</v>
      </c>
      <c r="F22" s="1">
        <v>2.3511753135305038</v>
      </c>
      <c r="G22" s="1">
        <v>0.89868083630225193</v>
      </c>
      <c r="H22" s="1"/>
      <c r="I22" s="1"/>
      <c r="J22" s="1"/>
      <c r="K22" s="1">
        <v>0.83440471082587475</v>
      </c>
    </row>
    <row r="23" spans="1:11" x14ac:dyDescent="0.25">
      <c r="A23" s="1" t="s">
        <v>289</v>
      </c>
      <c r="B23" s="1">
        <v>-2.2374106342486999</v>
      </c>
      <c r="C23" s="1">
        <v>1.338559804520558</v>
      </c>
      <c r="D23" s="1">
        <v>-7.1591617925057598</v>
      </c>
      <c r="E23" s="1">
        <v>5.6713539716436099</v>
      </c>
      <c r="F23" s="1">
        <v>1.0873714192694111</v>
      </c>
      <c r="G23" s="1">
        <v>2.4494442411844868</v>
      </c>
      <c r="H23" s="1"/>
      <c r="I23" s="1"/>
      <c r="J23" s="1"/>
      <c r="K23" s="1">
        <v>0.81618489217664858</v>
      </c>
    </row>
    <row r="24" spans="1:11" x14ac:dyDescent="0.25">
      <c r="A24" s="1" t="s">
        <v>486</v>
      </c>
      <c r="B24" s="1">
        <v>-0.29018051774785181</v>
      </c>
      <c r="C24" s="1">
        <v>-0.98775579125705493</v>
      </c>
      <c r="D24" s="1">
        <v>-1.3117608546468491</v>
      </c>
      <c r="E24" s="1">
        <v>1.3429726275456839</v>
      </c>
      <c r="F24" s="1">
        <v>1.0878720776016131</v>
      </c>
      <c r="G24" s="1">
        <v>-1.2455286124193621</v>
      </c>
      <c r="H24" s="1">
        <v>0.45126854917551468</v>
      </c>
      <c r="I24" s="1">
        <v>0.69742061884220874</v>
      </c>
      <c r="J24" s="1"/>
      <c r="K24" s="1">
        <v>0.80244896685013978</v>
      </c>
    </row>
    <row r="25" spans="1:11" x14ac:dyDescent="0.25">
      <c r="A25" s="1" t="s">
        <v>283</v>
      </c>
      <c r="B25" s="1">
        <v>-0.76490813049210404</v>
      </c>
      <c r="C25" s="1">
        <v>2.111281252782597</v>
      </c>
      <c r="D25" s="1">
        <v>1.5056967467517881</v>
      </c>
      <c r="E25" s="1">
        <v>2.157073798179113</v>
      </c>
      <c r="F25" s="1">
        <v>-1.924612288090312</v>
      </c>
      <c r="G25" s="1">
        <v>2.771611635050065</v>
      </c>
      <c r="H25" s="1"/>
      <c r="I25" s="1"/>
      <c r="J25" s="1"/>
      <c r="K25" s="1">
        <v>0.7960755495187013</v>
      </c>
    </row>
    <row r="26" spans="1:11" x14ac:dyDescent="0.25">
      <c r="A26" s="1" t="s">
        <v>423</v>
      </c>
      <c r="B26" s="1">
        <v>-0.58072886888512054</v>
      </c>
      <c r="C26" s="1">
        <v>-1.7010038085152901</v>
      </c>
      <c r="D26" s="1">
        <v>4.6858643701682272</v>
      </c>
      <c r="E26" s="1">
        <v>-3.3458078898459052</v>
      </c>
      <c r="F26" s="1">
        <v>1.448141674792319</v>
      </c>
      <c r="G26" s="1">
        <v>-2.758512635527028</v>
      </c>
      <c r="H26" s="1">
        <v>-1.644301265285673</v>
      </c>
      <c r="I26" s="1"/>
      <c r="J26" s="1"/>
      <c r="K26" s="1">
        <v>0.79241537964468156</v>
      </c>
    </row>
    <row r="27" spans="1:11" x14ac:dyDescent="0.25">
      <c r="A27" s="1" t="s">
        <v>470</v>
      </c>
      <c r="B27" s="1">
        <v>-0.35478541263240132</v>
      </c>
      <c r="C27" s="1">
        <v>-1.961437802447479</v>
      </c>
      <c r="D27" s="1">
        <v>-4.5412595972753049</v>
      </c>
      <c r="E27" s="1">
        <v>2.9682907573908879</v>
      </c>
      <c r="F27" s="1">
        <v>1.492485963437592</v>
      </c>
      <c r="G27" s="1">
        <v>5.9597465098419313</v>
      </c>
      <c r="H27" s="1">
        <v>-5.7829556296621742</v>
      </c>
      <c r="I27" s="1">
        <v>-2.9607066014470762</v>
      </c>
      <c r="J27" s="1"/>
      <c r="K27" s="1">
        <v>0.78980888511177938</v>
      </c>
    </row>
    <row r="28" spans="1:11" x14ac:dyDescent="0.25">
      <c r="A28" s="1" t="s">
        <v>248</v>
      </c>
      <c r="B28" s="1">
        <v>0.57449617928635355</v>
      </c>
      <c r="C28" s="1">
        <v>6.1827508158226117</v>
      </c>
      <c r="D28" s="1">
        <v>0.88370529162556299</v>
      </c>
      <c r="E28" s="1">
        <v>-5.814523110402825</v>
      </c>
      <c r="F28" s="1">
        <v>-2.4989999814530601</v>
      </c>
      <c r="G28" s="1">
        <v>2.6063924597651611</v>
      </c>
      <c r="H28" s="1"/>
      <c r="I28" s="1"/>
      <c r="J28" s="1"/>
      <c r="K28" s="1">
        <v>0.77288106209373775</v>
      </c>
    </row>
    <row r="29" spans="1:11" x14ac:dyDescent="0.25">
      <c r="A29" s="1" t="s">
        <v>382</v>
      </c>
      <c r="B29" s="1">
        <v>-0.36015393358388192</v>
      </c>
      <c r="C29" s="1">
        <v>-2.5629953364310758</v>
      </c>
      <c r="D29" s="1">
        <v>1.433974066793833</v>
      </c>
      <c r="E29" s="1">
        <v>4.0535533485628727</v>
      </c>
      <c r="F29" s="1">
        <v>-1.819647889867922</v>
      </c>
      <c r="G29" s="1">
        <v>-2.9583634717612179</v>
      </c>
      <c r="H29" s="1">
        <v>-6.1170460512076534</v>
      </c>
      <c r="I29" s="1"/>
      <c r="J29" s="1"/>
      <c r="K29" s="1">
        <v>0.76946225597381357</v>
      </c>
    </row>
    <row r="30" spans="1:11" x14ac:dyDescent="0.25">
      <c r="A30" s="1" t="s">
        <v>238</v>
      </c>
      <c r="B30" s="1">
        <v>1.957506674704691</v>
      </c>
      <c r="C30" s="1">
        <v>3.761541070965396</v>
      </c>
      <c r="D30" s="1">
        <v>2.7609524533078562</v>
      </c>
      <c r="E30" s="1">
        <v>-3.760884080662247</v>
      </c>
      <c r="F30" s="1">
        <v>-1.278315834400336</v>
      </c>
      <c r="G30" s="1">
        <v>2.8273040203171722</v>
      </c>
      <c r="H30" s="1"/>
      <c r="I30" s="1"/>
      <c r="J30" s="1"/>
      <c r="K30" s="1">
        <v>0.76150808817919846</v>
      </c>
    </row>
    <row r="31" spans="1:11" x14ac:dyDescent="0.25">
      <c r="A31" s="1" t="s">
        <v>364</v>
      </c>
      <c r="B31" s="1">
        <v>-0.96903017080281861</v>
      </c>
      <c r="C31" s="1">
        <v>1.0860179320829639</v>
      </c>
      <c r="D31" s="1">
        <v>3.603738255866392</v>
      </c>
      <c r="E31" s="1">
        <v>0.98571906738449655</v>
      </c>
      <c r="F31" s="1">
        <v>1.286220476837111</v>
      </c>
      <c r="G31" s="1">
        <v>-3.0739901205946292</v>
      </c>
      <c r="H31" s="1">
        <v>-1.7925614148491971</v>
      </c>
      <c r="I31" s="1"/>
      <c r="J31" s="1"/>
      <c r="K31" s="1">
        <v>0.756197264055957</v>
      </c>
    </row>
    <row r="32" spans="1:11" x14ac:dyDescent="0.25">
      <c r="A32" s="1" t="s">
        <v>483</v>
      </c>
      <c r="B32" s="1">
        <v>-0.28686399169123622</v>
      </c>
      <c r="C32" s="1">
        <v>-0.91213094160824937</v>
      </c>
      <c r="D32" s="1">
        <v>-1.158439720527578</v>
      </c>
      <c r="E32" s="1">
        <v>1.191343592476984</v>
      </c>
      <c r="F32" s="1">
        <v>1.0169135159423921</v>
      </c>
      <c r="G32" s="1">
        <v>-1.11926200519912</v>
      </c>
      <c r="H32" s="1">
        <v>0.39278356726217051</v>
      </c>
      <c r="I32" s="1">
        <v>0.67448176685802352</v>
      </c>
      <c r="J32" s="1"/>
      <c r="K32" s="1">
        <v>0.7506286660757433</v>
      </c>
    </row>
    <row r="33" spans="1:11" x14ac:dyDescent="0.25">
      <c r="A33" s="1" t="s">
        <v>395</v>
      </c>
      <c r="B33" s="1">
        <v>-0.21827705970027511</v>
      </c>
      <c r="C33" s="1">
        <v>-0.54170426796481985</v>
      </c>
      <c r="D33" s="1">
        <v>2.7988688025391482</v>
      </c>
      <c r="E33" s="1">
        <v>2.0201668750995321</v>
      </c>
      <c r="F33" s="1">
        <v>-1.8667268018982699</v>
      </c>
      <c r="G33" s="1">
        <v>-2.0035498212688112</v>
      </c>
      <c r="H33" s="1">
        <v>-1.617296425855224</v>
      </c>
      <c r="I33" s="1"/>
      <c r="J33" s="1"/>
      <c r="K33" s="1">
        <v>0.74244149323312658</v>
      </c>
    </row>
    <row r="34" spans="1:11" x14ac:dyDescent="0.25">
      <c r="A34" s="1" t="s">
        <v>480</v>
      </c>
      <c r="B34" s="1">
        <v>-0.43568200474520419</v>
      </c>
      <c r="C34" s="1">
        <v>-1.9254692964147031</v>
      </c>
      <c r="D34" s="1">
        <v>0.94706885983687272</v>
      </c>
      <c r="E34" s="1">
        <v>6.2874874367196201</v>
      </c>
      <c r="F34" s="1">
        <v>-3.4993543395315472</v>
      </c>
      <c r="G34" s="1">
        <v>0.66212050717150506</v>
      </c>
      <c r="H34" s="1">
        <v>-1.46345838880066</v>
      </c>
      <c r="I34" s="1">
        <v>-1.783324851501189</v>
      </c>
      <c r="J34" s="1"/>
      <c r="K34" s="1">
        <v>0.72601770791125975</v>
      </c>
    </row>
    <row r="35" spans="1:11" x14ac:dyDescent="0.25">
      <c r="A35" s="1" t="s">
        <v>458</v>
      </c>
      <c r="B35" s="1">
        <v>-0.34728058023226732</v>
      </c>
      <c r="C35" s="1">
        <v>-0.45102966091577251</v>
      </c>
      <c r="D35" s="1">
        <v>-3.0317311904490478</v>
      </c>
      <c r="E35" s="1">
        <v>4.2131709565250031</v>
      </c>
      <c r="F35" s="1">
        <v>1.1117872621937059</v>
      </c>
      <c r="G35" s="1">
        <v>2.7033798393636741</v>
      </c>
      <c r="H35" s="1">
        <v>-1.3905662846404701</v>
      </c>
      <c r="I35" s="1">
        <v>-0.70456406784123515</v>
      </c>
      <c r="J35" s="1"/>
      <c r="K35" s="1">
        <v>0.72306967803544064</v>
      </c>
    </row>
    <row r="36" spans="1:11" x14ac:dyDescent="0.25">
      <c r="A36" s="1" t="s">
        <v>355</v>
      </c>
      <c r="B36" s="1">
        <v>-0.87726487204493209</v>
      </c>
      <c r="C36" s="1">
        <v>0.9986061731015432</v>
      </c>
      <c r="D36" s="1">
        <v>3.4279246744935938</v>
      </c>
      <c r="E36" s="1">
        <v>0.959889747970051</v>
      </c>
      <c r="F36" s="1">
        <v>1.230933798418373</v>
      </c>
      <c r="G36" s="1">
        <v>-2.9325941145249641</v>
      </c>
      <c r="H36" s="1">
        <v>-1.6883080517394231</v>
      </c>
      <c r="I36" s="1"/>
      <c r="J36" s="1"/>
      <c r="K36" s="1">
        <v>0.71871414594590854</v>
      </c>
    </row>
    <row r="37" spans="1:11" x14ac:dyDescent="0.25">
      <c r="A37" s="1" t="s">
        <v>161</v>
      </c>
      <c r="B37" s="1">
        <v>-1.800813888411996</v>
      </c>
      <c r="C37" s="1">
        <v>2.8694395366465528</v>
      </c>
      <c r="D37" s="1">
        <v>-1.70524204254713</v>
      </c>
      <c r="E37" s="1">
        <v>2.66991905427383</v>
      </c>
      <c r="F37" s="1">
        <v>-2.3139624241295889</v>
      </c>
      <c r="G37" s="1"/>
      <c r="H37" s="1"/>
      <c r="I37" s="1"/>
      <c r="J37" s="1"/>
      <c r="K37" s="1">
        <v>0.71053418806234436</v>
      </c>
    </row>
    <row r="38" spans="1:11" x14ac:dyDescent="0.25">
      <c r="A38" s="1" t="s">
        <v>292</v>
      </c>
      <c r="B38" s="1">
        <v>-1.206060609499769</v>
      </c>
      <c r="C38" s="1">
        <v>0.92880420874570546</v>
      </c>
      <c r="D38" s="1">
        <v>-4.3820417974802357</v>
      </c>
      <c r="E38" s="1">
        <v>3.7760389527069149</v>
      </c>
      <c r="F38" s="1">
        <v>0.81427723044613598</v>
      </c>
      <c r="G38" s="1">
        <v>1.471637494261169</v>
      </c>
      <c r="H38" s="1"/>
      <c r="I38" s="1"/>
      <c r="J38" s="1"/>
      <c r="K38" s="1">
        <v>0.70372975816672356</v>
      </c>
    </row>
    <row r="39" spans="1:11" x14ac:dyDescent="0.25">
      <c r="A39" s="1" t="s">
        <v>388</v>
      </c>
      <c r="B39" s="1">
        <v>-0.45956762010466029</v>
      </c>
      <c r="C39" s="1">
        <v>-1.7547124815194539</v>
      </c>
      <c r="D39" s="1">
        <v>1.799529550716328</v>
      </c>
      <c r="E39" s="1">
        <v>4.0756628565449171</v>
      </c>
      <c r="F39" s="1">
        <v>-2.5153009546808738</v>
      </c>
      <c r="G39" s="1">
        <v>-2.486823972775313</v>
      </c>
      <c r="H39" s="1">
        <v>-4.5626886846769423</v>
      </c>
      <c r="I39" s="1"/>
      <c r="J39" s="1"/>
      <c r="K39" s="1">
        <v>0.70283952218119539</v>
      </c>
    </row>
    <row r="40" spans="1:11" x14ac:dyDescent="0.25">
      <c r="A40" s="1" t="s">
        <v>286</v>
      </c>
      <c r="B40" s="1">
        <v>-1.2415952678354829</v>
      </c>
      <c r="C40" s="1">
        <v>2.3128227093848399</v>
      </c>
      <c r="D40" s="1">
        <v>-4.6058966764619846</v>
      </c>
      <c r="E40" s="1">
        <v>3.891025323394969</v>
      </c>
      <c r="F40" s="1">
        <v>2.6893539118761849</v>
      </c>
      <c r="G40" s="1">
        <v>2.0837164872305531</v>
      </c>
      <c r="H40" s="1"/>
      <c r="I40" s="1"/>
      <c r="J40" s="1"/>
      <c r="K40" s="1">
        <v>0.68576777898227115</v>
      </c>
    </row>
    <row r="41" spans="1:11" x14ac:dyDescent="0.25">
      <c r="A41" s="1" t="s">
        <v>402</v>
      </c>
      <c r="B41" s="1">
        <v>-0.21846709896690511</v>
      </c>
      <c r="C41" s="1">
        <v>-0.55352382402112255</v>
      </c>
      <c r="D41" s="1">
        <v>2.875132517818678</v>
      </c>
      <c r="E41" s="1">
        <v>2.0746472446654929</v>
      </c>
      <c r="F41" s="1">
        <v>-1.916390778113066</v>
      </c>
      <c r="G41" s="1">
        <v>-2.0724133176784858</v>
      </c>
      <c r="H41" s="1">
        <v>-1.6636720351787311</v>
      </c>
      <c r="I41" s="1"/>
      <c r="J41" s="1"/>
      <c r="K41" s="1">
        <v>0.68096930218422058</v>
      </c>
    </row>
    <row r="42" spans="1:11" x14ac:dyDescent="0.25">
      <c r="A42" s="1" t="s">
        <v>484</v>
      </c>
      <c r="B42" s="1">
        <v>-0.37820564991414241</v>
      </c>
      <c r="C42" s="1">
        <v>-0.3260600099995602</v>
      </c>
      <c r="D42" s="1">
        <v>-1.987727853356257</v>
      </c>
      <c r="E42" s="1">
        <v>-3.483713719559383</v>
      </c>
      <c r="F42" s="1">
        <v>3.0098855180818789</v>
      </c>
      <c r="G42" s="1">
        <v>4.9038310821157696</v>
      </c>
      <c r="H42" s="1">
        <v>-4.1776959938453304</v>
      </c>
      <c r="I42" s="1">
        <v>-3.2150975702835431</v>
      </c>
      <c r="J42" s="1"/>
      <c r="K42" s="1">
        <v>0.68064192853901861</v>
      </c>
    </row>
    <row r="43" spans="1:11" x14ac:dyDescent="0.25">
      <c r="A43" s="1" t="s">
        <v>461</v>
      </c>
      <c r="B43" s="1">
        <v>-0.20491190142881599</v>
      </c>
      <c r="C43" s="1">
        <v>-0.36162701626899652</v>
      </c>
      <c r="D43" s="1">
        <v>-0.46063329460024788</v>
      </c>
      <c r="E43" s="1">
        <v>1.600160174125409</v>
      </c>
      <c r="F43" s="1">
        <v>2.2714071795980399</v>
      </c>
      <c r="G43" s="1">
        <v>-0.86743505966503698</v>
      </c>
      <c r="H43" s="1">
        <v>-1.8411024182976721</v>
      </c>
      <c r="I43" s="1">
        <v>-2.1539581733519539</v>
      </c>
      <c r="J43" s="1"/>
      <c r="K43" s="1">
        <v>0.67582937002005616</v>
      </c>
    </row>
    <row r="44" spans="1:11" x14ac:dyDescent="0.25">
      <c r="A44" s="1" t="s">
        <v>386</v>
      </c>
      <c r="B44" s="1">
        <v>-0.30884379477084989</v>
      </c>
      <c r="C44" s="1">
        <v>-0.78612954221469089</v>
      </c>
      <c r="D44" s="1">
        <v>2.1275413104731848</v>
      </c>
      <c r="E44" s="1">
        <v>3.2530936155538179</v>
      </c>
      <c r="F44" s="1">
        <v>-1.006542556117044</v>
      </c>
      <c r="G44" s="1">
        <v>-3.1435229582389241</v>
      </c>
      <c r="H44" s="1">
        <v>-3.5637210517804299</v>
      </c>
      <c r="I44" s="1"/>
      <c r="J44" s="1"/>
      <c r="K44" s="1">
        <v>0.67250802584224512</v>
      </c>
    </row>
    <row r="45" spans="1:11" x14ac:dyDescent="0.25">
      <c r="A45" s="1" t="s">
        <v>421</v>
      </c>
      <c r="B45" s="1">
        <v>-0.42461601324349241</v>
      </c>
      <c r="C45" s="1">
        <v>-1.4930636590393109</v>
      </c>
      <c r="D45" s="1">
        <v>-1.4367319369574321</v>
      </c>
      <c r="E45" s="1">
        <v>2.0389309890535592</v>
      </c>
      <c r="F45" s="1">
        <v>2.5777373734875741</v>
      </c>
      <c r="G45" s="1">
        <v>-2.9817457107622021</v>
      </c>
      <c r="H45" s="1">
        <v>-1.856648489250704</v>
      </c>
      <c r="I45" s="1"/>
      <c r="J45" s="1"/>
      <c r="K45" s="1">
        <v>0.65469998820211983</v>
      </c>
    </row>
    <row r="46" spans="1:11" x14ac:dyDescent="0.25">
      <c r="A46" s="1" t="s">
        <v>487</v>
      </c>
      <c r="B46" s="1">
        <v>-0.25703450026517022</v>
      </c>
      <c r="C46" s="1">
        <v>-0.74837499433096122</v>
      </c>
      <c r="D46" s="1">
        <v>-1.415302180733955</v>
      </c>
      <c r="E46" s="1">
        <v>0.74312421776213999</v>
      </c>
      <c r="F46" s="1">
        <v>0.58286574765536947</v>
      </c>
      <c r="G46" s="1">
        <v>1.3370104847940161</v>
      </c>
      <c r="H46" s="1">
        <v>-1.1355944097306001</v>
      </c>
      <c r="I46" s="1">
        <v>-1.0987968494390721</v>
      </c>
      <c r="J46" s="1"/>
      <c r="K46" s="1">
        <v>0.6507664077012254</v>
      </c>
    </row>
    <row r="47" spans="1:11" x14ac:dyDescent="0.25">
      <c r="A47" s="1" t="s">
        <v>489</v>
      </c>
      <c r="B47" s="1">
        <v>-0.37890711567131169</v>
      </c>
      <c r="C47" s="1">
        <v>0.49045968340339657</v>
      </c>
      <c r="D47" s="1">
        <v>11.520356399871771</v>
      </c>
      <c r="E47" s="1">
        <v>-11.64955881430218</v>
      </c>
      <c r="F47" s="1">
        <v>5.1747487213268686</v>
      </c>
      <c r="G47" s="1">
        <v>-2.8324265015607288</v>
      </c>
      <c r="H47" s="1">
        <v>-2.0159314263828119</v>
      </c>
      <c r="I47" s="1">
        <v>0.86408873474251002</v>
      </c>
      <c r="J47" s="1"/>
      <c r="K47" s="1">
        <v>0.64713986733198436</v>
      </c>
    </row>
    <row r="48" spans="1:11" x14ac:dyDescent="0.25">
      <c r="A48" s="1" t="s">
        <v>464</v>
      </c>
      <c r="B48" s="1">
        <v>-0.20608812183672059</v>
      </c>
      <c r="C48" s="1">
        <v>-0.36415934192658661</v>
      </c>
      <c r="D48" s="1">
        <v>-0.48165201761595139</v>
      </c>
      <c r="E48" s="1">
        <v>1.659149954922347</v>
      </c>
      <c r="F48" s="1">
        <v>2.345706332055066</v>
      </c>
      <c r="G48" s="1">
        <v>-0.89482236305720586</v>
      </c>
      <c r="H48" s="1">
        <v>-1.9319494418404699</v>
      </c>
      <c r="I48" s="1">
        <v>-2.2420375551886589</v>
      </c>
      <c r="J48" s="1"/>
      <c r="K48" s="1">
        <v>0.63601653754895393</v>
      </c>
    </row>
    <row r="49" spans="1:11" x14ac:dyDescent="0.25">
      <c r="A49" s="1" t="s">
        <v>239</v>
      </c>
      <c r="B49" s="1">
        <v>0.65166039549449772</v>
      </c>
      <c r="C49" s="1">
        <v>5.6802403728037456</v>
      </c>
      <c r="D49" s="1">
        <v>1.1873294074351499</v>
      </c>
      <c r="E49" s="1">
        <v>-5.1483644666520796</v>
      </c>
      <c r="F49" s="1">
        <v>-2.4485270721194499</v>
      </c>
      <c r="G49" s="1">
        <v>2.1302915643808591</v>
      </c>
      <c r="H49" s="1"/>
      <c r="I49" s="1"/>
      <c r="J49" s="1"/>
      <c r="K49" s="1">
        <v>0.61717013705295098</v>
      </c>
    </row>
    <row r="50" spans="1:11" x14ac:dyDescent="0.25">
      <c r="A50" s="1" t="s">
        <v>459</v>
      </c>
      <c r="B50" s="1">
        <v>-0.28779546337066719</v>
      </c>
      <c r="C50" s="1">
        <v>-0.58176155556886089</v>
      </c>
      <c r="D50" s="1">
        <v>-2.177170305609192</v>
      </c>
      <c r="E50" s="1">
        <v>3.3060535291409718</v>
      </c>
      <c r="F50" s="1">
        <v>1.4676175818530111</v>
      </c>
      <c r="G50" s="1">
        <v>2.235600452483399</v>
      </c>
      <c r="H50" s="1">
        <v>-0.68778627951620841</v>
      </c>
      <c r="I50" s="1">
        <v>-1.2982486574328489</v>
      </c>
      <c r="J50" s="1"/>
      <c r="K50" s="1">
        <v>0.60240763309890277</v>
      </c>
    </row>
    <row r="51" spans="1:11" x14ac:dyDescent="0.25">
      <c r="A51" s="1" t="s">
        <v>357</v>
      </c>
      <c r="B51" s="1">
        <v>-1.484414693075065</v>
      </c>
      <c r="C51" s="1">
        <v>1.500985602958101</v>
      </c>
      <c r="D51" s="1">
        <v>1.8096803614967869</v>
      </c>
      <c r="E51" s="1">
        <v>2.3381491315343421</v>
      </c>
      <c r="F51" s="1">
        <v>0.97753148467450646</v>
      </c>
      <c r="G51" s="1">
        <v>-0.95806926571439166</v>
      </c>
      <c r="H51" s="1">
        <v>-3.322085199315179</v>
      </c>
      <c r="I51" s="1"/>
      <c r="J51" s="1"/>
      <c r="K51" s="1">
        <v>0.59667636451878903</v>
      </c>
    </row>
    <row r="52" spans="1:11" x14ac:dyDescent="0.25">
      <c r="A52" s="1" t="s">
        <v>294</v>
      </c>
      <c r="B52" s="1">
        <v>-1.1487812989509181</v>
      </c>
      <c r="C52" s="1">
        <v>2.1907385501412668</v>
      </c>
      <c r="D52" s="1">
        <v>-1.4048866553675461</v>
      </c>
      <c r="E52" s="1">
        <v>-5.2808386260393974</v>
      </c>
      <c r="F52" s="1">
        <v>4.221813267361572</v>
      </c>
      <c r="G52" s="1">
        <v>2.5685960040933078</v>
      </c>
      <c r="H52" s="1"/>
      <c r="I52" s="1"/>
      <c r="J52" s="1"/>
      <c r="K52" s="1">
        <v>0.59529622921894798</v>
      </c>
    </row>
    <row r="53" spans="1:11" x14ac:dyDescent="0.25">
      <c r="A53" s="1" t="s">
        <v>171</v>
      </c>
      <c r="B53" s="1">
        <v>-1.918681058644661</v>
      </c>
      <c r="C53" s="1">
        <v>3.020799034709023</v>
      </c>
      <c r="D53" s="1">
        <v>-1.761794199652803</v>
      </c>
      <c r="E53" s="1">
        <v>2.804497198598209</v>
      </c>
      <c r="F53" s="1">
        <v>-2.446767602336235</v>
      </c>
      <c r="G53" s="1"/>
      <c r="H53" s="1"/>
      <c r="I53" s="1"/>
      <c r="J53" s="1"/>
      <c r="K53" s="1">
        <v>0.59400519878475677</v>
      </c>
    </row>
    <row r="54" spans="1:11" x14ac:dyDescent="0.25">
      <c r="A54" s="1" t="s">
        <v>472</v>
      </c>
      <c r="B54" s="1">
        <v>-0.4817739185223357</v>
      </c>
      <c r="C54" s="1">
        <v>-1.9706897766851641</v>
      </c>
      <c r="D54" s="1">
        <v>2.0644200499947809</v>
      </c>
      <c r="E54" s="1">
        <v>4.707234967181499</v>
      </c>
      <c r="F54" s="1">
        <v>-3.9092935752510578</v>
      </c>
      <c r="G54" s="1">
        <v>1.244060229565215</v>
      </c>
      <c r="H54" s="1">
        <v>-1.776864754107673</v>
      </c>
      <c r="I54" s="1">
        <v>2.2477393035365778</v>
      </c>
      <c r="J54" s="1"/>
      <c r="K54" s="1">
        <v>0.57852574224514441</v>
      </c>
    </row>
    <row r="55" spans="1:11" x14ac:dyDescent="0.25">
      <c r="A55" s="1" t="s">
        <v>481</v>
      </c>
      <c r="B55" s="1">
        <v>-0.35506735358816988</v>
      </c>
      <c r="C55" s="1">
        <v>-0.31102325633392558</v>
      </c>
      <c r="D55" s="1">
        <v>-1.61826408907029</v>
      </c>
      <c r="E55" s="1">
        <v>-2.7301119852740601</v>
      </c>
      <c r="F55" s="1">
        <v>2.5820829363854698</v>
      </c>
      <c r="G55" s="1">
        <v>3.9020666153238008</v>
      </c>
      <c r="H55" s="1">
        <v>-3.3971217230658199</v>
      </c>
      <c r="I55" s="1">
        <v>-2.658774561154289</v>
      </c>
      <c r="J55" s="1"/>
      <c r="K55" s="1">
        <v>0.56996931103138504</v>
      </c>
    </row>
    <row r="56" spans="1:11" x14ac:dyDescent="0.25">
      <c r="A56" s="1" t="s">
        <v>405</v>
      </c>
      <c r="B56" s="1">
        <v>-0.30307576792150082</v>
      </c>
      <c r="C56" s="1">
        <v>18.596058710378429</v>
      </c>
      <c r="D56" s="1">
        <v>-17.087957768956009</v>
      </c>
      <c r="E56" s="1">
        <v>-0.92454693383824504</v>
      </c>
      <c r="F56" s="1">
        <v>0.81115159234765177</v>
      </c>
      <c r="G56" s="1">
        <v>-1.396503953193226</v>
      </c>
      <c r="H56" s="1">
        <v>1.5332609962968811</v>
      </c>
      <c r="I56" s="1"/>
      <c r="J56" s="1"/>
      <c r="K56" s="1">
        <v>0.56371868147299065</v>
      </c>
    </row>
    <row r="57" spans="1:11" x14ac:dyDescent="0.25">
      <c r="A57" s="1" t="s">
        <v>438</v>
      </c>
      <c r="B57" s="1">
        <v>-0.25247832686764382</v>
      </c>
      <c r="C57" s="1">
        <v>19.917059225550659</v>
      </c>
      <c r="D57" s="1">
        <v>-19.03371705661657</v>
      </c>
      <c r="E57" s="1">
        <v>-0.83097269946437469</v>
      </c>
      <c r="F57" s="1">
        <v>-0.47560635399624279</v>
      </c>
      <c r="G57" s="1">
        <v>0.66265648891576978</v>
      </c>
      <c r="H57" s="1">
        <v>0.45610898663931432</v>
      </c>
      <c r="I57" s="1"/>
      <c r="J57" s="1"/>
      <c r="K57" s="1">
        <v>0.55472036874187358</v>
      </c>
    </row>
    <row r="58" spans="1:11" x14ac:dyDescent="0.25">
      <c r="A58" s="1" t="s">
        <v>434</v>
      </c>
      <c r="B58" s="1">
        <v>-0.28908817875356752</v>
      </c>
      <c r="C58" s="1">
        <v>-1.5474770374231761</v>
      </c>
      <c r="D58" s="1">
        <v>1.3632180028209699</v>
      </c>
      <c r="E58" s="1">
        <v>5.7153887864091262</v>
      </c>
      <c r="F58" s="1">
        <v>-2.6693672376371511</v>
      </c>
      <c r="G58" s="1">
        <v>-2.5826898752123819</v>
      </c>
      <c r="H58" s="1">
        <v>1.1384375600764041</v>
      </c>
      <c r="I58" s="1"/>
      <c r="J58" s="1"/>
      <c r="K58" s="1">
        <v>0.54644476446835677</v>
      </c>
    </row>
    <row r="59" spans="1:11" x14ac:dyDescent="0.25">
      <c r="A59" s="1" t="s">
        <v>439</v>
      </c>
      <c r="B59" s="1">
        <v>-0.22278757086321371</v>
      </c>
      <c r="C59" s="1">
        <v>16.687701485432839</v>
      </c>
      <c r="D59" s="1">
        <v>-15.67573870063384</v>
      </c>
      <c r="E59" s="1">
        <v>-0.82693972917047265</v>
      </c>
      <c r="F59" s="1">
        <v>1.3054251928517091</v>
      </c>
      <c r="G59" s="1">
        <v>-1.7322132182582191</v>
      </c>
      <c r="H59" s="1">
        <v>1.2175954251929759</v>
      </c>
      <c r="I59" s="1"/>
      <c r="J59" s="1"/>
      <c r="K59" s="1">
        <v>0.54325885977524502</v>
      </c>
    </row>
    <row r="60" spans="1:11" x14ac:dyDescent="0.25">
      <c r="A60" s="1" t="s">
        <v>429</v>
      </c>
      <c r="B60" s="1">
        <v>-0.43545174741881781</v>
      </c>
      <c r="C60" s="1">
        <v>-1.5363650465700609</v>
      </c>
      <c r="D60" s="1">
        <v>-1.4967734229191001</v>
      </c>
      <c r="E60" s="1">
        <v>2.0840488878192232</v>
      </c>
      <c r="F60" s="1">
        <v>2.6637124176740539</v>
      </c>
      <c r="G60" s="1">
        <v>-3.071232862873968</v>
      </c>
      <c r="H60" s="1">
        <v>-1.9312549263099179</v>
      </c>
      <c r="I60" s="1"/>
      <c r="J60" s="1"/>
      <c r="K60" s="1">
        <v>0.54298250440673823</v>
      </c>
    </row>
    <row r="61" spans="1:11" x14ac:dyDescent="0.25">
      <c r="A61" s="1" t="s">
        <v>477</v>
      </c>
      <c r="B61" s="1">
        <v>-0.50423776928089925</v>
      </c>
      <c r="C61" s="1">
        <v>-2.289757017921167</v>
      </c>
      <c r="D61" s="1">
        <v>2.4067440019626538</v>
      </c>
      <c r="E61" s="1">
        <v>5.2734506064755804</v>
      </c>
      <c r="F61" s="1">
        <v>-4.3380368186383844</v>
      </c>
      <c r="G61" s="1">
        <v>1.297771398499953</v>
      </c>
      <c r="H61" s="1">
        <v>-1.9975704633239439</v>
      </c>
      <c r="I61" s="1">
        <v>2.5207870672035368</v>
      </c>
      <c r="J61" s="1"/>
      <c r="K61" s="1">
        <v>0.52528544664079668</v>
      </c>
    </row>
    <row r="62" spans="1:11" x14ac:dyDescent="0.25">
      <c r="A62" s="1" t="s">
        <v>348</v>
      </c>
      <c r="B62" s="1">
        <v>-1.302099364708758</v>
      </c>
      <c r="C62" s="1">
        <v>1.321370033003173</v>
      </c>
      <c r="D62" s="1">
        <v>1.673105812877369</v>
      </c>
      <c r="E62" s="1">
        <v>2.183603499883803</v>
      </c>
      <c r="F62" s="1">
        <v>0.86876845738674346</v>
      </c>
      <c r="G62" s="1">
        <v>-0.84609035318214598</v>
      </c>
      <c r="H62" s="1">
        <v>-3.0507237884645639</v>
      </c>
      <c r="I62" s="1"/>
      <c r="J62" s="1"/>
      <c r="K62" s="1">
        <v>0.51882396988385682</v>
      </c>
    </row>
    <row r="63" spans="1:11" x14ac:dyDescent="0.25">
      <c r="A63" s="1" t="s">
        <v>242</v>
      </c>
      <c r="B63" s="1">
        <v>1.1716791826616531</v>
      </c>
      <c r="C63" s="1">
        <v>2.0897555139899628</v>
      </c>
      <c r="D63" s="1">
        <v>3.530203322431575</v>
      </c>
      <c r="E63" s="1">
        <v>-2.518675388326761</v>
      </c>
      <c r="F63" s="1">
        <v>-1.782431618095883</v>
      </c>
      <c r="G63" s="1">
        <v>0.87445351246940628</v>
      </c>
      <c r="H63" s="1"/>
      <c r="I63" s="1"/>
      <c r="J63" s="1"/>
      <c r="K63" s="1">
        <v>0.50267152671410242</v>
      </c>
    </row>
    <row r="64" spans="1:11" x14ac:dyDescent="0.25">
      <c r="A64" s="1" t="s">
        <v>281</v>
      </c>
      <c r="B64" s="1">
        <v>-1.5581219972256539</v>
      </c>
      <c r="C64" s="1">
        <v>-7.984914733646443</v>
      </c>
      <c r="D64" s="1">
        <v>5.1253951469858086</v>
      </c>
      <c r="E64" s="1">
        <v>2.042783465842601</v>
      </c>
      <c r="F64" s="1">
        <v>2.4983834554146069</v>
      </c>
      <c r="G64" s="1">
        <v>-2.4999934196170162</v>
      </c>
      <c r="H64" s="1"/>
      <c r="I64" s="1"/>
      <c r="J64" s="1"/>
      <c r="K64" s="1">
        <v>0.49507328748030371</v>
      </c>
    </row>
    <row r="65" spans="1:11" x14ac:dyDescent="0.25">
      <c r="A65" s="1" t="s">
        <v>246</v>
      </c>
      <c r="B65" s="1">
        <v>0.81170314477862626</v>
      </c>
      <c r="C65" s="1">
        <v>2.1502914008274101</v>
      </c>
      <c r="D65" s="1">
        <v>0.67197070236373047</v>
      </c>
      <c r="E65" s="1">
        <v>2.8507204443726262</v>
      </c>
      <c r="F65" s="1">
        <v>-2.265138693038558</v>
      </c>
      <c r="G65" s="1">
        <v>-2.0949185545414521</v>
      </c>
      <c r="H65" s="1"/>
      <c r="I65" s="1"/>
      <c r="J65" s="1"/>
      <c r="K65" s="1">
        <v>0.48663727550552088</v>
      </c>
    </row>
    <row r="66" spans="1:11" x14ac:dyDescent="0.25">
      <c r="A66" s="1" t="s">
        <v>385</v>
      </c>
      <c r="B66" s="1">
        <v>-0.30240703826270532</v>
      </c>
      <c r="C66" s="1">
        <v>-0.92485938447402027</v>
      </c>
      <c r="D66" s="1">
        <v>1.247358907182025</v>
      </c>
      <c r="E66" s="1">
        <v>3.3150203899875241</v>
      </c>
      <c r="F66" s="1">
        <v>-2.5016550672056201</v>
      </c>
      <c r="G66" s="1">
        <v>-0.98274913440982825</v>
      </c>
      <c r="H66" s="1">
        <v>-3.2551188328708118</v>
      </c>
      <c r="I66" s="1"/>
      <c r="J66" s="1"/>
      <c r="K66" s="1">
        <v>0.46643423991917787</v>
      </c>
    </row>
    <row r="67" spans="1:11" x14ac:dyDescent="0.25">
      <c r="A67" s="1" t="s">
        <v>443</v>
      </c>
      <c r="B67" s="1">
        <v>-0.34943267876718398</v>
      </c>
      <c r="C67" s="1">
        <v>-0.74749899254574081</v>
      </c>
      <c r="D67" s="1">
        <v>-1.0179953666219399</v>
      </c>
      <c r="E67" s="1">
        <v>1.975859481571274</v>
      </c>
      <c r="F67" s="1">
        <v>-1.9928627763415661</v>
      </c>
      <c r="G67" s="1">
        <v>0.76649361341592614</v>
      </c>
      <c r="H67" s="1">
        <v>-2.0450744340448379</v>
      </c>
      <c r="I67" s="1"/>
      <c r="J67" s="1"/>
      <c r="K67" s="1">
        <v>0.45541967084629342</v>
      </c>
    </row>
    <row r="68" spans="1:11" x14ac:dyDescent="0.25">
      <c r="A68" s="1" t="s">
        <v>370</v>
      </c>
      <c r="B68" s="1">
        <v>-0.59896323234112292</v>
      </c>
      <c r="C68" s="1">
        <v>-1.3572543953210821</v>
      </c>
      <c r="D68" s="1">
        <v>2.2828353761119691</v>
      </c>
      <c r="E68" s="1">
        <v>-1.228084811350366</v>
      </c>
      <c r="F68" s="1">
        <v>1.9453612397871569</v>
      </c>
      <c r="G68" s="1">
        <v>-2.0142065437827101</v>
      </c>
      <c r="H68" s="1">
        <v>0.80291245765880781</v>
      </c>
      <c r="I68" s="1"/>
      <c r="J68" s="1"/>
      <c r="K68" s="1">
        <v>0.45483383074542522</v>
      </c>
    </row>
    <row r="69" spans="1:11" x14ac:dyDescent="0.25">
      <c r="A69" s="1" t="s">
        <v>284</v>
      </c>
      <c r="B69" s="1">
        <v>-0.73322068438001775</v>
      </c>
      <c r="C69" s="1">
        <v>1.5738110794135181</v>
      </c>
      <c r="D69" s="1">
        <v>3.1322030136881529</v>
      </c>
      <c r="E69" s="1">
        <v>-3.2948336817533859</v>
      </c>
      <c r="F69" s="1">
        <v>1.6992493701738289</v>
      </c>
      <c r="G69" s="1">
        <v>2.2181882511610622</v>
      </c>
      <c r="H69" s="1"/>
      <c r="I69" s="1"/>
      <c r="J69" s="1"/>
      <c r="K69" s="1">
        <v>0.44835388907017598</v>
      </c>
    </row>
    <row r="70" spans="1:11" x14ac:dyDescent="0.25">
      <c r="A70" s="1" t="s">
        <v>448</v>
      </c>
      <c r="B70" s="1">
        <v>-0.35529925817948588</v>
      </c>
      <c r="C70" s="1">
        <v>-0.79757900592470321</v>
      </c>
      <c r="D70" s="1">
        <v>-1.0898799176862819</v>
      </c>
      <c r="E70" s="1">
        <v>2.1094732313818811</v>
      </c>
      <c r="F70" s="1">
        <v>-2.1745025166645622</v>
      </c>
      <c r="G70" s="1">
        <v>0.82511072963327847</v>
      </c>
      <c r="H70" s="1">
        <v>-2.2027429210855249</v>
      </c>
      <c r="I70" s="1"/>
      <c r="J70" s="1"/>
      <c r="K70" s="1">
        <v>0.43627892152177872</v>
      </c>
    </row>
    <row r="71" spans="1:11" x14ac:dyDescent="0.25">
      <c r="A71" s="1" t="s">
        <v>453</v>
      </c>
      <c r="B71" s="1">
        <v>-0.31025289764972819</v>
      </c>
      <c r="C71" s="1">
        <v>-2.645041506014445</v>
      </c>
      <c r="D71" s="1">
        <v>3.7497859274602598</v>
      </c>
      <c r="E71" s="1">
        <v>1.1160195872013161</v>
      </c>
      <c r="F71" s="1">
        <v>2.6789841251700741</v>
      </c>
      <c r="G71" s="1">
        <v>1.6081205376294549</v>
      </c>
      <c r="H71" s="1">
        <v>-1.992817647870246</v>
      </c>
      <c r="I71" s="1">
        <v>-1.839364613331046</v>
      </c>
      <c r="J71" s="1"/>
      <c r="K71" s="1">
        <v>0.42773429932738999</v>
      </c>
    </row>
    <row r="72" spans="1:11" x14ac:dyDescent="0.25">
      <c r="A72" s="1" t="s">
        <v>435</v>
      </c>
      <c r="B72" s="1">
        <v>-0.37414861789226589</v>
      </c>
      <c r="C72" s="1">
        <v>-2.1056771566676491</v>
      </c>
      <c r="D72" s="1">
        <v>1.149707048593114</v>
      </c>
      <c r="E72" s="1">
        <v>3.841432535527495</v>
      </c>
      <c r="F72" s="1">
        <v>-2.735050885622174</v>
      </c>
      <c r="G72" s="1">
        <v>0.90894540413292346</v>
      </c>
      <c r="H72" s="1">
        <v>-1.8071652371020051</v>
      </c>
      <c r="I72" s="1"/>
      <c r="J72" s="1"/>
      <c r="K72" s="1">
        <v>0.42578094499293179</v>
      </c>
    </row>
    <row r="73" spans="1:11" x14ac:dyDescent="0.25">
      <c r="A73" s="1" t="s">
        <v>432</v>
      </c>
      <c r="B73" s="1">
        <v>-0.36251182739635518</v>
      </c>
      <c r="C73" s="1">
        <v>-1.4771265743058939</v>
      </c>
      <c r="D73" s="1">
        <v>0.97612179714258906</v>
      </c>
      <c r="E73" s="1">
        <v>2.919188381079183</v>
      </c>
      <c r="F73" s="1">
        <v>-2.0670503185883602</v>
      </c>
      <c r="G73" s="1">
        <v>1.1572844529361019</v>
      </c>
      <c r="H73" s="1">
        <v>-1.5687975156010661</v>
      </c>
      <c r="I73" s="1"/>
      <c r="J73" s="1"/>
      <c r="K73" s="1">
        <v>0.41318683633122649</v>
      </c>
    </row>
    <row r="74" spans="1:11" x14ac:dyDescent="0.25">
      <c r="A74" s="1" t="s">
        <v>247</v>
      </c>
      <c r="B74" s="1">
        <v>1.058440350411739</v>
      </c>
      <c r="C74" s="1">
        <v>3.2405584181098939</v>
      </c>
      <c r="D74" s="1">
        <v>2.4750668577976258</v>
      </c>
      <c r="E74" s="1">
        <v>-3.30235845230388</v>
      </c>
      <c r="F74" s="1">
        <v>-1.2375822724402219</v>
      </c>
      <c r="G74" s="1">
        <v>1.591873501980986</v>
      </c>
      <c r="H74" s="1"/>
      <c r="I74" s="1"/>
      <c r="J74" s="1"/>
      <c r="K74" s="1">
        <v>0.41291969695462732</v>
      </c>
    </row>
    <row r="75" spans="1:11" x14ac:dyDescent="0.25">
      <c r="A75" s="1" t="s">
        <v>375</v>
      </c>
      <c r="B75" s="1">
        <v>-0.64954597186176577</v>
      </c>
      <c r="C75" s="1">
        <v>-1.527729352059825</v>
      </c>
      <c r="D75" s="1">
        <v>2.4464158535423182</v>
      </c>
      <c r="E75" s="1">
        <v>-1.2467727503342529</v>
      </c>
      <c r="F75" s="1">
        <v>1.9894373172813471</v>
      </c>
      <c r="G75" s="1">
        <v>-2.036522245919056</v>
      </c>
      <c r="H75" s="1">
        <v>0.78398315001304442</v>
      </c>
      <c r="I75" s="1"/>
      <c r="J75" s="1"/>
      <c r="K75" s="1">
        <v>0.40433955316321268</v>
      </c>
    </row>
    <row r="76" spans="1:11" x14ac:dyDescent="0.25">
      <c r="A76" s="1" t="s">
        <v>270</v>
      </c>
      <c r="B76" s="1">
        <v>-1.6330950280561709</v>
      </c>
      <c r="C76" s="1">
        <v>2.5158000051623879</v>
      </c>
      <c r="D76" s="1">
        <v>7.1378200041384856</v>
      </c>
      <c r="E76" s="1">
        <v>-3.2836561033790921</v>
      </c>
      <c r="F76" s="1">
        <v>-3.072575797151063</v>
      </c>
      <c r="G76" s="1">
        <v>2.7751278147843359</v>
      </c>
      <c r="H76" s="1"/>
      <c r="I76" s="1"/>
      <c r="J76" s="1"/>
      <c r="K76" s="1">
        <v>0.3924030271803659</v>
      </c>
    </row>
    <row r="77" spans="1:11" x14ac:dyDescent="0.25">
      <c r="A77" s="1" t="s">
        <v>428</v>
      </c>
      <c r="B77" s="1">
        <v>-0.25046036390740972</v>
      </c>
      <c r="C77" s="1">
        <v>-1.520709976397616</v>
      </c>
      <c r="D77" s="1">
        <v>2.102020932463005</v>
      </c>
      <c r="E77" s="1">
        <v>-1.3649401393591409</v>
      </c>
      <c r="F77" s="1">
        <v>4.1523168535088768</v>
      </c>
      <c r="G77" s="1">
        <v>-1.9106780677456161</v>
      </c>
      <c r="H77" s="1">
        <v>-1.9704719784599609</v>
      </c>
      <c r="I77" s="1"/>
      <c r="J77" s="1"/>
      <c r="K77" s="1">
        <v>0.38861666717650928</v>
      </c>
    </row>
    <row r="78" spans="1:11" x14ac:dyDescent="0.25">
      <c r="A78" s="1" t="s">
        <v>258</v>
      </c>
      <c r="B78" s="1">
        <v>-1.536832754898005</v>
      </c>
      <c r="C78" s="1">
        <v>2.3418118111130179</v>
      </c>
      <c r="D78" s="1">
        <v>6.7164804514002707</v>
      </c>
      <c r="E78" s="1">
        <v>-3.101419944375444</v>
      </c>
      <c r="F78" s="1">
        <v>-2.862050089736258</v>
      </c>
      <c r="G78" s="1">
        <v>2.5893478890830091</v>
      </c>
      <c r="H78" s="1"/>
      <c r="I78" s="1"/>
      <c r="J78" s="1"/>
      <c r="K78" s="1">
        <v>0.3885011523872004</v>
      </c>
    </row>
    <row r="79" spans="1:11" x14ac:dyDescent="0.25">
      <c r="A79" s="1" t="s">
        <v>83</v>
      </c>
      <c r="B79" s="1">
        <v>1.7674540055336601</v>
      </c>
      <c r="C79" s="1">
        <v>4.1351000613131834</v>
      </c>
      <c r="D79" s="1">
        <v>-2.8547383922917069</v>
      </c>
      <c r="E79" s="1">
        <v>3.0413249359702381</v>
      </c>
      <c r="F79" s="1"/>
      <c r="G79" s="1"/>
      <c r="H79" s="1"/>
      <c r="I79" s="1"/>
      <c r="J79" s="1"/>
      <c r="K79" s="1">
        <v>0.35471954646808929</v>
      </c>
    </row>
    <row r="80" spans="1:11" x14ac:dyDescent="0.25">
      <c r="A80" s="1" t="s">
        <v>365</v>
      </c>
      <c r="B80" s="1">
        <v>-0.87020845926520329</v>
      </c>
      <c r="C80" s="1">
        <v>0.92794735973057674</v>
      </c>
      <c r="D80" s="1">
        <v>2.1158664032526819</v>
      </c>
      <c r="E80" s="1">
        <v>1.1019670962416901</v>
      </c>
      <c r="F80" s="1">
        <v>-2.1259300532170591</v>
      </c>
      <c r="G80" s="1">
        <v>-0.90093467472811217</v>
      </c>
      <c r="H80" s="1">
        <v>1.457838700303298</v>
      </c>
      <c r="I80" s="1"/>
      <c r="J80" s="1"/>
      <c r="K80" s="1">
        <v>0.35397557954965891</v>
      </c>
    </row>
    <row r="81" spans="1:11" x14ac:dyDescent="0.25">
      <c r="A81" s="1" t="s">
        <v>426</v>
      </c>
      <c r="B81" s="1">
        <v>-0.36905792115927821</v>
      </c>
      <c r="C81" s="1">
        <v>-1.8243432671418871</v>
      </c>
      <c r="D81" s="1">
        <v>0.96974039381912314</v>
      </c>
      <c r="E81" s="1">
        <v>3.5270917424235888</v>
      </c>
      <c r="F81" s="1">
        <v>-2.5080888775867232</v>
      </c>
      <c r="G81" s="1">
        <v>0.8869809184437385</v>
      </c>
      <c r="H81" s="1">
        <v>-1.6459143377110059</v>
      </c>
      <c r="I81" s="1"/>
      <c r="J81" s="1"/>
      <c r="K81" s="1">
        <v>0.34793509357718172</v>
      </c>
    </row>
    <row r="82" spans="1:11" x14ac:dyDescent="0.25">
      <c r="A82" s="1" t="s">
        <v>279</v>
      </c>
      <c r="B82" s="1">
        <v>16.84700454945332</v>
      </c>
      <c r="C82" s="1">
        <v>-15.900747027460021</v>
      </c>
      <c r="D82" s="1">
        <v>-0.76443722656507229</v>
      </c>
      <c r="E82" s="1">
        <v>1.297298801203576</v>
      </c>
      <c r="F82" s="1">
        <v>-1.7036857601644151</v>
      </c>
      <c r="G82" s="1">
        <v>1.1996010704454281</v>
      </c>
      <c r="H82" s="1"/>
      <c r="I82" s="1"/>
      <c r="J82" s="1"/>
      <c r="K82" s="1">
        <v>0.34425337465406919</v>
      </c>
    </row>
    <row r="83" spans="1:11" x14ac:dyDescent="0.25">
      <c r="A83" s="1" t="s">
        <v>360</v>
      </c>
      <c r="B83" s="1">
        <v>-0.61902379625556936</v>
      </c>
      <c r="C83" s="1">
        <v>1.011493611075871</v>
      </c>
      <c r="D83" s="1">
        <v>3.488097242589816</v>
      </c>
      <c r="E83" s="1">
        <v>1.4300925283058861</v>
      </c>
      <c r="F83" s="1">
        <v>0.92002006282437065</v>
      </c>
      <c r="G83" s="1">
        <v>-2.7637772729551551</v>
      </c>
      <c r="H83" s="1">
        <v>-1.899903329892541</v>
      </c>
      <c r="I83" s="1"/>
      <c r="J83" s="1"/>
      <c r="K83" s="1">
        <v>0.32853801032222513</v>
      </c>
    </row>
    <row r="84" spans="1:11" x14ac:dyDescent="0.25">
      <c r="A84" s="1" t="s">
        <v>351</v>
      </c>
      <c r="B84" s="1">
        <v>-0.57590515402794007</v>
      </c>
      <c r="C84" s="1">
        <v>0.95595086808616825</v>
      </c>
      <c r="D84" s="1">
        <v>3.3807099689686742</v>
      </c>
      <c r="E84" s="1">
        <v>1.389539114899438</v>
      </c>
      <c r="F84" s="1">
        <v>0.90644048870351968</v>
      </c>
      <c r="G84" s="1">
        <v>-2.6897908879972041</v>
      </c>
      <c r="H84" s="1">
        <v>-1.8277207479290849</v>
      </c>
      <c r="I84" s="1"/>
      <c r="J84" s="1"/>
      <c r="K84" s="1">
        <v>0.31548093049619752</v>
      </c>
    </row>
    <row r="85" spans="1:11" x14ac:dyDescent="0.25">
      <c r="A85" s="1" t="s">
        <v>492</v>
      </c>
      <c r="B85" s="1">
        <v>-0.4642572349462204</v>
      </c>
      <c r="C85" s="1">
        <v>1.4467091622487609</v>
      </c>
      <c r="D85" s="1">
        <v>36.702064866718857</v>
      </c>
      <c r="E85" s="1">
        <v>-34.090858081181523</v>
      </c>
      <c r="F85" s="1">
        <v>-4.471322064470681</v>
      </c>
      <c r="G85" s="1">
        <v>1.2766920070871199</v>
      </c>
      <c r="H85" s="1">
        <v>-1.756781894304847</v>
      </c>
      <c r="I85" s="1">
        <v>-2.6684549517006899</v>
      </c>
      <c r="J85" s="1"/>
      <c r="K85" s="1">
        <v>0.31225710740529272</v>
      </c>
    </row>
    <row r="86" spans="1:11" x14ac:dyDescent="0.25">
      <c r="A86" s="1" t="s">
        <v>491</v>
      </c>
      <c r="B86" s="1">
        <v>-0.4833125898614925</v>
      </c>
      <c r="C86" s="1">
        <v>1.7776379731101659</v>
      </c>
      <c r="D86" s="1">
        <v>45.154906383448278</v>
      </c>
      <c r="E86" s="1">
        <v>-41.632802387231287</v>
      </c>
      <c r="F86" s="1">
        <v>-5.9469315122478541</v>
      </c>
      <c r="G86" s="1">
        <v>-1.39479861405296</v>
      </c>
      <c r="H86" s="1">
        <v>0.63652442030010015</v>
      </c>
      <c r="I86" s="1">
        <v>-3.8418664499344541</v>
      </c>
      <c r="J86" s="1"/>
      <c r="K86" s="1">
        <v>0.30752816082119122</v>
      </c>
    </row>
    <row r="87" spans="1:11" x14ac:dyDescent="0.25">
      <c r="A87" s="1" t="s">
        <v>262</v>
      </c>
      <c r="B87" s="1">
        <v>-1.572101964350912</v>
      </c>
      <c r="C87" s="1">
        <v>2.2208090005790879</v>
      </c>
      <c r="D87" s="1">
        <v>-1.4279103745033179</v>
      </c>
      <c r="E87" s="1">
        <v>4.2117000407472931</v>
      </c>
      <c r="F87" s="1">
        <v>-1.8746300695398079</v>
      </c>
      <c r="G87" s="1">
        <v>-2.058200867080894</v>
      </c>
      <c r="H87" s="1"/>
      <c r="I87" s="1"/>
      <c r="J87" s="1"/>
      <c r="K87" s="1">
        <v>0.3056650509059145</v>
      </c>
    </row>
    <row r="88" spans="1:11" x14ac:dyDescent="0.25">
      <c r="A88" s="1" t="s">
        <v>273</v>
      </c>
      <c r="B88" s="1">
        <v>-1.618757416401309</v>
      </c>
      <c r="C88" s="1">
        <v>1.4582030197845499</v>
      </c>
      <c r="D88" s="1">
        <v>5.6419120778594136</v>
      </c>
      <c r="E88" s="1">
        <v>-2.5616072755166912</v>
      </c>
      <c r="F88" s="1">
        <v>-2.6043127192123752</v>
      </c>
      <c r="G88" s="1">
        <v>1.118769237513398</v>
      </c>
      <c r="H88" s="1"/>
      <c r="I88" s="1"/>
      <c r="J88" s="1"/>
      <c r="K88" s="1">
        <v>0.30349608001371869</v>
      </c>
    </row>
    <row r="89" spans="1:11" x14ac:dyDescent="0.25">
      <c r="A89" s="1" t="s">
        <v>291</v>
      </c>
      <c r="B89" s="1">
        <v>-1.408426295215631</v>
      </c>
      <c r="C89" s="1">
        <v>1.30709786264368</v>
      </c>
      <c r="D89" s="1">
        <v>-8.3309875057339227</v>
      </c>
      <c r="E89" s="1">
        <v>5.7109314564582991</v>
      </c>
      <c r="F89" s="1">
        <v>2.9571640171637821</v>
      </c>
      <c r="G89" s="1">
        <v>1.4176796081305161</v>
      </c>
      <c r="H89" s="1"/>
      <c r="I89" s="1"/>
      <c r="J89" s="1"/>
      <c r="K89" s="1">
        <v>0.28070261930077622</v>
      </c>
    </row>
    <row r="90" spans="1:11" x14ac:dyDescent="0.25">
      <c r="A90" s="1" t="s">
        <v>235</v>
      </c>
      <c r="B90" s="1">
        <v>-1.1344672831837139</v>
      </c>
      <c r="C90" s="1">
        <v>2.164669276126117</v>
      </c>
      <c r="D90" s="1">
        <v>3.216489173873192</v>
      </c>
      <c r="E90" s="1">
        <v>-1.1566943026028209</v>
      </c>
      <c r="F90" s="1">
        <v>-3.1425392474715532</v>
      </c>
      <c r="G90" s="1">
        <v>-4.0655531222762944</v>
      </c>
      <c r="H90" s="1"/>
      <c r="I90" s="1"/>
      <c r="J90" s="1"/>
      <c r="K90" s="1">
        <v>0.26821316439900922</v>
      </c>
    </row>
    <row r="91" spans="1:11" x14ac:dyDescent="0.25">
      <c r="A91" s="1" t="s">
        <v>276</v>
      </c>
      <c r="B91" s="1">
        <v>20.037747478091781</v>
      </c>
      <c r="C91" s="1">
        <v>-19.239037494391368</v>
      </c>
      <c r="D91" s="1">
        <v>-0.74563648859935272</v>
      </c>
      <c r="E91" s="1">
        <v>-0.44275697200579278</v>
      </c>
      <c r="F91" s="1">
        <v>0.65227756850784691</v>
      </c>
      <c r="G91" s="1">
        <v>0.4343070648446542</v>
      </c>
      <c r="H91" s="1"/>
      <c r="I91" s="1"/>
      <c r="J91" s="1"/>
      <c r="K91" s="1">
        <v>0.26701136565704597</v>
      </c>
    </row>
    <row r="92" spans="1:11" x14ac:dyDescent="0.25">
      <c r="A92" s="1" t="s">
        <v>466</v>
      </c>
      <c r="B92" s="1">
        <v>-0.33840036911480792</v>
      </c>
      <c r="C92" s="1">
        <v>0.69498299835440325</v>
      </c>
      <c r="D92" s="1">
        <v>28.37764250804992</v>
      </c>
      <c r="E92" s="1">
        <v>-26.305931257923021</v>
      </c>
      <c r="F92" s="1">
        <v>-2.9146246187872999</v>
      </c>
      <c r="G92" s="1">
        <v>-0.60919311446662416</v>
      </c>
      <c r="H92" s="1">
        <v>0.81904865708929531</v>
      </c>
      <c r="I92" s="1">
        <v>-1.7199887440742161</v>
      </c>
      <c r="J92" s="1"/>
      <c r="K92" s="1">
        <v>0.2654609753966472</v>
      </c>
    </row>
    <row r="93" spans="1:11" x14ac:dyDescent="0.25">
      <c r="A93" s="1" t="s">
        <v>268</v>
      </c>
      <c r="B93" s="1">
        <v>0.68219792658801559</v>
      </c>
      <c r="C93" s="1">
        <v>5.4205504388920778</v>
      </c>
      <c r="D93" s="1">
        <v>0.69520931682527043</v>
      </c>
      <c r="E93" s="1">
        <v>-5.2540902808404972</v>
      </c>
      <c r="F93" s="1">
        <v>-2.1814224288676329</v>
      </c>
      <c r="G93" s="1">
        <v>2.7151484083429129</v>
      </c>
      <c r="H93" s="1"/>
      <c r="I93" s="1"/>
      <c r="J93" s="1"/>
      <c r="K93" s="1">
        <v>0.26488058793287189</v>
      </c>
    </row>
    <row r="94" spans="1:11" x14ac:dyDescent="0.25">
      <c r="A94" s="1" t="s">
        <v>307</v>
      </c>
      <c r="B94" s="1">
        <v>-0.84155727388848134</v>
      </c>
      <c r="C94" s="1">
        <v>-1.323994948879949</v>
      </c>
      <c r="D94" s="1">
        <v>1.116578150372372</v>
      </c>
      <c r="E94" s="1">
        <v>0.41363275379395292</v>
      </c>
      <c r="F94" s="1">
        <v>-0.46997538912630182</v>
      </c>
      <c r="G94" s="1">
        <v>0.83723372929280637</v>
      </c>
      <c r="H94" s="1"/>
      <c r="I94" s="1"/>
      <c r="J94" s="1"/>
      <c r="K94" s="1">
        <v>0.2583057538052474</v>
      </c>
    </row>
    <row r="95" spans="1:11" x14ac:dyDescent="0.25">
      <c r="A95" s="1" t="s">
        <v>233</v>
      </c>
      <c r="B95" s="1">
        <v>2.1295232586751691</v>
      </c>
      <c r="C95" s="1">
        <v>2.0257029654388128</v>
      </c>
      <c r="D95" s="1">
        <v>1.343202393250374</v>
      </c>
      <c r="E95" s="1">
        <v>-1.6011070173768649</v>
      </c>
      <c r="F95" s="1">
        <v>-2.642346940243816</v>
      </c>
      <c r="G95" s="1">
        <v>-1.873183257526883</v>
      </c>
      <c r="H95" s="1"/>
      <c r="I95" s="1"/>
      <c r="J95" s="1"/>
      <c r="K95" s="1">
        <v>0.25494149402139399</v>
      </c>
    </row>
    <row r="96" spans="1:11" x14ac:dyDescent="0.25">
      <c r="A96" s="1" t="s">
        <v>467</v>
      </c>
      <c r="B96" s="1">
        <v>-0.26525431505010438</v>
      </c>
      <c r="C96" s="1">
        <v>0.58188763797111054</v>
      </c>
      <c r="D96" s="1">
        <v>23.430486690938849</v>
      </c>
      <c r="E96" s="1">
        <v>-21.956324554878801</v>
      </c>
      <c r="F96" s="1">
        <v>-1.8248799229482939</v>
      </c>
      <c r="G96" s="1">
        <v>0.86878964448817286</v>
      </c>
      <c r="H96" s="1">
        <v>-0.4932112243145948</v>
      </c>
      <c r="I96" s="1">
        <v>-0.7713387967148988</v>
      </c>
      <c r="J96" s="1"/>
      <c r="K96" s="1">
        <v>0.2533567979722311</v>
      </c>
    </row>
    <row r="97" spans="1:11" x14ac:dyDescent="0.25">
      <c r="A97" s="1" t="s">
        <v>237</v>
      </c>
      <c r="B97" s="1">
        <v>0.90521508836895459</v>
      </c>
      <c r="C97" s="1">
        <v>1.912883925896667</v>
      </c>
      <c r="D97" s="1">
        <v>0.93769256122473732</v>
      </c>
      <c r="E97" s="1">
        <v>2.355440279753362</v>
      </c>
      <c r="F97" s="1">
        <v>-1.822426226626626</v>
      </c>
      <c r="G97" s="1">
        <v>-2.0336250361467298</v>
      </c>
      <c r="H97" s="1"/>
      <c r="I97" s="1"/>
      <c r="J97" s="1"/>
      <c r="K97" s="1">
        <v>0.25219406014368551</v>
      </c>
    </row>
    <row r="98" spans="1:11" x14ac:dyDescent="0.25">
      <c r="A98" s="1" t="s">
        <v>479</v>
      </c>
      <c r="B98" s="1">
        <v>-0.4358309286460883</v>
      </c>
      <c r="C98" s="1">
        <v>-2.2407267316790609</v>
      </c>
      <c r="D98" s="1">
        <v>1.4224295926250989</v>
      </c>
      <c r="E98" s="1">
        <v>3.9976075479904152</v>
      </c>
      <c r="F98" s="1">
        <v>-3.3366234062581941</v>
      </c>
      <c r="G98" s="1">
        <v>0.93287670897277464</v>
      </c>
      <c r="H98" s="1">
        <v>-1.5868430017176789</v>
      </c>
      <c r="I98" s="1">
        <v>0.80512602415322365</v>
      </c>
      <c r="J98" s="1"/>
      <c r="K98" s="1">
        <v>0.24638540345356849</v>
      </c>
    </row>
    <row r="99" spans="1:11" x14ac:dyDescent="0.25">
      <c r="A99" s="1" t="s">
        <v>490</v>
      </c>
      <c r="B99" s="1">
        <v>-0.29534566765517628</v>
      </c>
      <c r="C99" s="1">
        <v>0.67432610041815533</v>
      </c>
      <c r="D99" s="1">
        <v>30.792866127474689</v>
      </c>
      <c r="E99" s="1">
        <v>-28.419193590293251</v>
      </c>
      <c r="F99" s="1">
        <v>-3.2161049378632032</v>
      </c>
      <c r="G99" s="1">
        <v>-0.74873682559688481</v>
      </c>
      <c r="H99" s="1">
        <v>0.98333030352218986</v>
      </c>
      <c r="I99" s="1">
        <v>-1.796909422082078</v>
      </c>
      <c r="J99" s="1"/>
      <c r="K99" s="1">
        <v>0.24237473420901631</v>
      </c>
    </row>
    <row r="100" spans="1:11" x14ac:dyDescent="0.25">
      <c r="A100" s="1" t="s">
        <v>255</v>
      </c>
      <c r="B100" s="1">
        <v>-0.51455027374249895</v>
      </c>
      <c r="C100" s="1">
        <v>2.8932450074439311</v>
      </c>
      <c r="D100" s="1">
        <v>2.081304470981014</v>
      </c>
      <c r="E100" s="1">
        <v>-1.9548918620467799</v>
      </c>
      <c r="F100" s="1">
        <v>-2.056983559712164</v>
      </c>
      <c r="G100" s="1">
        <v>-1.650710180813753</v>
      </c>
      <c r="H100" s="1"/>
      <c r="I100" s="1"/>
      <c r="J100" s="1"/>
      <c r="K100" s="1">
        <v>0.24155574839601629</v>
      </c>
    </row>
    <row r="101" spans="1:11" x14ac:dyDescent="0.25">
      <c r="A101" s="1" t="s">
        <v>359</v>
      </c>
      <c r="B101" s="1">
        <v>-1.882465875265199</v>
      </c>
      <c r="C101" s="1">
        <v>1.4801071066238149</v>
      </c>
      <c r="D101" s="1">
        <v>-1.0552788552238059</v>
      </c>
      <c r="E101" s="1">
        <v>1.570884489442631</v>
      </c>
      <c r="F101" s="1">
        <v>1.6844802925957201</v>
      </c>
      <c r="G101" s="1">
        <v>2.033062810831781</v>
      </c>
      <c r="H101" s="1">
        <v>-3.73363461626065</v>
      </c>
      <c r="I101" s="1"/>
      <c r="J101" s="1"/>
      <c r="K101" s="1">
        <v>0.2364424124269455</v>
      </c>
    </row>
    <row r="102" spans="1:11" x14ac:dyDescent="0.25">
      <c r="A102" s="1" t="s">
        <v>267</v>
      </c>
      <c r="B102" s="1">
        <v>-0.52550089711801917</v>
      </c>
      <c r="C102" s="1">
        <v>2.9688615073999962</v>
      </c>
      <c r="D102" s="1">
        <v>2.1345456529218532</v>
      </c>
      <c r="E102" s="1">
        <v>-2.0037270651334129</v>
      </c>
      <c r="F102" s="1">
        <v>-2.1252218283772981</v>
      </c>
      <c r="G102" s="1">
        <v>-1.695231727327142</v>
      </c>
      <c r="H102" s="1"/>
      <c r="I102" s="1"/>
      <c r="J102" s="1"/>
      <c r="K102" s="1">
        <v>0.23641414744620209</v>
      </c>
    </row>
    <row r="103" spans="1:11" x14ac:dyDescent="0.25">
      <c r="A103" s="1" t="s">
        <v>437</v>
      </c>
      <c r="B103" s="1">
        <v>-0.25073041765736331</v>
      </c>
      <c r="C103" s="1">
        <v>-1.5557157298582329</v>
      </c>
      <c r="D103" s="1">
        <v>2.1728830832507868</v>
      </c>
      <c r="E103" s="1">
        <v>-1.3995799144225149</v>
      </c>
      <c r="F103" s="1">
        <v>4.2695001889084132</v>
      </c>
      <c r="G103" s="1">
        <v>-1.9622351626360961</v>
      </c>
      <c r="H103" s="1">
        <v>-2.0359037723943829</v>
      </c>
      <c r="I103" s="1"/>
      <c r="J103" s="1"/>
      <c r="K103" s="1">
        <v>0.22935240254124639</v>
      </c>
    </row>
    <row r="104" spans="1:11" x14ac:dyDescent="0.25">
      <c r="A104" s="1" t="s">
        <v>465</v>
      </c>
      <c r="B104" s="1">
        <v>-0.2357474246101339</v>
      </c>
      <c r="C104" s="1">
        <v>-0.45696206949352802</v>
      </c>
      <c r="D104" s="1">
        <v>-1.0974496881624889</v>
      </c>
      <c r="E104" s="1">
        <v>1.057062595641554</v>
      </c>
      <c r="F104" s="1">
        <v>2.237518399194474</v>
      </c>
      <c r="G104" s="1">
        <v>-1.6158465972369991</v>
      </c>
      <c r="H104" s="1">
        <v>-0.90906622008418714</v>
      </c>
      <c r="I104" s="1">
        <v>-2.35420734255933</v>
      </c>
      <c r="J104" s="1"/>
      <c r="K104" s="1">
        <v>0.22870846034528461</v>
      </c>
    </row>
    <row r="105" spans="1:11" x14ac:dyDescent="0.25">
      <c r="A105" s="1" t="s">
        <v>350</v>
      </c>
      <c r="B105" s="1">
        <v>-1.6188413928389009</v>
      </c>
      <c r="C105" s="1">
        <v>1.2737032781306989</v>
      </c>
      <c r="D105" s="1">
        <v>-0.92221099841495136</v>
      </c>
      <c r="E105" s="1">
        <v>1.4404629561315909</v>
      </c>
      <c r="F105" s="1">
        <v>1.5806205503656861</v>
      </c>
      <c r="G105" s="1">
        <v>1.7820160169415951</v>
      </c>
      <c r="H105" s="1">
        <v>-3.3568277979685321</v>
      </c>
      <c r="I105" s="1"/>
      <c r="J105" s="1"/>
      <c r="K105" s="1">
        <v>0.22522084232072309</v>
      </c>
    </row>
    <row r="106" spans="1:11" x14ac:dyDescent="0.25">
      <c r="A106" s="1" t="s">
        <v>184</v>
      </c>
      <c r="B106" s="1">
        <v>-0.3256959593048952</v>
      </c>
      <c r="C106" s="1">
        <v>-1.617616413483038</v>
      </c>
      <c r="D106" s="1">
        <v>3.4238420025469019</v>
      </c>
      <c r="E106" s="1">
        <v>-3.601884332604151</v>
      </c>
      <c r="F106" s="1">
        <v>-2.2086709541321712</v>
      </c>
      <c r="G106" s="1"/>
      <c r="H106" s="1"/>
      <c r="I106" s="1"/>
      <c r="J106" s="1"/>
      <c r="K106" s="1">
        <v>0.21869162198824671</v>
      </c>
    </row>
    <row r="107" spans="1:11" x14ac:dyDescent="0.25">
      <c r="A107" s="1" t="s">
        <v>374</v>
      </c>
      <c r="B107" s="1">
        <v>-0.76521965285913018</v>
      </c>
      <c r="C107" s="1">
        <v>-1.5053305904204459</v>
      </c>
      <c r="D107" s="1">
        <v>0.84173382419129172</v>
      </c>
      <c r="E107" s="1">
        <v>0.61150493903829528</v>
      </c>
      <c r="F107" s="1">
        <v>1.291086225137333</v>
      </c>
      <c r="G107" s="1">
        <v>-1.121545954731296</v>
      </c>
      <c r="H107" s="1">
        <v>-1.0601096578564271</v>
      </c>
      <c r="I107" s="1"/>
      <c r="J107" s="1"/>
      <c r="K107" s="1">
        <v>0.21844847365283029</v>
      </c>
    </row>
    <row r="108" spans="1:11" x14ac:dyDescent="0.25">
      <c r="A108" s="1" t="s">
        <v>373</v>
      </c>
      <c r="B108" s="1">
        <v>-1.0099431466971349</v>
      </c>
      <c r="C108" s="1">
        <v>-1.358271247057645</v>
      </c>
      <c r="D108" s="1">
        <v>1.400105364595452</v>
      </c>
      <c r="E108" s="1">
        <v>1.1016009286910149</v>
      </c>
      <c r="F108" s="1">
        <v>-1.2949722105155539</v>
      </c>
      <c r="G108" s="1">
        <v>0.49360769906571877</v>
      </c>
      <c r="H108" s="1">
        <v>0.70286967341414297</v>
      </c>
      <c r="I108" s="1"/>
      <c r="J108" s="1"/>
      <c r="K108" s="1">
        <v>0.20949723418173821</v>
      </c>
    </row>
    <row r="109" spans="1:11" x14ac:dyDescent="0.25">
      <c r="A109" s="1" t="s">
        <v>275</v>
      </c>
      <c r="B109" s="1">
        <v>-1.6255195757471821</v>
      </c>
      <c r="C109" s="1">
        <v>2.311620212573283</v>
      </c>
      <c r="D109" s="1">
        <v>-1.466259228665149</v>
      </c>
      <c r="E109" s="1">
        <v>4.3375304583240659</v>
      </c>
      <c r="F109" s="1">
        <v>-1.9233400183041161</v>
      </c>
      <c r="G109" s="1">
        <v>-2.1348707032685512</v>
      </c>
      <c r="H109" s="1"/>
      <c r="I109" s="1"/>
      <c r="J109" s="1"/>
      <c r="K109" s="1">
        <v>0.20779136981902099</v>
      </c>
    </row>
    <row r="110" spans="1:11" x14ac:dyDescent="0.25">
      <c r="A110" s="1" t="s">
        <v>369</v>
      </c>
      <c r="B110" s="1">
        <v>-0.93140767622855969</v>
      </c>
      <c r="C110" s="1">
        <v>-1.202698302399527</v>
      </c>
      <c r="D110" s="1">
        <v>1.2449408257617081</v>
      </c>
      <c r="E110" s="1">
        <v>1.02624444073106</v>
      </c>
      <c r="F110" s="1">
        <v>-1.162895736490362</v>
      </c>
      <c r="G110" s="1">
        <v>0.43272183158170158</v>
      </c>
      <c r="H110" s="1">
        <v>0.67853873014918065</v>
      </c>
      <c r="I110" s="1"/>
      <c r="J110" s="1"/>
      <c r="K110" s="1">
        <v>0.20400464726331169</v>
      </c>
    </row>
    <row r="111" spans="1:11" x14ac:dyDescent="0.25">
      <c r="A111" s="1" t="s">
        <v>306</v>
      </c>
      <c r="B111" s="1">
        <v>-0.2407050269126508</v>
      </c>
      <c r="C111" s="1">
        <v>-1.342422074640107</v>
      </c>
      <c r="D111" s="1">
        <v>1.1452502299902649</v>
      </c>
      <c r="E111" s="1">
        <v>0.74169140218991736</v>
      </c>
      <c r="F111" s="1">
        <v>1.834699001277829</v>
      </c>
      <c r="G111" s="1">
        <v>-1.887508952129956</v>
      </c>
      <c r="H111" s="1"/>
      <c r="I111" s="1"/>
      <c r="J111" s="1"/>
      <c r="K111" s="1">
        <v>0.20311040955114479</v>
      </c>
    </row>
    <row r="112" spans="1:11" x14ac:dyDescent="0.25">
      <c r="A112" s="1" t="s">
        <v>341</v>
      </c>
      <c r="B112" s="1">
        <v>-0.19678766353304819</v>
      </c>
      <c r="C112" s="1">
        <v>-0.31990222524818063</v>
      </c>
      <c r="D112" s="1">
        <v>-1.589833577817326</v>
      </c>
      <c r="E112" s="1">
        <v>3.3737577428200449</v>
      </c>
      <c r="F112" s="1">
        <v>-3.569380229196748</v>
      </c>
      <c r="G112" s="1">
        <v>-2.1791662750212581</v>
      </c>
      <c r="H112" s="1"/>
      <c r="I112" s="1"/>
      <c r="J112" s="1"/>
      <c r="K112" s="1">
        <v>0.20296775667489009</v>
      </c>
    </row>
    <row r="113" spans="1:11" x14ac:dyDescent="0.25">
      <c r="A113" s="1" t="s">
        <v>463</v>
      </c>
      <c r="B113" s="1">
        <v>-0.22812127442205099</v>
      </c>
      <c r="C113" s="1">
        <v>-0.44005032982808728</v>
      </c>
      <c r="D113" s="1">
        <v>-0.99118982673287392</v>
      </c>
      <c r="E113" s="1">
        <v>0.95257834942715569</v>
      </c>
      <c r="F113" s="1">
        <v>2.0645328583823441</v>
      </c>
      <c r="G113" s="1">
        <v>-1.4746509379895689</v>
      </c>
      <c r="H113" s="1">
        <v>-0.77633519941327678</v>
      </c>
      <c r="I113" s="1">
        <v>-2.135437859565728</v>
      </c>
      <c r="J113" s="1"/>
      <c r="K113" s="1">
        <v>0.1978391265072644</v>
      </c>
    </row>
    <row r="114" spans="1:11" x14ac:dyDescent="0.25">
      <c r="A114" s="1" t="s">
        <v>227</v>
      </c>
      <c r="B114" s="1">
        <v>-0.21607312278012031</v>
      </c>
      <c r="C114" s="1">
        <v>-0.66037619758483312</v>
      </c>
      <c r="D114" s="1">
        <v>-1.6771730843449231</v>
      </c>
      <c r="E114" s="1">
        <v>1.4141915815403989</v>
      </c>
      <c r="F114" s="1">
        <v>0.5862119769804871</v>
      </c>
      <c r="G114" s="1"/>
      <c r="H114" s="1"/>
      <c r="I114" s="1"/>
      <c r="J114" s="1"/>
      <c r="K114" s="1">
        <v>0.19526767279405</v>
      </c>
    </row>
    <row r="115" spans="1:11" x14ac:dyDescent="0.25">
      <c r="A115" s="1" t="s">
        <v>234</v>
      </c>
      <c r="B115" s="1">
        <v>1.655651700324279</v>
      </c>
      <c r="C115" s="1">
        <v>1.689982466206116</v>
      </c>
      <c r="D115" s="1">
        <v>3.1719590508239981</v>
      </c>
      <c r="E115" s="1">
        <v>-1.974070672356133</v>
      </c>
      <c r="F115" s="1">
        <v>-1.4793565064624199</v>
      </c>
      <c r="G115" s="1">
        <v>1.5405186137800171</v>
      </c>
      <c r="H115" s="1"/>
      <c r="I115" s="1"/>
      <c r="J115" s="1"/>
      <c r="K115" s="1">
        <v>0.19513326784232321</v>
      </c>
    </row>
    <row r="116" spans="1:11" x14ac:dyDescent="0.25">
      <c r="A116" s="1" t="s">
        <v>278</v>
      </c>
      <c r="B116" s="1">
        <v>20.63680440685842</v>
      </c>
      <c r="C116" s="1">
        <v>-19.947049818120981</v>
      </c>
      <c r="D116" s="1">
        <v>-0.67890631996160988</v>
      </c>
      <c r="E116" s="1">
        <v>-0.41430640868658319</v>
      </c>
      <c r="F116" s="1">
        <v>0.8360293530217926</v>
      </c>
      <c r="G116" s="1">
        <v>0.1793867738365858</v>
      </c>
      <c r="H116" s="1"/>
      <c r="I116" s="1"/>
      <c r="J116" s="1"/>
      <c r="K116" s="1">
        <v>0.1917503944679104</v>
      </c>
    </row>
    <row r="117" spans="1:11" x14ac:dyDescent="0.25">
      <c r="A117" s="1" t="s">
        <v>468</v>
      </c>
      <c r="B117" s="1">
        <v>-0.45902373079491382</v>
      </c>
      <c r="C117" s="1">
        <v>1.4689541889737909</v>
      </c>
      <c r="D117" s="1">
        <v>37.497881406645469</v>
      </c>
      <c r="E117" s="1">
        <v>-34.872835416146998</v>
      </c>
      <c r="F117" s="1">
        <v>-4.6150004241110132</v>
      </c>
      <c r="G117" s="1">
        <v>-1.0187659699966101</v>
      </c>
      <c r="H117" s="1">
        <v>0.5183001791123838</v>
      </c>
      <c r="I117" s="1">
        <v>-3.1107000396461228</v>
      </c>
      <c r="J117" s="1"/>
      <c r="K117" s="1">
        <v>0.19055860384297851</v>
      </c>
    </row>
    <row r="118" spans="1:11" x14ac:dyDescent="0.25">
      <c r="A118" s="1" t="s">
        <v>305</v>
      </c>
      <c r="B118" s="1">
        <v>-0.83667616101502773</v>
      </c>
      <c r="C118" s="1">
        <v>-1.430372237191464</v>
      </c>
      <c r="D118" s="1">
        <v>1.541442802781857</v>
      </c>
      <c r="E118" s="1">
        <v>0.71080044440910073</v>
      </c>
      <c r="F118" s="1">
        <v>1.1813747745860641</v>
      </c>
      <c r="G118" s="1">
        <v>-0.87890582239760517</v>
      </c>
      <c r="H118" s="1"/>
      <c r="I118" s="1"/>
      <c r="J118" s="1"/>
      <c r="K118" s="1">
        <v>0.1899297237265645</v>
      </c>
    </row>
    <row r="119" spans="1:11" x14ac:dyDescent="0.25">
      <c r="A119" s="1" t="s">
        <v>407</v>
      </c>
      <c r="B119" s="1">
        <v>-0.20946287149178611</v>
      </c>
      <c r="C119" s="1">
        <v>-0.69062507381534877</v>
      </c>
      <c r="D119" s="1">
        <v>-1.0414847199584001</v>
      </c>
      <c r="E119" s="1">
        <v>1.9256399371499859</v>
      </c>
      <c r="F119" s="1">
        <v>-2.0076450439883722</v>
      </c>
      <c r="G119" s="1">
        <v>0.81098607483515062</v>
      </c>
      <c r="H119" s="1">
        <v>-2.1050522367290929</v>
      </c>
      <c r="I119" s="1"/>
      <c r="J119" s="1"/>
      <c r="K119" s="1">
        <v>0.18887930360487901</v>
      </c>
    </row>
    <row r="120" spans="1:11" x14ac:dyDescent="0.25">
      <c r="A120" s="1" t="s">
        <v>475</v>
      </c>
      <c r="B120" s="1">
        <v>-0.37930349583454931</v>
      </c>
      <c r="C120" s="1">
        <v>-1.983345961628999</v>
      </c>
      <c r="D120" s="1">
        <v>1.8497594074844601</v>
      </c>
      <c r="E120" s="1">
        <v>-0.98055729718203322</v>
      </c>
      <c r="F120" s="1">
        <v>3.019093893929929</v>
      </c>
      <c r="G120" s="1">
        <v>-2.5561754175663709</v>
      </c>
      <c r="H120" s="1">
        <v>0.72750270892301927</v>
      </c>
      <c r="I120" s="1">
        <v>-1.2209094869000181</v>
      </c>
      <c r="J120" s="1"/>
      <c r="K120" s="1">
        <v>0.1850378219080894</v>
      </c>
    </row>
    <row r="121" spans="1:11" x14ac:dyDescent="0.25">
      <c r="A121" s="1" t="s">
        <v>189</v>
      </c>
      <c r="B121" s="1">
        <v>-0.35021671956357597</v>
      </c>
      <c r="C121" s="1">
        <v>-1.632047850432462</v>
      </c>
      <c r="D121" s="1">
        <v>3.486335274539607</v>
      </c>
      <c r="E121" s="1">
        <v>-3.6412835687649689</v>
      </c>
      <c r="F121" s="1">
        <v>-2.2278169207116192</v>
      </c>
      <c r="G121" s="1"/>
      <c r="H121" s="1"/>
      <c r="I121" s="1"/>
      <c r="J121" s="1"/>
      <c r="K121" s="1">
        <v>0.181922126752776</v>
      </c>
    </row>
    <row r="122" spans="1:11" x14ac:dyDescent="0.25">
      <c r="A122" s="1" t="s">
        <v>398</v>
      </c>
      <c r="B122" s="1">
        <v>-0.21854313999542949</v>
      </c>
      <c r="C122" s="1">
        <v>-0.91230769523204946</v>
      </c>
      <c r="D122" s="1">
        <v>0.97147471897005921</v>
      </c>
      <c r="E122" s="1">
        <v>2.2927592666720482</v>
      </c>
      <c r="F122" s="1">
        <v>-1.7176338763915959</v>
      </c>
      <c r="G122" s="1">
        <v>-0.75233803455089909</v>
      </c>
      <c r="H122" s="1">
        <v>-2.5946221247782688</v>
      </c>
      <c r="I122" s="1"/>
      <c r="J122" s="1"/>
      <c r="K122" s="1">
        <v>0.17826894991460529</v>
      </c>
    </row>
    <row r="123" spans="1:11" x14ac:dyDescent="0.25">
      <c r="A123" s="1" t="s">
        <v>156</v>
      </c>
      <c r="B123" s="1">
        <v>-1.305106177631207</v>
      </c>
      <c r="C123" s="1">
        <v>1.096241208902059</v>
      </c>
      <c r="D123" s="1">
        <v>0.62922523907160932</v>
      </c>
      <c r="E123" s="1">
        <v>2.0025495524589449</v>
      </c>
      <c r="F123" s="1">
        <v>-2.0316330743377549</v>
      </c>
      <c r="G123" s="1"/>
      <c r="H123" s="1"/>
      <c r="I123" s="1"/>
      <c r="J123" s="1"/>
      <c r="K123" s="1">
        <v>0.1749443239595754</v>
      </c>
    </row>
    <row r="124" spans="1:11" x14ac:dyDescent="0.25">
      <c r="A124" s="1" t="s">
        <v>383</v>
      </c>
      <c r="B124" s="1">
        <v>-0.3485099936262781</v>
      </c>
      <c r="C124" s="1">
        <v>-2.1223877766152839</v>
      </c>
      <c r="D124" s="1">
        <v>1.1699729404775061</v>
      </c>
      <c r="E124" s="1">
        <v>3.0566260452937248</v>
      </c>
      <c r="F124" s="1">
        <v>-1.9241907093666839</v>
      </c>
      <c r="G124" s="1">
        <v>-1.746466027597096</v>
      </c>
      <c r="H124" s="1">
        <v>-4.5002722082727651</v>
      </c>
      <c r="I124" s="1"/>
      <c r="J124" s="1"/>
      <c r="K124" s="1">
        <v>0.17383620142765499</v>
      </c>
    </row>
    <row r="125" spans="1:11" x14ac:dyDescent="0.25">
      <c r="A125" s="1" t="s">
        <v>412</v>
      </c>
      <c r="B125" s="1">
        <v>-0.213065450692945</v>
      </c>
      <c r="C125" s="1">
        <v>-0.73250849547157448</v>
      </c>
      <c r="D125" s="1">
        <v>-1.087069619297562</v>
      </c>
      <c r="E125" s="1">
        <v>2.0252217480813721</v>
      </c>
      <c r="F125" s="1">
        <v>-2.1384849878990049</v>
      </c>
      <c r="G125" s="1">
        <v>0.85423822223108203</v>
      </c>
      <c r="H125" s="1">
        <v>-2.2191618855721842</v>
      </c>
      <c r="I125" s="1"/>
      <c r="J125" s="1"/>
      <c r="K125" s="1">
        <v>0.1705724192823794</v>
      </c>
    </row>
    <row r="126" spans="1:11" x14ac:dyDescent="0.25">
      <c r="A126" s="1" t="s">
        <v>343</v>
      </c>
      <c r="B126" s="1">
        <v>-0.19821775508252429</v>
      </c>
      <c r="C126" s="1">
        <v>-0.34162165533001582</v>
      </c>
      <c r="D126" s="1">
        <v>-1.588376558964691</v>
      </c>
      <c r="E126" s="1">
        <v>3.4252977580511779</v>
      </c>
      <c r="F126" s="1">
        <v>-3.6114253000889369</v>
      </c>
      <c r="G126" s="1">
        <v>-2.1968798874685258</v>
      </c>
      <c r="H126" s="1"/>
      <c r="I126" s="1"/>
      <c r="J126" s="1"/>
      <c r="K126" s="1">
        <v>0.1638220643998623</v>
      </c>
    </row>
    <row r="127" spans="1:11" x14ac:dyDescent="0.25">
      <c r="A127" s="1" t="s">
        <v>277</v>
      </c>
      <c r="B127" s="1">
        <v>25.864793286129981</v>
      </c>
      <c r="C127" s="1">
        <v>-24.33547281540347</v>
      </c>
      <c r="D127" s="1">
        <v>-0.99520719876073871</v>
      </c>
      <c r="E127" s="1">
        <v>1.2261024072804301</v>
      </c>
      <c r="F127" s="1">
        <v>-1.9042464539792019</v>
      </c>
      <c r="G127" s="1">
        <v>1.6870927861256739</v>
      </c>
      <c r="H127" s="1"/>
      <c r="I127" s="1"/>
      <c r="J127" s="1"/>
      <c r="K127" s="1">
        <v>0.16343374171609371</v>
      </c>
    </row>
    <row r="128" spans="1:11" x14ac:dyDescent="0.25">
      <c r="A128" s="1" t="s">
        <v>111</v>
      </c>
      <c r="B128" s="1">
        <v>-0.66187798820525734</v>
      </c>
      <c r="C128" s="1">
        <v>-1.6754513607867321</v>
      </c>
      <c r="D128" s="1">
        <v>1.421776440482361</v>
      </c>
      <c r="E128" s="1">
        <v>0.59466117137108399</v>
      </c>
      <c r="F128" s="1"/>
      <c r="G128" s="1"/>
      <c r="H128" s="1"/>
      <c r="I128" s="1"/>
      <c r="J128" s="1"/>
      <c r="K128" s="1">
        <v>0.16241031752135329</v>
      </c>
    </row>
    <row r="129" spans="1:11" x14ac:dyDescent="0.25">
      <c r="A129" s="1" t="s">
        <v>274</v>
      </c>
      <c r="B129" s="1">
        <v>-2.2806107104968198</v>
      </c>
      <c r="C129" s="1">
        <v>1.3002021675015241</v>
      </c>
      <c r="D129" s="1">
        <v>3.9179060677760531</v>
      </c>
      <c r="E129" s="1">
        <v>-2.740974263134011</v>
      </c>
      <c r="F129" s="1">
        <v>0.91545469065448359</v>
      </c>
      <c r="G129" s="1">
        <v>-1.8971068269744671</v>
      </c>
      <c r="H129" s="1"/>
      <c r="I129" s="1"/>
      <c r="J129" s="1"/>
      <c r="K129" s="1">
        <v>0.15383559011563189</v>
      </c>
    </row>
    <row r="130" spans="1:11" x14ac:dyDescent="0.25">
      <c r="A130" s="1" t="s">
        <v>174</v>
      </c>
      <c r="B130" s="1">
        <v>20.746791336476111</v>
      </c>
      <c r="C130" s="1">
        <v>-20.132993299082141</v>
      </c>
      <c r="D130" s="1">
        <v>-0.66805037085067054</v>
      </c>
      <c r="E130" s="1">
        <v>-0.49956667808464239</v>
      </c>
      <c r="F130" s="1">
        <v>1.024302862461036</v>
      </c>
      <c r="G130" s="1"/>
      <c r="H130" s="1"/>
      <c r="I130" s="1"/>
      <c r="J130" s="1"/>
      <c r="K130" s="1">
        <v>0.15156458499999639</v>
      </c>
    </row>
    <row r="131" spans="1:11" x14ac:dyDescent="0.25">
      <c r="A131" s="1" t="s">
        <v>469</v>
      </c>
      <c r="B131" s="1">
        <v>-0.40272959328233238</v>
      </c>
      <c r="C131" s="1">
        <v>1.25934245794176</v>
      </c>
      <c r="D131" s="1">
        <v>31.838355690468251</v>
      </c>
      <c r="E131" s="1">
        <v>-29.815218370038021</v>
      </c>
      <c r="F131" s="1">
        <v>-3.6137501488198378</v>
      </c>
      <c r="G131" s="1">
        <v>1.026886355179063</v>
      </c>
      <c r="H131" s="1">
        <v>-1.3489520640906729</v>
      </c>
      <c r="I131" s="1">
        <v>-2.2783018548822822</v>
      </c>
      <c r="J131" s="1"/>
      <c r="K131" s="1">
        <v>0.14661248724472301</v>
      </c>
    </row>
    <row r="132" spans="1:11" x14ac:dyDescent="0.25">
      <c r="A132" s="1" t="s">
        <v>392</v>
      </c>
      <c r="B132" s="1">
        <v>-0.21832103798777139</v>
      </c>
      <c r="C132" s="1">
        <v>-0.83317327495335802</v>
      </c>
      <c r="D132" s="1">
        <v>0.87435407856128888</v>
      </c>
      <c r="E132" s="1">
        <v>2.097775054108951</v>
      </c>
      <c r="F132" s="1">
        <v>-1.514111659546298</v>
      </c>
      <c r="G132" s="1">
        <v>-0.68184134347409908</v>
      </c>
      <c r="H132" s="1">
        <v>-2.372677319630569</v>
      </c>
      <c r="I132" s="1"/>
      <c r="J132" s="1"/>
      <c r="K132" s="1">
        <v>0.13939834915146149</v>
      </c>
    </row>
    <row r="133" spans="1:11" x14ac:dyDescent="0.25">
      <c r="A133" s="1" t="s">
        <v>381</v>
      </c>
      <c r="B133" s="1">
        <v>-0.25379337006433289</v>
      </c>
      <c r="C133" s="1">
        <v>-1.2091351932073</v>
      </c>
      <c r="D133" s="1">
        <v>0.9993727479983977</v>
      </c>
      <c r="E133" s="1">
        <v>2.8180983349826292</v>
      </c>
      <c r="F133" s="1">
        <v>-2.0612478245125581</v>
      </c>
      <c r="G133" s="1">
        <v>-0.87713752912501552</v>
      </c>
      <c r="H133" s="1">
        <v>-3.30523354964566</v>
      </c>
      <c r="I133" s="1"/>
      <c r="J133" s="1"/>
      <c r="K133" s="1">
        <v>0.1322829447055649</v>
      </c>
    </row>
    <row r="134" spans="1:11" x14ac:dyDescent="0.25">
      <c r="A134" s="1" t="s">
        <v>371</v>
      </c>
      <c r="B134" s="1">
        <v>-0.41123220716338388</v>
      </c>
      <c r="C134" s="1">
        <v>-0.41780856773318448</v>
      </c>
      <c r="D134" s="1">
        <v>1.669095387648885</v>
      </c>
      <c r="E134" s="1">
        <v>2.366858493952182</v>
      </c>
      <c r="F134" s="1">
        <v>-0.93414647445689636</v>
      </c>
      <c r="G134" s="1">
        <v>-1.90467452957335</v>
      </c>
      <c r="H134" s="1">
        <v>-2.1955847564244468</v>
      </c>
      <c r="I134" s="1"/>
      <c r="J134" s="1"/>
      <c r="K134" s="1">
        <v>0.1304210889068497</v>
      </c>
    </row>
    <row r="135" spans="1:11" x14ac:dyDescent="0.25">
      <c r="A135" s="1" t="s">
        <v>280</v>
      </c>
      <c r="B135" s="1">
        <v>20.839338832007851</v>
      </c>
      <c r="C135" s="1">
        <v>-19.493298784413621</v>
      </c>
      <c r="D135" s="1">
        <v>-0.76636246313775924</v>
      </c>
      <c r="E135" s="1">
        <v>0.86543040573294994</v>
      </c>
      <c r="F135" s="1">
        <v>-1.4860851328497831</v>
      </c>
      <c r="G135" s="1">
        <v>1.594230011300682</v>
      </c>
      <c r="H135" s="1"/>
      <c r="I135" s="1"/>
      <c r="J135" s="1"/>
      <c r="K135" s="1">
        <v>0.12400159292324039</v>
      </c>
    </row>
    <row r="136" spans="1:11" x14ac:dyDescent="0.25">
      <c r="A136" s="1" t="s">
        <v>166</v>
      </c>
      <c r="B136" s="1">
        <v>-1.3718464661703731</v>
      </c>
      <c r="C136" s="1">
        <v>1.154909129616156</v>
      </c>
      <c r="D136" s="1">
        <v>0.65654487742231216</v>
      </c>
      <c r="E136" s="1">
        <v>2.0883794437564629</v>
      </c>
      <c r="F136" s="1">
        <v>-2.134654388387986</v>
      </c>
      <c r="G136" s="1"/>
      <c r="H136" s="1"/>
      <c r="I136" s="1"/>
      <c r="J136" s="1"/>
      <c r="K136" s="1">
        <v>0.1236564146965753</v>
      </c>
    </row>
    <row r="137" spans="1:11" x14ac:dyDescent="0.25">
      <c r="A137" s="1" t="s">
        <v>454</v>
      </c>
      <c r="B137" s="1">
        <v>-0.26709523250466949</v>
      </c>
      <c r="C137" s="1">
        <v>-1.6098584385178489</v>
      </c>
      <c r="D137" s="1">
        <v>-3.3883377316870611</v>
      </c>
      <c r="E137" s="1">
        <v>2.44889915789989</v>
      </c>
      <c r="F137" s="1">
        <v>1.2635676070222479</v>
      </c>
      <c r="G137" s="1">
        <v>4.5083678965988074</v>
      </c>
      <c r="H137" s="1">
        <v>-4.6237463375664074</v>
      </c>
      <c r="I137" s="1">
        <v>-2.4666828095300288</v>
      </c>
      <c r="J137" s="1"/>
      <c r="K137" s="1">
        <v>0.1200003797312796</v>
      </c>
    </row>
    <row r="138" spans="1:11" x14ac:dyDescent="0.25">
      <c r="A138" s="1" t="s">
        <v>179</v>
      </c>
      <c r="B138" s="1">
        <v>-1.647159436597311</v>
      </c>
      <c r="C138" s="1">
        <v>1.0699701661494689</v>
      </c>
      <c r="D138" s="1">
        <v>-4.1115075869756863</v>
      </c>
      <c r="E138" s="1">
        <v>3.64343463355564</v>
      </c>
      <c r="F138" s="1">
        <v>2.131185271553715</v>
      </c>
      <c r="G138" s="1"/>
      <c r="H138" s="1"/>
      <c r="I138" s="1"/>
      <c r="J138" s="1"/>
      <c r="K138" s="1">
        <v>0.1192093376137723</v>
      </c>
    </row>
    <row r="139" spans="1:11" x14ac:dyDescent="0.25">
      <c r="A139" s="1" t="s">
        <v>261</v>
      </c>
      <c r="B139" s="1">
        <v>-1.9457279367442899</v>
      </c>
      <c r="C139" s="1">
        <v>1.0804123012190749</v>
      </c>
      <c r="D139" s="1">
        <v>3.575261251577063</v>
      </c>
      <c r="E139" s="1">
        <v>-2.499590213630186</v>
      </c>
      <c r="F139" s="1">
        <v>0.89072927117190537</v>
      </c>
      <c r="G139" s="1">
        <v>-1.7129890925390709</v>
      </c>
      <c r="H139" s="1"/>
      <c r="I139" s="1"/>
      <c r="J139" s="1"/>
      <c r="K139" s="1">
        <v>0.1184825353029758</v>
      </c>
    </row>
    <row r="140" spans="1:11" x14ac:dyDescent="0.25">
      <c r="A140" s="1" t="s">
        <v>295</v>
      </c>
      <c r="B140" s="1">
        <v>-0.73037351008144613</v>
      </c>
      <c r="C140" s="1">
        <v>-0.97483699674040514</v>
      </c>
      <c r="D140" s="1">
        <v>1.9323212516740551</v>
      </c>
      <c r="E140" s="1">
        <v>-1.9420952355224601</v>
      </c>
      <c r="F140" s="1">
        <v>0.76734677898000647</v>
      </c>
      <c r="G140" s="1">
        <v>-2.0100822810442902</v>
      </c>
      <c r="H140" s="1"/>
      <c r="I140" s="1"/>
      <c r="J140" s="1"/>
      <c r="K140" s="1">
        <v>0.1158538748540241</v>
      </c>
    </row>
    <row r="141" spans="1:11" x14ac:dyDescent="0.25">
      <c r="A141" s="1" t="s">
        <v>356</v>
      </c>
      <c r="B141" s="1">
        <v>-2.1579334328948119</v>
      </c>
      <c r="C141" s="1">
        <v>2.036903623607992</v>
      </c>
      <c r="D141" s="1">
        <v>-1.0394991208626549</v>
      </c>
      <c r="E141" s="1">
        <v>3.1227211697394068</v>
      </c>
      <c r="F141" s="1">
        <v>-2.587809893826396</v>
      </c>
      <c r="G141" s="1">
        <v>0.74463539930373235</v>
      </c>
      <c r="H141" s="1">
        <v>-1.3343012070466791</v>
      </c>
      <c r="I141" s="1"/>
      <c r="J141" s="1"/>
      <c r="K141" s="1">
        <v>0.1089686379392189</v>
      </c>
    </row>
    <row r="142" spans="1:11" x14ac:dyDescent="0.25">
      <c r="A142" s="1" t="s">
        <v>151</v>
      </c>
      <c r="B142" s="1">
        <v>0.42723531896055938</v>
      </c>
      <c r="C142" s="1">
        <v>4.431713672176965</v>
      </c>
      <c r="D142" s="1">
        <v>-4.6156937103161484</v>
      </c>
      <c r="E142" s="1">
        <v>-1.431110210410508</v>
      </c>
      <c r="F142" s="1">
        <v>2.7675681642708989</v>
      </c>
      <c r="G142" s="1"/>
      <c r="H142" s="1"/>
      <c r="I142" s="1"/>
      <c r="J142" s="1"/>
      <c r="K142" s="1">
        <v>0.1079884377822322</v>
      </c>
    </row>
    <row r="143" spans="1:11" x14ac:dyDescent="0.25">
      <c r="A143" s="1" t="s">
        <v>300</v>
      </c>
      <c r="B143" s="1">
        <v>-0.77068670635682235</v>
      </c>
      <c r="C143" s="1">
        <v>-1.0242315849636621</v>
      </c>
      <c r="D143" s="1">
        <v>2.0397008922208908</v>
      </c>
      <c r="E143" s="1">
        <v>-2.083843840130585</v>
      </c>
      <c r="F143" s="1">
        <v>0.81278543007098603</v>
      </c>
      <c r="G143" s="1">
        <v>-2.1330864018397988</v>
      </c>
      <c r="H143" s="1"/>
      <c r="I143" s="1"/>
      <c r="J143" s="1"/>
      <c r="K143" s="1">
        <v>0.1073546372966605</v>
      </c>
    </row>
    <row r="144" spans="1:11" x14ac:dyDescent="0.25">
      <c r="A144" s="1" t="s">
        <v>416</v>
      </c>
      <c r="B144" s="1">
        <v>-0.44589150912194192</v>
      </c>
      <c r="C144" s="1">
        <v>1.8751926248888799</v>
      </c>
      <c r="D144" s="1">
        <v>42.368298686860811</v>
      </c>
      <c r="E144" s="1">
        <v>-39.646739335366192</v>
      </c>
      <c r="F144" s="1">
        <v>-5.0649843985815242</v>
      </c>
      <c r="G144" s="1">
        <v>-0.83471589318956951</v>
      </c>
      <c r="H144" s="1">
        <v>-3.7042846560784359</v>
      </c>
      <c r="I144" s="1"/>
      <c r="J144" s="1"/>
      <c r="K144" s="1">
        <v>0.1042017488281224</v>
      </c>
    </row>
    <row r="145" spans="1:11" x14ac:dyDescent="0.25">
      <c r="A145" s="1" t="s">
        <v>288</v>
      </c>
      <c r="B145" s="1">
        <v>-0.63903903323138711</v>
      </c>
      <c r="C145" s="1">
        <v>0.78427791305035599</v>
      </c>
      <c r="D145" s="1">
        <v>2.5812464862393809</v>
      </c>
      <c r="E145" s="1">
        <v>-2.8468984518997931</v>
      </c>
      <c r="F145" s="1">
        <v>1.519387790181109</v>
      </c>
      <c r="G145" s="1">
        <v>1.1294706782686541</v>
      </c>
      <c r="H145" s="1"/>
      <c r="I145" s="1"/>
      <c r="J145" s="1"/>
      <c r="K145" s="1">
        <v>0.1010331424755098</v>
      </c>
    </row>
    <row r="146" spans="1:11" x14ac:dyDescent="0.25">
      <c r="A146" s="2" t="s">
        <v>236</v>
      </c>
      <c r="B146" s="2">
        <v>-2.157348934664773</v>
      </c>
      <c r="C146" s="2">
        <v>1.2523222216592651</v>
      </c>
      <c r="D146" s="2">
        <v>3.6279776996200881</v>
      </c>
      <c r="E146" s="2">
        <v>-1.5794026907586161</v>
      </c>
      <c r="F146" s="2">
        <v>-2.61397835874256</v>
      </c>
      <c r="G146" s="2">
        <v>-5.4682309669090436</v>
      </c>
      <c r="H146" s="2"/>
      <c r="I146" s="2"/>
      <c r="J146" s="2"/>
      <c r="K146" s="2">
        <v>0.1000450754234999</v>
      </c>
    </row>
  </sheetData>
  <sortState ref="A1:K493">
    <sortCondition descending="1" ref="K1:K493"/>
  </sortState>
  <conditionalFormatting sqref="B1:I1048576">
    <cfRule type="cellIs" dxfId="0" priority="1" operator="greaterThan">
      <formula>7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93"/>
  <sheetViews>
    <sheetView tabSelected="1" workbookViewId="0">
      <selection activeCell="A454" sqref="A454:K493"/>
    </sheetView>
  </sheetViews>
  <sheetFormatPr defaultRowHeight="15" x14ac:dyDescent="0.25"/>
  <sheetData>
    <row r="1" spans="1:11" x14ac:dyDescent="0.25">
      <c r="A1" t="s">
        <v>0</v>
      </c>
      <c r="B1">
        <v>-0.1579114299914223</v>
      </c>
      <c r="K1">
        <v>3.2315725066500002E-10</v>
      </c>
    </row>
    <row r="2" spans="1:11" x14ac:dyDescent="0.25">
      <c r="A2" t="s">
        <v>1</v>
      </c>
      <c r="B2">
        <v>0.56948085328043119</v>
      </c>
      <c r="K2">
        <v>4.1632964019300001E-9</v>
      </c>
    </row>
    <row r="3" spans="1:11" x14ac:dyDescent="0.25">
      <c r="A3" t="s">
        <v>2</v>
      </c>
      <c r="B3">
        <v>0.26098167125620197</v>
      </c>
      <c r="K3">
        <v>4.7560617908700001E-12</v>
      </c>
    </row>
    <row r="4" spans="1:11" x14ac:dyDescent="0.25">
      <c r="A4" t="s">
        <v>3</v>
      </c>
      <c r="B4">
        <v>0.47260786719020559</v>
      </c>
      <c r="K4">
        <v>2.30095484685E-11</v>
      </c>
    </row>
    <row r="5" spans="1:11" x14ac:dyDescent="0.25">
      <c r="A5" t="s">
        <v>4</v>
      </c>
      <c r="B5">
        <v>0.18543038422641739</v>
      </c>
      <c r="K5">
        <v>2.7440947721E-9</v>
      </c>
    </row>
    <row r="6" spans="1:11" x14ac:dyDescent="0.25">
      <c r="A6" t="s">
        <v>5</v>
      </c>
      <c r="B6">
        <v>0.25410668139305198</v>
      </c>
      <c r="K6">
        <v>1.4909546972300001E-8</v>
      </c>
    </row>
    <row r="7" spans="1:11" x14ac:dyDescent="0.25">
      <c r="A7" t="s">
        <v>6</v>
      </c>
      <c r="B7">
        <v>-0.35316154531897381</v>
      </c>
      <c r="K7">
        <v>6.7508677647300001E-9</v>
      </c>
    </row>
    <row r="8" spans="1:11" x14ac:dyDescent="0.25">
      <c r="A8" t="s">
        <v>7</v>
      </c>
      <c r="B8">
        <v>-0.30777968738926709</v>
      </c>
      <c r="K8">
        <v>5.2019365710100001E-9</v>
      </c>
    </row>
    <row r="9" spans="1:11" x14ac:dyDescent="0.25">
      <c r="A9" t="s">
        <v>8</v>
      </c>
      <c r="B9">
        <v>0.18830149559795689</v>
      </c>
      <c r="C9">
        <v>-0.172679596426598</v>
      </c>
      <c r="K9">
        <v>1.5539266526E-12</v>
      </c>
    </row>
    <row r="10" spans="1:11" x14ac:dyDescent="0.25">
      <c r="A10" t="s">
        <v>9</v>
      </c>
      <c r="B10">
        <v>-0.50229281171974782</v>
      </c>
      <c r="C10">
        <v>1.058728651888333</v>
      </c>
      <c r="K10">
        <v>1.55214673244E-6</v>
      </c>
    </row>
    <row r="11" spans="1:11" x14ac:dyDescent="0.25">
      <c r="A11" t="s">
        <v>10</v>
      </c>
      <c r="B11">
        <v>0.20890799733494919</v>
      </c>
      <c r="C11">
        <v>0.56683975823818011</v>
      </c>
      <c r="K11">
        <v>7.7269660766900001E-9</v>
      </c>
    </row>
    <row r="12" spans="1:11" x14ac:dyDescent="0.25">
      <c r="A12" t="s">
        <v>11</v>
      </c>
      <c r="B12">
        <v>0.14956289648417531</v>
      </c>
      <c r="C12">
        <v>0.26495812512084987</v>
      </c>
      <c r="K12">
        <v>7.1256136787099996E-13</v>
      </c>
    </row>
    <row r="13" spans="1:11" x14ac:dyDescent="0.25">
      <c r="A13" t="s">
        <v>12</v>
      </c>
      <c r="B13">
        <v>0.32262405716968062</v>
      </c>
      <c r="C13">
        <v>0.5856218523781398</v>
      </c>
      <c r="K13">
        <v>1.39938640433E-7</v>
      </c>
    </row>
    <row r="14" spans="1:11" x14ac:dyDescent="0.25">
      <c r="A14" t="s">
        <v>13</v>
      </c>
      <c r="B14">
        <v>0.25869189988753949</v>
      </c>
      <c r="C14">
        <v>0.33019674052999443</v>
      </c>
      <c r="K14">
        <v>3.8673295832399999E-13</v>
      </c>
    </row>
    <row r="15" spans="1:11" x14ac:dyDescent="0.25">
      <c r="A15" t="s">
        <v>14</v>
      </c>
      <c r="B15">
        <v>0.22498924613269969</v>
      </c>
      <c r="C15">
        <v>0.49550880874734071</v>
      </c>
      <c r="K15">
        <v>5.97394390952E-12</v>
      </c>
    </row>
    <row r="16" spans="1:11" x14ac:dyDescent="0.25">
      <c r="A16" t="s">
        <v>15</v>
      </c>
      <c r="B16">
        <v>-0.62726196254502464</v>
      </c>
      <c r="C16">
        <v>-0.68187062435044976</v>
      </c>
      <c r="K16">
        <v>5.3757410326600001E-11</v>
      </c>
    </row>
    <row r="17" spans="1:11" x14ac:dyDescent="0.25">
      <c r="A17" t="s">
        <v>16</v>
      </c>
      <c r="B17">
        <v>-0.15937447980956521</v>
      </c>
      <c r="C17">
        <v>0.47272867623189679</v>
      </c>
      <c r="K17">
        <v>1.8122773601100001E-11</v>
      </c>
    </row>
    <row r="18" spans="1:11" x14ac:dyDescent="0.25">
      <c r="A18" t="s">
        <v>17</v>
      </c>
      <c r="B18">
        <v>-1.3773771969958291</v>
      </c>
      <c r="C18">
        <v>1.472898300403048</v>
      </c>
      <c r="K18">
        <v>8.02632504333E-7</v>
      </c>
    </row>
    <row r="19" spans="1:11" x14ac:dyDescent="0.25">
      <c r="A19" t="s">
        <v>18</v>
      </c>
      <c r="B19">
        <v>-0.55379417777559536</v>
      </c>
      <c r="C19">
        <v>0.54979892857692569</v>
      </c>
      <c r="K19">
        <v>2.6148110874899999E-8</v>
      </c>
    </row>
    <row r="20" spans="1:11" x14ac:dyDescent="0.25">
      <c r="A20" t="s">
        <v>19</v>
      </c>
      <c r="B20">
        <v>-0.56744945951439563</v>
      </c>
      <c r="C20">
        <v>-0.64780664343296879</v>
      </c>
      <c r="K20">
        <v>4.4677677993400002E-11</v>
      </c>
    </row>
    <row r="21" spans="1:11" x14ac:dyDescent="0.25">
      <c r="A21" t="s">
        <v>20</v>
      </c>
      <c r="B21">
        <v>-0.1320355811176685</v>
      </c>
      <c r="C21">
        <v>0.47319525624595399</v>
      </c>
      <c r="K21">
        <v>1.3923785671999999E-11</v>
      </c>
    </row>
    <row r="22" spans="1:11" x14ac:dyDescent="0.25">
      <c r="A22" t="s">
        <v>21</v>
      </c>
      <c r="B22">
        <v>-1.3555035442949019</v>
      </c>
      <c r="C22">
        <v>1.4598176850389091</v>
      </c>
      <c r="K22">
        <v>3.62932311455E-7</v>
      </c>
    </row>
    <row r="23" spans="1:11" x14ac:dyDescent="0.25">
      <c r="A23" t="s">
        <v>22</v>
      </c>
      <c r="B23">
        <v>-0.49910724776586263</v>
      </c>
      <c r="C23">
        <v>0.5252005620788468</v>
      </c>
      <c r="K23">
        <v>2.0563409286399999E-8</v>
      </c>
    </row>
    <row r="24" spans="1:11" x14ac:dyDescent="0.25">
      <c r="A24" t="s">
        <v>23</v>
      </c>
      <c r="B24">
        <v>15.899615210986269</v>
      </c>
      <c r="C24">
        <v>-16.036176861814251</v>
      </c>
      <c r="K24">
        <v>7.1482057408400005E-5</v>
      </c>
    </row>
    <row r="25" spans="1:11" x14ac:dyDescent="0.25">
      <c r="A25" t="s">
        <v>24</v>
      </c>
      <c r="B25">
        <v>0.32426990135726103</v>
      </c>
      <c r="C25">
        <v>-0.52765836545615974</v>
      </c>
      <c r="K25">
        <v>2.5240254005399999E-11</v>
      </c>
    </row>
    <row r="26" spans="1:11" x14ac:dyDescent="0.25">
      <c r="A26" t="s">
        <v>25</v>
      </c>
      <c r="B26">
        <v>-0.35473858520059598</v>
      </c>
      <c r="C26">
        <v>-0.17411584021199331</v>
      </c>
      <c r="K26">
        <v>5.3959810647699996E-10</v>
      </c>
    </row>
    <row r="27" spans="1:11" x14ac:dyDescent="0.25">
      <c r="A27" t="s">
        <v>26</v>
      </c>
      <c r="B27">
        <v>-0.34878448498392212</v>
      </c>
      <c r="C27">
        <v>0.57673809137693333</v>
      </c>
      <c r="K27">
        <v>1.68252113562E-8</v>
      </c>
    </row>
    <row r="28" spans="1:11" x14ac:dyDescent="0.25">
      <c r="A28" t="s">
        <v>27</v>
      </c>
      <c r="B28">
        <v>-0.39838812226355558</v>
      </c>
      <c r="C28">
        <v>0.3166955709616171</v>
      </c>
      <c r="K28">
        <v>5.3453571908900004E-12</v>
      </c>
    </row>
    <row r="29" spans="1:11" x14ac:dyDescent="0.25">
      <c r="A29" t="s">
        <v>28</v>
      </c>
      <c r="B29">
        <v>-0.39857445166480898</v>
      </c>
      <c r="C29">
        <v>0.50727529053053999</v>
      </c>
      <c r="K29">
        <v>8.2825541434099995E-11</v>
      </c>
    </row>
    <row r="30" spans="1:11" x14ac:dyDescent="0.25">
      <c r="A30" t="s">
        <v>29</v>
      </c>
      <c r="B30">
        <v>-0.27491280751767261</v>
      </c>
      <c r="C30">
        <v>0.20060106685127199</v>
      </c>
      <c r="K30">
        <v>8.4530790685299997E-9</v>
      </c>
    </row>
    <row r="31" spans="1:11" x14ac:dyDescent="0.25">
      <c r="A31" t="s">
        <v>30</v>
      </c>
      <c r="B31">
        <v>-0.2481817219990497</v>
      </c>
      <c r="C31">
        <v>0.55703426530228717</v>
      </c>
      <c r="K31">
        <v>3.5960234397E-9</v>
      </c>
    </row>
    <row r="32" spans="1:11" x14ac:dyDescent="0.25">
      <c r="A32" t="s">
        <v>31</v>
      </c>
      <c r="B32">
        <v>-0.31116154266089152</v>
      </c>
      <c r="C32">
        <v>0.2311424431462536</v>
      </c>
      <c r="K32">
        <v>1.01320875276E-11</v>
      </c>
    </row>
    <row r="33" spans="1:11" x14ac:dyDescent="0.25">
      <c r="A33" t="s">
        <v>32</v>
      </c>
      <c r="B33">
        <v>-0.25083131406657272</v>
      </c>
      <c r="C33">
        <v>0.21278544722542761</v>
      </c>
      <c r="K33">
        <v>8.9847002438500001E-9</v>
      </c>
    </row>
    <row r="34" spans="1:11" x14ac:dyDescent="0.25">
      <c r="A34" t="s">
        <v>33</v>
      </c>
      <c r="B34">
        <v>0.66502088565133599</v>
      </c>
      <c r="C34">
        <v>0.77834666013232345</v>
      </c>
      <c r="D34">
        <v>0.62796676419552677</v>
      </c>
      <c r="K34">
        <v>4.5374673082899998E-7</v>
      </c>
    </row>
    <row r="35" spans="1:11" x14ac:dyDescent="0.25">
      <c r="A35" t="s">
        <v>34</v>
      </c>
      <c r="B35">
        <v>3.2118668431719848</v>
      </c>
      <c r="C35">
        <v>-4.9138358716982022</v>
      </c>
      <c r="D35">
        <v>-2.444780217852164</v>
      </c>
      <c r="K35">
        <v>9.6196378549770001E-4</v>
      </c>
    </row>
    <row r="36" spans="1:11" x14ac:dyDescent="0.25">
      <c r="A36" t="s">
        <v>35</v>
      </c>
      <c r="B36">
        <v>0.76425609619419832</v>
      </c>
      <c r="C36">
        <v>-0.60172186352220158</v>
      </c>
      <c r="D36">
        <v>0.45347776490112962</v>
      </c>
      <c r="K36">
        <v>1.17823676847E-13</v>
      </c>
    </row>
    <row r="37" spans="1:11" x14ac:dyDescent="0.25">
      <c r="A37" t="s">
        <v>36</v>
      </c>
      <c r="B37">
        <v>-0.22107666235224291</v>
      </c>
      <c r="C37">
        <v>0.51681959438245861</v>
      </c>
      <c r="D37">
        <v>-0.2357652606298318</v>
      </c>
      <c r="K37">
        <v>1.9114621436999999E-10</v>
      </c>
    </row>
    <row r="38" spans="1:11" x14ac:dyDescent="0.25">
      <c r="A38" t="s">
        <v>37</v>
      </c>
      <c r="B38">
        <v>-0.35185616692764787</v>
      </c>
      <c r="C38">
        <v>0.34886641601781748</v>
      </c>
      <c r="D38">
        <v>-0.28728385231406589</v>
      </c>
      <c r="K38">
        <v>5.0391472367999996E-12</v>
      </c>
    </row>
    <row r="39" spans="1:11" x14ac:dyDescent="0.25">
      <c r="A39" t="s">
        <v>38</v>
      </c>
      <c r="B39">
        <v>-2.00068120567702</v>
      </c>
      <c r="C39">
        <v>2.1084085242296862</v>
      </c>
      <c r="D39">
        <v>0.35211852192614468</v>
      </c>
      <c r="K39">
        <v>1.3361272681199999E-7</v>
      </c>
    </row>
    <row r="40" spans="1:11" x14ac:dyDescent="0.25">
      <c r="A40" t="s">
        <v>39</v>
      </c>
      <c r="B40">
        <v>-1.845762125517407</v>
      </c>
      <c r="C40">
        <v>1.83577555306111</v>
      </c>
      <c r="D40">
        <v>0.44013500925364069</v>
      </c>
      <c r="K40">
        <v>6.89469626205E-6</v>
      </c>
    </row>
    <row r="41" spans="1:11" x14ac:dyDescent="0.25">
      <c r="A41" t="s">
        <v>40</v>
      </c>
      <c r="B41">
        <v>-1.995280880386572</v>
      </c>
      <c r="C41">
        <v>1.0864629715415539</v>
      </c>
      <c r="D41">
        <v>-1.2356311760175021</v>
      </c>
      <c r="K41">
        <v>1.7239540639920001E-4</v>
      </c>
    </row>
    <row r="42" spans="1:11" x14ac:dyDescent="0.25">
      <c r="A42" t="s">
        <v>41</v>
      </c>
      <c r="B42">
        <v>-1.3503699133522971</v>
      </c>
      <c r="C42">
        <v>1.2648655159666731</v>
      </c>
      <c r="D42">
        <v>0.55861086996887732</v>
      </c>
      <c r="K42">
        <v>2.0697310235099999E-9</v>
      </c>
    </row>
    <row r="43" spans="1:11" x14ac:dyDescent="0.25">
      <c r="A43" t="s">
        <v>42</v>
      </c>
      <c r="B43">
        <v>-1.2394843905257551</v>
      </c>
      <c r="C43">
        <v>1.07899266845335</v>
      </c>
      <c r="D43">
        <v>0.56210990500315638</v>
      </c>
      <c r="K43">
        <v>3.9408343973799998E-7</v>
      </c>
    </row>
    <row r="44" spans="1:11" x14ac:dyDescent="0.25">
      <c r="A44" t="s">
        <v>43</v>
      </c>
      <c r="B44">
        <v>-2.090648488286917</v>
      </c>
      <c r="C44">
        <v>2.2051507295734418</v>
      </c>
      <c r="D44">
        <v>0.35888172784223049</v>
      </c>
      <c r="K44">
        <v>7.6580123895899996E-8</v>
      </c>
    </row>
    <row r="45" spans="1:11" x14ac:dyDescent="0.25">
      <c r="A45" t="s">
        <v>44</v>
      </c>
      <c r="B45">
        <v>-1.9209840490065331</v>
      </c>
      <c r="C45">
        <v>1.9183216671471779</v>
      </c>
      <c r="D45">
        <v>0.44900310453694148</v>
      </c>
      <c r="K45">
        <v>4.5037076570899997E-6</v>
      </c>
    </row>
    <row r="46" spans="1:11" x14ac:dyDescent="0.25">
      <c r="A46" t="s">
        <v>45</v>
      </c>
      <c r="B46">
        <v>-2.0525408043807238</v>
      </c>
      <c r="C46">
        <v>1.1227356078691291</v>
      </c>
      <c r="D46">
        <v>-1.2831709596901111</v>
      </c>
      <c r="K46">
        <v>1.3030764410619999E-4</v>
      </c>
    </row>
    <row r="47" spans="1:11" x14ac:dyDescent="0.25">
      <c r="A47" t="s">
        <v>46</v>
      </c>
      <c r="B47">
        <v>-1.346906524642721</v>
      </c>
      <c r="C47">
        <v>1.273528429527127</v>
      </c>
      <c r="D47">
        <v>0.56266697434894353</v>
      </c>
      <c r="K47">
        <v>5.5472157373300002E-10</v>
      </c>
    </row>
    <row r="48" spans="1:11" x14ac:dyDescent="0.25">
      <c r="A48" t="s">
        <v>47</v>
      </c>
      <c r="B48">
        <v>-1.241154442739248</v>
      </c>
      <c r="C48">
        <v>1.0906656736813229</v>
      </c>
      <c r="D48">
        <v>0.56895066974542807</v>
      </c>
      <c r="K48">
        <v>1.3842128543500001E-7</v>
      </c>
    </row>
    <row r="49" spans="1:11" x14ac:dyDescent="0.25">
      <c r="A49" t="s">
        <v>48</v>
      </c>
      <c r="B49">
        <v>14.0762255640925</v>
      </c>
      <c r="C49">
        <v>-14.537632045716821</v>
      </c>
      <c r="D49">
        <v>-0.38836843299817692</v>
      </c>
      <c r="K49">
        <v>6.6828115352899997E-7</v>
      </c>
    </row>
    <row r="50" spans="1:11" x14ac:dyDescent="0.25">
      <c r="A50" t="s">
        <v>49</v>
      </c>
      <c r="B50">
        <v>16.68076567198667</v>
      </c>
      <c r="C50">
        <v>-16.77193441158753</v>
      </c>
      <c r="D50">
        <v>0.49779267266029548</v>
      </c>
      <c r="K50">
        <v>8.2096648463226007E-3</v>
      </c>
    </row>
    <row r="51" spans="1:11" x14ac:dyDescent="0.25">
      <c r="A51" t="s">
        <v>50</v>
      </c>
      <c r="B51">
        <v>16.549454687013139</v>
      </c>
      <c r="C51">
        <v>-16.705790632250171</v>
      </c>
      <c r="D51">
        <v>0.32884868355151059</v>
      </c>
      <c r="K51">
        <v>1.4014562086399999E-6</v>
      </c>
    </row>
    <row r="52" spans="1:11" x14ac:dyDescent="0.25">
      <c r="A52" t="s">
        <v>51</v>
      </c>
      <c r="B52">
        <v>14.99157575515483</v>
      </c>
      <c r="C52">
        <v>-15.20520087425132</v>
      </c>
      <c r="D52">
        <v>0.42885758923498019</v>
      </c>
      <c r="K52">
        <v>1.20299918573E-5</v>
      </c>
    </row>
    <row r="53" spans="1:11" x14ac:dyDescent="0.25">
      <c r="A53" t="s">
        <v>52</v>
      </c>
      <c r="B53">
        <v>14.0041101318608</v>
      </c>
      <c r="C53">
        <v>-14.68756130748203</v>
      </c>
      <c r="D53">
        <v>0.60252033265868765</v>
      </c>
      <c r="K53">
        <v>5.9960310940700002E-5</v>
      </c>
    </row>
    <row r="54" spans="1:11" x14ac:dyDescent="0.25">
      <c r="A54" t="s">
        <v>53</v>
      </c>
      <c r="B54">
        <v>0.28739793727344881</v>
      </c>
      <c r="C54">
        <v>0.12570914800063671</v>
      </c>
      <c r="D54">
        <v>-0.49255974735551911</v>
      </c>
      <c r="K54">
        <v>2.8759620932899998E-13</v>
      </c>
    </row>
    <row r="55" spans="1:11" x14ac:dyDescent="0.25">
      <c r="A55" t="s">
        <v>54</v>
      </c>
      <c r="B55">
        <v>0.15562599066410679</v>
      </c>
      <c r="C55">
        <v>0.17563293995621179</v>
      </c>
      <c r="D55">
        <v>0.49240289656057651</v>
      </c>
      <c r="K55">
        <v>1.2896644771299999E-12</v>
      </c>
    </row>
    <row r="56" spans="1:11" x14ac:dyDescent="0.25">
      <c r="A56" t="s">
        <v>55</v>
      </c>
      <c r="B56">
        <v>0.11233829005467411</v>
      </c>
      <c r="C56">
        <v>0.24765429329045241</v>
      </c>
      <c r="D56">
        <v>0.51492665444115282</v>
      </c>
      <c r="K56">
        <v>1.49831196466E-12</v>
      </c>
    </row>
    <row r="57" spans="1:11" x14ac:dyDescent="0.25">
      <c r="A57" t="s">
        <v>56</v>
      </c>
      <c r="B57">
        <v>-0.21649602902526521</v>
      </c>
      <c r="C57">
        <v>-1.784031449190026</v>
      </c>
      <c r="D57">
        <v>1.7523293732410301</v>
      </c>
      <c r="K57">
        <v>3.05262882051E-6</v>
      </c>
    </row>
    <row r="58" spans="1:11" x14ac:dyDescent="0.25">
      <c r="A58" t="s">
        <v>57</v>
      </c>
      <c r="B58">
        <v>-0.57034355144226367</v>
      </c>
      <c r="C58">
        <v>-1.472578126673828</v>
      </c>
      <c r="D58">
        <v>1.247647045912897</v>
      </c>
      <c r="K58">
        <v>6.3391183479599998E-6</v>
      </c>
    </row>
    <row r="59" spans="1:11" x14ac:dyDescent="0.25">
      <c r="A59" t="s">
        <v>58</v>
      </c>
      <c r="B59">
        <v>-0.22925536001272129</v>
      </c>
      <c r="C59">
        <v>-1.8263233286984519</v>
      </c>
      <c r="D59">
        <v>1.7972407446612051</v>
      </c>
      <c r="K59">
        <v>1.4949120654799999E-6</v>
      </c>
    </row>
    <row r="60" spans="1:11" x14ac:dyDescent="0.25">
      <c r="A60" t="s">
        <v>59</v>
      </c>
      <c r="B60">
        <v>-0.60091106656681936</v>
      </c>
      <c r="C60">
        <v>-1.517158005874629</v>
      </c>
      <c r="D60">
        <v>1.2930625019238391</v>
      </c>
      <c r="K60">
        <v>4.0670300051499999E-6</v>
      </c>
    </row>
    <row r="61" spans="1:11" x14ac:dyDescent="0.25">
      <c r="A61" t="s">
        <v>60</v>
      </c>
      <c r="B61">
        <v>-0.38480383670016061</v>
      </c>
      <c r="C61">
        <v>0.24747554035217309</v>
      </c>
      <c r="D61">
        <v>-0.1620331342877907</v>
      </c>
      <c r="K61">
        <v>1.3609294204199999E-12</v>
      </c>
    </row>
    <row r="62" spans="1:11" x14ac:dyDescent="0.25">
      <c r="A62" t="s">
        <v>61</v>
      </c>
      <c r="B62">
        <v>-0.29399709006518632</v>
      </c>
      <c r="C62">
        <v>0.1661029248627752</v>
      </c>
      <c r="D62">
        <v>0.57370467542064651</v>
      </c>
      <c r="K62">
        <v>1.3161727732500001E-8</v>
      </c>
    </row>
    <row r="63" spans="1:11" x14ac:dyDescent="0.25">
      <c r="A63" t="s">
        <v>62</v>
      </c>
      <c r="B63">
        <v>-0.33013883734550892</v>
      </c>
      <c r="C63">
        <v>0.20344130294617169</v>
      </c>
      <c r="D63">
        <v>0.35813838942067783</v>
      </c>
      <c r="K63">
        <v>3.6992076300600001E-13</v>
      </c>
    </row>
    <row r="64" spans="1:11" x14ac:dyDescent="0.25">
      <c r="A64" t="s">
        <v>63</v>
      </c>
      <c r="B64">
        <v>-0.34035280323091788</v>
      </c>
      <c r="C64">
        <v>0.15680578547649129</v>
      </c>
      <c r="D64">
        <v>0.51542365541590485</v>
      </c>
      <c r="K64">
        <v>1.12455346202E-11</v>
      </c>
    </row>
    <row r="65" spans="1:11" x14ac:dyDescent="0.25">
      <c r="A65" t="s">
        <v>64</v>
      </c>
      <c r="B65">
        <v>-0.40670830887819748</v>
      </c>
      <c r="C65">
        <v>-0.12565466629258279</v>
      </c>
      <c r="D65">
        <v>0.31013508933913081</v>
      </c>
      <c r="K65">
        <v>3.8503627399600001E-12</v>
      </c>
    </row>
    <row r="66" spans="1:11" x14ac:dyDescent="0.25">
      <c r="A66" t="s">
        <v>65</v>
      </c>
      <c r="B66">
        <v>-0.17360041080668781</v>
      </c>
      <c r="C66">
        <v>-1.309784875885325</v>
      </c>
      <c r="D66">
        <v>1.4022561798116611</v>
      </c>
      <c r="K66">
        <v>1.9158902576199999E-7</v>
      </c>
    </row>
    <row r="67" spans="1:11" x14ac:dyDescent="0.25">
      <c r="A67" t="s">
        <v>66</v>
      </c>
      <c r="B67">
        <v>-0.41772085976518142</v>
      </c>
      <c r="C67">
        <v>-0.1600362781693353</v>
      </c>
      <c r="D67">
        <v>0.50882860094559823</v>
      </c>
      <c r="K67">
        <v>7.9357149007600006E-11</v>
      </c>
    </row>
    <row r="68" spans="1:11" x14ac:dyDescent="0.25">
      <c r="A68" t="s">
        <v>67</v>
      </c>
      <c r="B68">
        <v>-0.1787984094819314</v>
      </c>
      <c r="C68">
        <v>-1.272940160583137</v>
      </c>
      <c r="D68">
        <v>1.373716332833439</v>
      </c>
      <c r="K68">
        <v>8.1849264121900004E-8</v>
      </c>
    </row>
    <row r="69" spans="1:11" x14ac:dyDescent="0.25">
      <c r="A69" t="s">
        <v>68</v>
      </c>
      <c r="B69">
        <v>-0.28584114537750371</v>
      </c>
      <c r="C69">
        <v>15.03004186651042</v>
      </c>
      <c r="D69">
        <v>-15.139288023541599</v>
      </c>
      <c r="K69">
        <v>9.5128007493800002E-5</v>
      </c>
    </row>
    <row r="70" spans="1:11" x14ac:dyDescent="0.25">
      <c r="A70" t="s">
        <v>69</v>
      </c>
      <c r="B70">
        <v>-0.29624342046437963</v>
      </c>
      <c r="C70">
        <v>0.28755726456175712</v>
      </c>
      <c r="D70">
        <v>-0.50745913083300198</v>
      </c>
      <c r="K70">
        <v>2.4227017848700001E-11</v>
      </c>
    </row>
    <row r="71" spans="1:11" x14ac:dyDescent="0.25">
      <c r="A71" t="s">
        <v>70</v>
      </c>
      <c r="B71">
        <v>-0.20592706412977529</v>
      </c>
      <c r="C71">
        <v>0.17408492457399469</v>
      </c>
      <c r="D71">
        <v>0.55795133886146986</v>
      </c>
      <c r="K71">
        <v>4.0228187709100001E-9</v>
      </c>
    </row>
    <row r="72" spans="1:11" x14ac:dyDescent="0.25">
      <c r="A72" t="s">
        <v>71</v>
      </c>
      <c r="B72">
        <v>-0.17044460948067511</v>
      </c>
      <c r="C72">
        <v>0.29741742028982998</v>
      </c>
      <c r="D72">
        <v>0.57620225845339312</v>
      </c>
      <c r="K72">
        <v>6.8151214254500004E-8</v>
      </c>
    </row>
    <row r="73" spans="1:11" x14ac:dyDescent="0.25">
      <c r="A73" t="s">
        <v>72</v>
      </c>
      <c r="B73">
        <v>-0.24429026468538589</v>
      </c>
      <c r="C73">
        <v>0.2103900323947791</v>
      </c>
      <c r="D73">
        <v>0.29328732232202143</v>
      </c>
      <c r="K73">
        <v>7.10073392454E-13</v>
      </c>
    </row>
    <row r="74" spans="1:11" x14ac:dyDescent="0.25">
      <c r="A74" t="s">
        <v>73</v>
      </c>
      <c r="B74">
        <v>-0.31881445769396438</v>
      </c>
      <c r="C74">
        <v>-0.62989122909587025</v>
      </c>
      <c r="D74">
        <v>-0.65522760633907684</v>
      </c>
      <c r="K74">
        <v>4.5768535361099998E-11</v>
      </c>
    </row>
    <row r="75" spans="1:11" x14ac:dyDescent="0.25">
      <c r="A75" t="s">
        <v>74</v>
      </c>
      <c r="B75">
        <v>-0.33819758615170709</v>
      </c>
      <c r="C75">
        <v>-0.1486338332734066</v>
      </c>
      <c r="D75">
        <v>0.22245284119547001</v>
      </c>
      <c r="K75">
        <v>7.9491295217999999E-12</v>
      </c>
    </row>
    <row r="76" spans="1:11" x14ac:dyDescent="0.25">
      <c r="A76" t="s">
        <v>75</v>
      </c>
      <c r="B76">
        <v>-0.2350211464352838</v>
      </c>
      <c r="C76">
        <v>-1.366942076468364</v>
      </c>
      <c r="D76">
        <v>1.4368007157932721</v>
      </c>
      <c r="K76">
        <v>4.7835187259999998E-7</v>
      </c>
    </row>
    <row r="77" spans="1:11" x14ac:dyDescent="0.25">
      <c r="A77" t="s">
        <v>76</v>
      </c>
      <c r="B77">
        <v>-0.26814037406984548</v>
      </c>
      <c r="C77">
        <v>-0.5668277305833338</v>
      </c>
      <c r="D77">
        <v>0.52164699998927122</v>
      </c>
      <c r="K77">
        <v>2.2586450955600001E-8</v>
      </c>
    </row>
    <row r="78" spans="1:11" x14ac:dyDescent="0.25">
      <c r="A78" t="s">
        <v>77</v>
      </c>
      <c r="B78">
        <v>-0.31694451110301181</v>
      </c>
      <c r="C78">
        <v>-0.57369001535042585</v>
      </c>
      <c r="D78">
        <v>-0.62421308150789123</v>
      </c>
      <c r="K78">
        <v>3.9686589155099999E-11</v>
      </c>
    </row>
    <row r="79" spans="1:11" x14ac:dyDescent="0.25">
      <c r="A79" t="s">
        <v>78</v>
      </c>
      <c r="B79">
        <v>-0.23780273646148001</v>
      </c>
      <c r="C79">
        <v>-1.3396486028152419</v>
      </c>
      <c r="D79">
        <v>1.4171892350215849</v>
      </c>
      <c r="K79">
        <v>2.1077236612299999E-7</v>
      </c>
    </row>
    <row r="80" spans="1:11" x14ac:dyDescent="0.25">
      <c r="A80" t="s">
        <v>79</v>
      </c>
      <c r="B80">
        <v>-0.26811344568928319</v>
      </c>
      <c r="C80">
        <v>-0.51431395361780863</v>
      </c>
      <c r="D80">
        <v>0.49760797785478139</v>
      </c>
      <c r="K80">
        <v>1.7304105766199999E-8</v>
      </c>
    </row>
    <row r="81" spans="1:11" x14ac:dyDescent="0.25">
      <c r="A81" t="s">
        <v>80</v>
      </c>
      <c r="B81">
        <v>-0.29165112283216349</v>
      </c>
      <c r="C81">
        <v>15.217315179668971</v>
      </c>
      <c r="D81">
        <v>-15.37058461460366</v>
      </c>
      <c r="K81">
        <v>6.5550940686699997E-5</v>
      </c>
    </row>
    <row r="82" spans="1:11" x14ac:dyDescent="0.25">
      <c r="A82" t="s">
        <v>81</v>
      </c>
      <c r="B82">
        <v>-0.2260419463626</v>
      </c>
      <c r="C82">
        <v>0.27839180794751722</v>
      </c>
      <c r="D82">
        <v>-0.45623261042537078</v>
      </c>
      <c r="K82">
        <v>2.21826126006E-11</v>
      </c>
    </row>
    <row r="83" spans="1:11" x14ac:dyDescent="0.25">
      <c r="A83" t="s">
        <v>82</v>
      </c>
      <c r="B83">
        <v>-0.16010678061200401</v>
      </c>
      <c r="C83">
        <v>-0.24605606392016741</v>
      </c>
      <c r="D83">
        <v>-0.15754790807449329</v>
      </c>
      <c r="K83">
        <v>2.25658634005E-10</v>
      </c>
    </row>
    <row r="84" spans="1:11" x14ac:dyDescent="0.25">
      <c r="A84" t="s">
        <v>83</v>
      </c>
      <c r="B84">
        <v>1.7674540055336601</v>
      </c>
      <c r="C84">
        <v>4.1351000613131834</v>
      </c>
      <c r="D84">
        <v>-2.8547383922917069</v>
      </c>
      <c r="E84">
        <v>3.0413249359702381</v>
      </c>
      <c r="K84">
        <v>0.35471954646808929</v>
      </c>
    </row>
    <row r="85" spans="1:11" x14ac:dyDescent="0.25">
      <c r="A85" t="s">
        <v>84</v>
      </c>
      <c r="B85">
        <v>0.86780831833116756</v>
      </c>
      <c r="C85">
        <v>3.215179847251818</v>
      </c>
      <c r="D85">
        <v>-2.187576988511124</v>
      </c>
      <c r="E85">
        <v>1.7197118813825889</v>
      </c>
      <c r="K85">
        <v>1.53763912081979E-2</v>
      </c>
    </row>
    <row r="86" spans="1:11" x14ac:dyDescent="0.25">
      <c r="A86" t="s">
        <v>85</v>
      </c>
      <c r="B86">
        <v>-0.45416770654942901</v>
      </c>
      <c r="C86">
        <v>-0.44927361884494121</v>
      </c>
      <c r="D86">
        <v>0.81107889359719709</v>
      </c>
      <c r="E86">
        <v>-0.65432197016552174</v>
      </c>
      <c r="K86">
        <v>1.78010243047E-7</v>
      </c>
    </row>
    <row r="87" spans="1:11" x14ac:dyDescent="0.25">
      <c r="A87" t="s">
        <v>86</v>
      </c>
      <c r="B87">
        <v>-1.2679635492129919</v>
      </c>
      <c r="C87">
        <v>1.0481371696946891</v>
      </c>
      <c r="D87">
        <v>1.3473794318822609</v>
      </c>
      <c r="E87">
        <v>-0.92103516415113784</v>
      </c>
      <c r="K87">
        <v>1.0481011347430001E-4</v>
      </c>
    </row>
    <row r="88" spans="1:11" x14ac:dyDescent="0.25">
      <c r="A88" t="s">
        <v>87</v>
      </c>
      <c r="B88">
        <v>-1.739451536912499</v>
      </c>
      <c r="C88">
        <v>1.4396608684541881</v>
      </c>
      <c r="D88">
        <v>1.7659345246633431</v>
      </c>
      <c r="E88">
        <v>-1.3656694012852679</v>
      </c>
      <c r="K88">
        <v>6.20285679828015E-2</v>
      </c>
    </row>
    <row r="89" spans="1:11" x14ac:dyDescent="0.25">
      <c r="A89" t="s">
        <v>88</v>
      </c>
      <c r="B89">
        <v>-1.683856991687162</v>
      </c>
      <c r="C89">
        <v>1.459526585950021</v>
      </c>
      <c r="D89">
        <v>1.0958047678772931</v>
      </c>
      <c r="E89">
        <v>-0.58080222076223098</v>
      </c>
      <c r="K89">
        <v>1.1020095217100001E-6</v>
      </c>
    </row>
    <row r="90" spans="1:11" x14ac:dyDescent="0.25">
      <c r="A90" t="s">
        <v>89</v>
      </c>
      <c r="B90">
        <v>-0.84291993519614128</v>
      </c>
      <c r="C90">
        <v>0.56816045618943312</v>
      </c>
      <c r="D90">
        <v>1.51738760113889</v>
      </c>
      <c r="E90">
        <v>-1.0587573319568551</v>
      </c>
      <c r="K90">
        <v>3.58045036857E-6</v>
      </c>
    </row>
    <row r="91" spans="1:11" x14ac:dyDescent="0.25">
      <c r="A91" t="s">
        <v>90</v>
      </c>
      <c r="B91">
        <v>-1.2289400599639939</v>
      </c>
      <c r="C91">
        <v>2.8235766345297262</v>
      </c>
      <c r="D91">
        <v>-3.1990973637454081</v>
      </c>
      <c r="E91">
        <v>-2.1939611971441861</v>
      </c>
      <c r="K91">
        <v>5.6269852639813003E-2</v>
      </c>
    </row>
    <row r="92" spans="1:11" x14ac:dyDescent="0.25">
      <c r="A92" t="s">
        <v>91</v>
      </c>
      <c r="B92">
        <v>-1.9964225829494959</v>
      </c>
      <c r="C92">
        <v>0.53924068963274707</v>
      </c>
      <c r="D92">
        <v>1.5495098190292911</v>
      </c>
      <c r="E92">
        <v>0.45874909126360641</v>
      </c>
      <c r="K92">
        <v>1.1167724609500001E-7</v>
      </c>
    </row>
    <row r="93" spans="1:11" x14ac:dyDescent="0.25">
      <c r="A93" t="s">
        <v>92</v>
      </c>
      <c r="B93">
        <v>-0.40613577079866853</v>
      </c>
      <c r="C93">
        <v>-0.44138930061980008</v>
      </c>
      <c r="D93">
        <v>0.81215335648352271</v>
      </c>
      <c r="E93">
        <v>-0.62609393399855406</v>
      </c>
      <c r="K93">
        <v>1.43064785437E-7</v>
      </c>
    </row>
    <row r="94" spans="1:11" x14ac:dyDescent="0.25">
      <c r="A94" t="s">
        <v>93</v>
      </c>
      <c r="B94">
        <v>-1.2724053239502611</v>
      </c>
      <c r="C94">
        <v>1.061133141835938</v>
      </c>
      <c r="D94">
        <v>1.376225605580631</v>
      </c>
      <c r="E94">
        <v>-0.9464417584468543</v>
      </c>
      <c r="K94">
        <v>5.8100659076800002E-5</v>
      </c>
    </row>
    <row r="95" spans="1:11" x14ac:dyDescent="0.25">
      <c r="A95" t="s">
        <v>94</v>
      </c>
      <c r="B95">
        <v>-1.838582797465687</v>
      </c>
      <c r="C95">
        <v>1.5200320369610301</v>
      </c>
      <c r="D95">
        <v>1.855408469127114</v>
      </c>
      <c r="E95">
        <v>-1.4550802089120309</v>
      </c>
      <c r="K95">
        <v>4.5236124174129602E-2</v>
      </c>
    </row>
    <row r="96" spans="1:11" x14ac:dyDescent="0.25">
      <c r="A96" t="s">
        <v>95</v>
      </c>
      <c r="B96">
        <v>-1.7289680023732119</v>
      </c>
      <c r="C96">
        <v>1.502737576123429</v>
      </c>
      <c r="D96">
        <v>1.109044677341336</v>
      </c>
      <c r="E96">
        <v>-0.58291468842217098</v>
      </c>
      <c r="K96">
        <v>3.6629488626999998E-7</v>
      </c>
    </row>
    <row r="97" spans="1:11" x14ac:dyDescent="0.25">
      <c r="A97" t="s">
        <v>96</v>
      </c>
      <c r="B97">
        <v>-0.8020856317004027</v>
      </c>
      <c r="C97">
        <v>0.54119801133729939</v>
      </c>
      <c r="D97">
        <v>1.553125402724574</v>
      </c>
      <c r="E97">
        <v>-1.0973865546188699</v>
      </c>
      <c r="K97">
        <v>1.8898201312899999E-6</v>
      </c>
    </row>
    <row r="98" spans="1:11" x14ac:dyDescent="0.25">
      <c r="A98" t="s">
        <v>97</v>
      </c>
      <c r="B98">
        <v>-1.1876379203103999</v>
      </c>
      <c r="C98">
        <v>2.8200627783893322</v>
      </c>
      <c r="D98">
        <v>-3.2202933706482688</v>
      </c>
      <c r="E98">
        <v>-2.2049145105156929</v>
      </c>
      <c r="K98">
        <v>3.7454339349938998E-2</v>
      </c>
    </row>
    <row r="99" spans="1:11" x14ac:dyDescent="0.25">
      <c r="A99" t="s">
        <v>98</v>
      </c>
      <c r="B99">
        <v>-2.0767616727655001</v>
      </c>
      <c r="C99">
        <v>0.56464097073067965</v>
      </c>
      <c r="D99">
        <v>1.6092194461222531</v>
      </c>
      <c r="E99">
        <v>0.46966791364678329</v>
      </c>
      <c r="K99">
        <v>4.6697543989600003E-8</v>
      </c>
    </row>
    <row r="100" spans="1:11" x14ac:dyDescent="0.25">
      <c r="A100" t="s">
        <v>99</v>
      </c>
      <c r="B100">
        <v>11.76584029351852</v>
      </c>
      <c r="C100">
        <v>-12.727522309505639</v>
      </c>
      <c r="D100">
        <v>0.59235853843003228</v>
      </c>
      <c r="E100">
        <v>-0.33315319050856501</v>
      </c>
      <c r="K100">
        <v>9.1809837629700001E-7</v>
      </c>
    </row>
    <row r="101" spans="1:11" x14ac:dyDescent="0.25">
      <c r="A101" t="s">
        <v>100</v>
      </c>
      <c r="B101">
        <v>13.27347190796849</v>
      </c>
      <c r="C101">
        <v>-14.295656224604221</v>
      </c>
      <c r="D101">
        <v>0.95521976632551164</v>
      </c>
      <c r="E101">
        <v>0.29974254479319251</v>
      </c>
      <c r="K101">
        <v>6.0437905919299999E-7</v>
      </c>
    </row>
    <row r="102" spans="1:11" x14ac:dyDescent="0.25">
      <c r="A102" t="s">
        <v>101</v>
      </c>
      <c r="B102">
        <v>12.010927478196241</v>
      </c>
      <c r="C102">
        <v>-12.946882791279</v>
      </c>
      <c r="D102">
        <v>0.79822772899097783</v>
      </c>
      <c r="E102">
        <v>0.39772057546480383</v>
      </c>
      <c r="K102">
        <v>4.6874445907699999E-6</v>
      </c>
    </row>
    <row r="103" spans="1:11" x14ac:dyDescent="0.25">
      <c r="A103" t="s">
        <v>102</v>
      </c>
      <c r="B103">
        <v>22.177819758780799</v>
      </c>
      <c r="C103">
        <v>-20.36581308259257</v>
      </c>
      <c r="D103">
        <v>-1.356699850164639</v>
      </c>
      <c r="E103">
        <v>0.95517201416289221</v>
      </c>
      <c r="K103">
        <v>4.5103885665058003E-3</v>
      </c>
    </row>
    <row r="104" spans="1:11" x14ac:dyDescent="0.25">
      <c r="A104" t="s">
        <v>103</v>
      </c>
      <c r="B104">
        <v>15.507437424371579</v>
      </c>
      <c r="C104">
        <v>-16.284415072142611</v>
      </c>
      <c r="D104">
        <v>0.68366706050055914</v>
      </c>
      <c r="E104">
        <v>0.44352163319554527</v>
      </c>
      <c r="K104">
        <v>1.29232341336E-6</v>
      </c>
    </row>
    <row r="105" spans="1:11" x14ac:dyDescent="0.25">
      <c r="A105" t="s">
        <v>104</v>
      </c>
      <c r="B105">
        <v>0.46327936062207198</v>
      </c>
      <c r="C105">
        <v>-0.87199460066676804</v>
      </c>
      <c r="D105">
        <v>-0.17319614362132121</v>
      </c>
      <c r="E105">
        <v>-1.3998017110366441</v>
      </c>
      <c r="K105">
        <v>7.7512671673E-10</v>
      </c>
    </row>
    <row r="106" spans="1:11" x14ac:dyDescent="0.25">
      <c r="A106" t="s">
        <v>105</v>
      </c>
      <c r="B106">
        <v>0.29721316277806048</v>
      </c>
      <c r="C106">
        <v>-0.5004235119920809</v>
      </c>
      <c r="D106">
        <v>0.21181187875955529</v>
      </c>
      <c r="E106">
        <v>-0.74896932084136525</v>
      </c>
      <c r="K106">
        <v>3.8434986179700003E-12</v>
      </c>
    </row>
    <row r="107" spans="1:11" x14ac:dyDescent="0.25">
      <c r="A107" t="s">
        <v>106</v>
      </c>
      <c r="B107">
        <v>-0.93398915636963697</v>
      </c>
      <c r="C107">
        <v>-2.781706119396365</v>
      </c>
      <c r="D107">
        <v>2.4004607158422329</v>
      </c>
      <c r="E107">
        <v>0.59617157093048134</v>
      </c>
      <c r="K107">
        <v>5.5254558401792997E-3</v>
      </c>
    </row>
    <row r="108" spans="1:11" x14ac:dyDescent="0.25">
      <c r="A108" t="s">
        <v>107</v>
      </c>
      <c r="B108">
        <v>-0.42614597819030969</v>
      </c>
      <c r="C108">
        <v>-1.8705599716432619</v>
      </c>
      <c r="D108">
        <v>0.6327999371272981</v>
      </c>
      <c r="E108">
        <v>1.122251766792332</v>
      </c>
      <c r="K108">
        <v>3.2943259279700002E-6</v>
      </c>
    </row>
    <row r="109" spans="1:11" x14ac:dyDescent="0.25">
      <c r="A109" t="s">
        <v>108</v>
      </c>
      <c r="B109">
        <v>0.45225007058014199</v>
      </c>
      <c r="C109">
        <v>-0.81814168697361056</v>
      </c>
      <c r="D109">
        <v>-0.1634578532738872</v>
      </c>
      <c r="E109">
        <v>-1.358227721473372</v>
      </c>
      <c r="K109">
        <v>2.8586526218600002E-10</v>
      </c>
    </row>
    <row r="110" spans="1:11" x14ac:dyDescent="0.25">
      <c r="A110" t="s">
        <v>109</v>
      </c>
      <c r="B110">
        <v>0.26772634724736177</v>
      </c>
      <c r="C110">
        <v>-0.40547111331190178</v>
      </c>
      <c r="D110">
        <v>0.25613798256420678</v>
      </c>
      <c r="E110">
        <v>-0.62957500319848891</v>
      </c>
      <c r="K110">
        <v>1.8393624371199999E-12</v>
      </c>
    </row>
    <row r="111" spans="1:11" x14ac:dyDescent="0.25">
      <c r="A111" t="s">
        <v>110</v>
      </c>
      <c r="B111">
        <v>-0.16054939976865359</v>
      </c>
      <c r="C111">
        <v>-2.3074266741183709</v>
      </c>
      <c r="D111">
        <v>2.3242615272961191</v>
      </c>
      <c r="E111">
        <v>0.32577185219620453</v>
      </c>
      <c r="K111">
        <v>1.05901522445E-7</v>
      </c>
    </row>
    <row r="112" spans="1:11" x14ac:dyDescent="0.25">
      <c r="A112" t="s">
        <v>111</v>
      </c>
      <c r="B112">
        <v>-0.66187798820525734</v>
      </c>
      <c r="C112">
        <v>-1.6754513607867321</v>
      </c>
      <c r="D112">
        <v>1.421776440482361</v>
      </c>
      <c r="E112">
        <v>0.59466117137108399</v>
      </c>
      <c r="K112">
        <v>0.16241031752135329</v>
      </c>
    </row>
    <row r="113" spans="1:11" x14ac:dyDescent="0.25">
      <c r="A113" t="s">
        <v>112</v>
      </c>
      <c r="B113">
        <v>-1.0492793424908951</v>
      </c>
      <c r="C113">
        <v>-3.066475694956893</v>
      </c>
      <c r="D113">
        <v>2.6451933244741288</v>
      </c>
      <c r="E113">
        <v>0.62105976146442665</v>
      </c>
      <c r="K113">
        <v>1.73393571484022E-2</v>
      </c>
    </row>
    <row r="114" spans="1:11" x14ac:dyDescent="0.25">
      <c r="A114" t="s">
        <v>113</v>
      </c>
      <c r="B114">
        <v>-0.75477873561207809</v>
      </c>
      <c r="C114">
        <v>-2.3535705885389562</v>
      </c>
      <c r="D114">
        <v>1.9931772107209491</v>
      </c>
      <c r="E114">
        <v>0.57557727860780439</v>
      </c>
      <c r="K114">
        <v>1.89817067803047E-2</v>
      </c>
    </row>
    <row r="115" spans="1:11" x14ac:dyDescent="0.25">
      <c r="A115" t="s">
        <v>114</v>
      </c>
      <c r="B115">
        <v>-0.46721743306469721</v>
      </c>
      <c r="C115">
        <v>-1.950235950222414</v>
      </c>
      <c r="D115">
        <v>0.6973299976714451</v>
      </c>
      <c r="E115">
        <v>1.1310861866657871</v>
      </c>
      <c r="K115">
        <v>1.8653572385199999E-6</v>
      </c>
    </row>
    <row r="116" spans="1:11" x14ac:dyDescent="0.25">
      <c r="A116" t="s">
        <v>115</v>
      </c>
      <c r="B116">
        <v>0.36898328405821218</v>
      </c>
      <c r="C116">
        <v>16.656545048405079</v>
      </c>
      <c r="D116">
        <v>-17.22440924976366</v>
      </c>
      <c r="E116">
        <v>-0.76654622916246562</v>
      </c>
      <c r="K116">
        <v>2.27516339135E-7</v>
      </c>
    </row>
    <row r="117" spans="1:11" x14ac:dyDescent="0.25">
      <c r="A117" t="s">
        <v>116</v>
      </c>
      <c r="B117">
        <v>-0.27066622548610819</v>
      </c>
      <c r="C117">
        <v>0.60901413820263806</v>
      </c>
      <c r="D117">
        <v>-0.46886588942917978</v>
      </c>
      <c r="E117">
        <v>0.45031471100530851</v>
      </c>
      <c r="K117">
        <v>6.58927674801E-14</v>
      </c>
    </row>
    <row r="118" spans="1:11" x14ac:dyDescent="0.25">
      <c r="A118" t="s">
        <v>117</v>
      </c>
      <c r="B118">
        <v>-0.4007738042251357</v>
      </c>
      <c r="C118">
        <v>-0.39760661922333501</v>
      </c>
      <c r="D118">
        <v>0.37115717399653708</v>
      </c>
      <c r="E118">
        <v>-0.32549520265100312</v>
      </c>
      <c r="K118">
        <v>2.1751751823400002E-11</v>
      </c>
    </row>
    <row r="119" spans="1:11" x14ac:dyDescent="0.25">
      <c r="A119" t="s">
        <v>118</v>
      </c>
      <c r="B119">
        <v>-0.18851629677229489</v>
      </c>
      <c r="C119">
        <v>-1.933040437139715</v>
      </c>
      <c r="D119">
        <v>2.0348364998991619</v>
      </c>
      <c r="E119">
        <v>0.36392023086408237</v>
      </c>
      <c r="K119">
        <v>5.7669202127099997E-8</v>
      </c>
    </row>
    <row r="120" spans="1:11" x14ac:dyDescent="0.25">
      <c r="A120" t="s">
        <v>119</v>
      </c>
      <c r="B120">
        <v>-0.19566674916683741</v>
      </c>
      <c r="C120">
        <v>-1.7931658915411599</v>
      </c>
      <c r="D120">
        <v>1.7799438093180751</v>
      </c>
      <c r="E120">
        <v>0.44916439356109777</v>
      </c>
      <c r="K120">
        <v>4.9080219848200003E-6</v>
      </c>
    </row>
    <row r="121" spans="1:11" x14ac:dyDescent="0.25">
      <c r="A121" t="s">
        <v>120</v>
      </c>
      <c r="B121">
        <v>-0.40700976495655888</v>
      </c>
      <c r="C121">
        <v>-0.33173073570394279</v>
      </c>
      <c r="D121">
        <v>0.39899403500730612</v>
      </c>
      <c r="E121">
        <v>-0.26166197653540052</v>
      </c>
      <c r="K121">
        <v>1.6910669426400001E-11</v>
      </c>
    </row>
    <row r="122" spans="1:11" x14ac:dyDescent="0.25">
      <c r="A122" t="s">
        <v>121</v>
      </c>
      <c r="B122">
        <v>-0.18570039395086371</v>
      </c>
      <c r="C122">
        <v>-2.0099923002564721</v>
      </c>
      <c r="D122">
        <v>2.117910808107061</v>
      </c>
      <c r="E122">
        <v>0.37014915665533171</v>
      </c>
      <c r="K122">
        <v>2.86269596582E-8</v>
      </c>
    </row>
    <row r="123" spans="1:11" x14ac:dyDescent="0.25">
      <c r="A123" t="s">
        <v>122</v>
      </c>
      <c r="B123">
        <v>-0.194887069783722</v>
      </c>
      <c r="C123">
        <v>-1.857235357639752</v>
      </c>
      <c r="D123">
        <v>1.850595571742859</v>
      </c>
      <c r="E123">
        <v>0.45805474272756808</v>
      </c>
      <c r="K123">
        <v>2.8622136282400002E-6</v>
      </c>
    </row>
    <row r="124" spans="1:11" x14ac:dyDescent="0.25">
      <c r="A124" t="s">
        <v>123</v>
      </c>
      <c r="B124">
        <v>-0.1398443160254495</v>
      </c>
      <c r="C124">
        <v>-1.981947790263977</v>
      </c>
      <c r="D124">
        <v>1.0550279116134771</v>
      </c>
      <c r="E124">
        <v>-1.278291772624764</v>
      </c>
      <c r="K124">
        <v>5.3713387173400002E-5</v>
      </c>
    </row>
    <row r="125" spans="1:11" x14ac:dyDescent="0.25">
      <c r="A125" t="s">
        <v>124</v>
      </c>
      <c r="B125">
        <v>-0.34525414831682122</v>
      </c>
      <c r="C125">
        <v>12.467948967150409</v>
      </c>
      <c r="D125">
        <v>-12.960509166274351</v>
      </c>
      <c r="E125">
        <v>-0.45796703082021611</v>
      </c>
      <c r="K125">
        <v>1.0368566903100001E-6</v>
      </c>
    </row>
    <row r="126" spans="1:11" x14ac:dyDescent="0.25">
      <c r="A126" t="s">
        <v>125</v>
      </c>
      <c r="B126">
        <v>-0.3481693242881988</v>
      </c>
      <c r="C126">
        <v>14.96728801327113</v>
      </c>
      <c r="D126">
        <v>-15.094894272978889</v>
      </c>
      <c r="E126">
        <v>0.37699406965952892</v>
      </c>
      <c r="K126">
        <v>3.8703206224300002E-6</v>
      </c>
    </row>
    <row r="127" spans="1:11" x14ac:dyDescent="0.25">
      <c r="A127" t="s">
        <v>126</v>
      </c>
      <c r="B127">
        <v>-0.32980741007093339</v>
      </c>
      <c r="C127">
        <v>0.23873555788091619</v>
      </c>
      <c r="D127">
        <v>0.18323072303583271</v>
      </c>
      <c r="E127">
        <v>-0.43600549868967542</v>
      </c>
      <c r="K127">
        <v>1.30897177072E-13</v>
      </c>
    </row>
    <row r="128" spans="1:11" x14ac:dyDescent="0.25">
      <c r="A128" t="s">
        <v>127</v>
      </c>
      <c r="B128">
        <v>-0.32615892326471257</v>
      </c>
      <c r="C128">
        <v>0.38804858411914561</v>
      </c>
      <c r="D128">
        <v>-0.32770602592489362</v>
      </c>
      <c r="E128">
        <v>-0.90221636401341998</v>
      </c>
      <c r="K128">
        <v>7.4397642724600002E-13</v>
      </c>
    </row>
    <row r="129" spans="1:11" x14ac:dyDescent="0.25">
      <c r="A129" t="s">
        <v>128</v>
      </c>
      <c r="B129">
        <v>-0.20153935953730731</v>
      </c>
      <c r="C129">
        <v>-0.22969764050218119</v>
      </c>
      <c r="D129">
        <v>-1.732504704228869</v>
      </c>
      <c r="E129">
        <v>1.6921313091025429</v>
      </c>
      <c r="K129">
        <v>9.1539384096500002E-7</v>
      </c>
    </row>
    <row r="130" spans="1:11" x14ac:dyDescent="0.25">
      <c r="A130" t="s">
        <v>129</v>
      </c>
      <c r="B130">
        <v>-0.2039063993983144</v>
      </c>
      <c r="C130">
        <v>-0.24125729492602849</v>
      </c>
      <c r="D130">
        <v>-1.757614686282831</v>
      </c>
      <c r="E130">
        <v>1.720551394418395</v>
      </c>
      <c r="K130">
        <v>4.0408318195700001E-7</v>
      </c>
    </row>
    <row r="131" spans="1:11" x14ac:dyDescent="0.25">
      <c r="A131" t="s">
        <v>130</v>
      </c>
      <c r="B131">
        <v>-0.24770265525429641</v>
      </c>
      <c r="C131">
        <v>3.1971071105024782</v>
      </c>
      <c r="D131">
        <v>-4.9141446240983857</v>
      </c>
      <c r="E131">
        <v>-2.424420226793881</v>
      </c>
      <c r="K131">
        <v>7.4728283465460004E-4</v>
      </c>
    </row>
    <row r="132" spans="1:11" x14ac:dyDescent="0.25">
      <c r="A132" t="s">
        <v>131</v>
      </c>
      <c r="B132">
        <v>-0.23042783223350141</v>
      </c>
      <c r="C132">
        <v>0.70914156322372202</v>
      </c>
      <c r="D132">
        <v>-0.58968497130049302</v>
      </c>
      <c r="E132">
        <v>0.42133330989020512</v>
      </c>
      <c r="K132">
        <v>1.8001200825099999E-13</v>
      </c>
    </row>
    <row r="133" spans="1:11" x14ac:dyDescent="0.25">
      <c r="A133" t="s">
        <v>132</v>
      </c>
      <c r="B133">
        <v>-0.30751261348511227</v>
      </c>
      <c r="C133">
        <v>-0.36967671207504349</v>
      </c>
      <c r="D133">
        <v>0.33022397616293081</v>
      </c>
      <c r="E133">
        <v>-0.27553521904726302</v>
      </c>
      <c r="K133">
        <v>5.4436655869199996E-12</v>
      </c>
    </row>
    <row r="134" spans="1:11" x14ac:dyDescent="0.25">
      <c r="A134" t="s">
        <v>133</v>
      </c>
      <c r="B134">
        <v>-0.15785582474192469</v>
      </c>
      <c r="C134">
        <v>-1.9465752497955739</v>
      </c>
      <c r="D134">
        <v>2.0340625522549391</v>
      </c>
      <c r="E134">
        <v>0.33447181686116451</v>
      </c>
      <c r="K134">
        <v>6.6021187605600006E-8</v>
      </c>
    </row>
    <row r="135" spans="1:11" x14ac:dyDescent="0.25">
      <c r="A135" t="s">
        <v>134</v>
      </c>
      <c r="B135">
        <v>-0.17300436748863801</v>
      </c>
      <c r="C135">
        <v>-1.80536391255871</v>
      </c>
      <c r="D135">
        <v>1.7805219813199951</v>
      </c>
      <c r="E135">
        <v>0.43156425694791478</v>
      </c>
      <c r="K135">
        <v>3.5674058908799998E-6</v>
      </c>
    </row>
    <row r="136" spans="1:11" x14ac:dyDescent="0.25">
      <c r="A136" t="s">
        <v>135</v>
      </c>
      <c r="B136">
        <v>-0.14108020295539639</v>
      </c>
      <c r="C136">
        <v>-1.3214514685634631</v>
      </c>
      <c r="D136">
        <v>1.2187952358181351</v>
      </c>
      <c r="E136">
        <v>0.54172772059610041</v>
      </c>
      <c r="K136">
        <v>1.5488549077499999E-9</v>
      </c>
    </row>
    <row r="137" spans="1:11" x14ac:dyDescent="0.25">
      <c r="A137" t="s">
        <v>136</v>
      </c>
      <c r="B137">
        <v>-0.154643496012731</v>
      </c>
      <c r="C137">
        <v>-2.026059979459871</v>
      </c>
      <c r="D137">
        <v>2.1202993770154062</v>
      </c>
      <c r="E137">
        <v>0.34063196858772821</v>
      </c>
      <c r="K137">
        <v>3.4697482537399998E-8</v>
      </c>
    </row>
    <row r="138" spans="1:11" x14ac:dyDescent="0.25">
      <c r="A138" t="s">
        <v>137</v>
      </c>
      <c r="B138">
        <v>-0.17059543071752009</v>
      </c>
      <c r="C138">
        <v>-1.872829604252795</v>
      </c>
      <c r="D138">
        <v>1.855552103070113</v>
      </c>
      <c r="E138">
        <v>0.44009963352325732</v>
      </c>
      <c r="K138">
        <v>2.14769520916E-6</v>
      </c>
    </row>
    <row r="139" spans="1:11" x14ac:dyDescent="0.25">
      <c r="A139" t="s">
        <v>138</v>
      </c>
      <c r="B139">
        <v>-0.2132000837261365</v>
      </c>
      <c r="C139">
        <v>-2.0189445459024662</v>
      </c>
      <c r="D139">
        <v>1.0958500633930319</v>
      </c>
      <c r="E139">
        <v>-1.261194722867327</v>
      </c>
      <c r="K139">
        <v>8.7492004330400007E-5</v>
      </c>
    </row>
    <row r="140" spans="1:11" x14ac:dyDescent="0.25">
      <c r="A140" t="s">
        <v>139</v>
      </c>
      <c r="B140">
        <v>-0.14233977745632409</v>
      </c>
      <c r="C140">
        <v>-1.3125776163778231</v>
      </c>
      <c r="D140">
        <v>1.2220257688194811</v>
      </c>
      <c r="E140">
        <v>0.54415821430115419</v>
      </c>
      <c r="K140">
        <v>4.0740715640600002E-10</v>
      </c>
    </row>
    <row r="141" spans="1:11" x14ac:dyDescent="0.25">
      <c r="A141" t="s">
        <v>140</v>
      </c>
      <c r="B141">
        <v>-0.30193639600609012</v>
      </c>
      <c r="C141">
        <v>13.62077054208795</v>
      </c>
      <c r="D141">
        <v>-14.09699460795057</v>
      </c>
      <c r="E141">
        <v>-0.38718993517615169</v>
      </c>
      <c r="K141">
        <v>5.9956570139600001E-7</v>
      </c>
    </row>
    <row r="142" spans="1:11" x14ac:dyDescent="0.25">
      <c r="A142" t="s">
        <v>141</v>
      </c>
      <c r="B142">
        <v>-0.26950465196834961</v>
      </c>
      <c r="C142">
        <v>15.840366559608441</v>
      </c>
      <c r="D142">
        <v>-16.009570540108921</v>
      </c>
      <c r="E142">
        <v>0.30885278144256501</v>
      </c>
      <c r="K142">
        <v>1.84536093222E-6</v>
      </c>
    </row>
    <row r="143" spans="1:11" x14ac:dyDescent="0.25">
      <c r="A143" t="s">
        <v>142</v>
      </c>
      <c r="B143">
        <v>-0.24657638238230481</v>
      </c>
      <c r="C143">
        <v>0.2499131639771886</v>
      </c>
      <c r="D143">
        <v>0.1179343147693783</v>
      </c>
      <c r="E143">
        <v>-0.42579653348804192</v>
      </c>
      <c r="K143">
        <v>3.4078103390299999E-13</v>
      </c>
    </row>
    <row r="144" spans="1:11" x14ac:dyDescent="0.25">
      <c r="A144" t="s">
        <v>143</v>
      </c>
      <c r="B144">
        <v>-0.2367510586690966</v>
      </c>
      <c r="C144">
        <v>0.35274987252134998</v>
      </c>
      <c r="D144">
        <v>-0.226383177789826</v>
      </c>
      <c r="E144">
        <v>-0.7456093687646963</v>
      </c>
      <c r="K144">
        <v>1.0312191407499999E-12</v>
      </c>
    </row>
    <row r="145" spans="1:11" x14ac:dyDescent="0.25">
      <c r="A145" t="s">
        <v>144</v>
      </c>
      <c r="B145">
        <v>-0.21436381480858929</v>
      </c>
      <c r="C145">
        <v>0.11516703065672319</v>
      </c>
      <c r="D145">
        <v>0.2131956490039143</v>
      </c>
      <c r="E145">
        <v>0.49874214389212351</v>
      </c>
      <c r="K145">
        <v>1.9733135081999999E-12</v>
      </c>
    </row>
    <row r="146" spans="1:11" x14ac:dyDescent="0.25">
      <c r="A146" t="s">
        <v>145</v>
      </c>
      <c r="B146">
        <v>-0.25226059135670598</v>
      </c>
      <c r="C146">
        <v>-0.21988763940102379</v>
      </c>
      <c r="D146">
        <v>-1.7845239420801069</v>
      </c>
      <c r="E146">
        <v>1.729876458484545</v>
      </c>
      <c r="K146">
        <v>1.8906139584999999E-6</v>
      </c>
    </row>
    <row r="147" spans="1:11" x14ac:dyDescent="0.25">
      <c r="A147" t="s">
        <v>146</v>
      </c>
      <c r="B147">
        <v>-0.26132118101657092</v>
      </c>
      <c r="C147">
        <v>-0.55544024388485658</v>
      </c>
      <c r="D147">
        <v>-1.444037549367688</v>
      </c>
      <c r="E147">
        <v>1.206404235553896</v>
      </c>
      <c r="K147">
        <v>3.4822264072099999E-6</v>
      </c>
    </row>
    <row r="148" spans="1:11" x14ac:dyDescent="0.25">
      <c r="A148" t="s">
        <v>147</v>
      </c>
      <c r="B148">
        <v>-0.2555618818443175</v>
      </c>
      <c r="C148">
        <v>-0.23292824004319779</v>
      </c>
      <c r="D148">
        <v>-1.8221510676566459</v>
      </c>
      <c r="E148">
        <v>1.76995654993929</v>
      </c>
      <c r="K148">
        <v>9.0858718978000001E-7</v>
      </c>
    </row>
    <row r="149" spans="1:11" x14ac:dyDescent="0.25">
      <c r="A149" t="s">
        <v>148</v>
      </c>
      <c r="B149">
        <v>-0.26253846481949661</v>
      </c>
      <c r="C149">
        <v>-0.58316406352368866</v>
      </c>
      <c r="D149">
        <v>-1.479783660744761</v>
      </c>
      <c r="E149">
        <v>1.245302009505532</v>
      </c>
      <c r="K149">
        <v>2.1843090153600002E-6</v>
      </c>
    </row>
    <row r="150" spans="1:11" x14ac:dyDescent="0.25">
      <c r="A150" t="s">
        <v>149</v>
      </c>
      <c r="B150">
        <v>-0.18581827927875319</v>
      </c>
      <c r="C150">
        <v>-0.26838239862039309</v>
      </c>
      <c r="D150">
        <v>-0.14370696032570299</v>
      </c>
      <c r="E150">
        <v>0.2760051119298349</v>
      </c>
      <c r="K150">
        <v>2.03506120488E-12</v>
      </c>
    </row>
    <row r="151" spans="1:11" x14ac:dyDescent="0.25">
      <c r="A151" t="s">
        <v>150</v>
      </c>
      <c r="B151">
        <v>0.41479548609351968</v>
      </c>
      <c r="C151">
        <v>3.5270788964043072</v>
      </c>
      <c r="D151">
        <v>-3.7063036887315959</v>
      </c>
      <c r="E151">
        <v>-1.0724019712179469</v>
      </c>
      <c r="F151">
        <v>2.3617883626178848</v>
      </c>
      <c r="K151">
        <v>8.0860334526221007E-3</v>
      </c>
    </row>
    <row r="152" spans="1:11" x14ac:dyDescent="0.25">
      <c r="A152" t="s">
        <v>151</v>
      </c>
      <c r="B152">
        <v>0.42723531896055938</v>
      </c>
      <c r="C152">
        <v>4.431713672176965</v>
      </c>
      <c r="D152">
        <v>-4.6156937103161484</v>
      </c>
      <c r="E152">
        <v>-1.431110210410508</v>
      </c>
      <c r="F152">
        <v>2.7675681642708989</v>
      </c>
      <c r="K152">
        <v>0.1079884377822322</v>
      </c>
    </row>
    <row r="153" spans="1:11" x14ac:dyDescent="0.25">
      <c r="A153" t="s">
        <v>152</v>
      </c>
      <c r="B153">
        <v>2.086778143518198</v>
      </c>
      <c r="C153">
        <v>-3.2995467298112802</v>
      </c>
      <c r="D153">
        <v>-0.25035005513289887</v>
      </c>
      <c r="E153">
        <v>0.4072114349862988</v>
      </c>
      <c r="F153">
        <v>-2.0333023344698971</v>
      </c>
      <c r="K153">
        <v>7.7706891684599995E-5</v>
      </c>
    </row>
    <row r="154" spans="1:11" x14ac:dyDescent="0.25">
      <c r="A154" t="s">
        <v>153</v>
      </c>
      <c r="B154">
        <v>0.53405216108957154</v>
      </c>
      <c r="C154">
        <v>4.6351333468976934</v>
      </c>
      <c r="D154">
        <v>-4.8777751803605121</v>
      </c>
      <c r="E154">
        <v>-1.561567248553603</v>
      </c>
      <c r="F154">
        <v>3.0955403063683198</v>
      </c>
      <c r="K154">
        <v>7.9792269232536999E-3</v>
      </c>
    </row>
    <row r="155" spans="1:11" x14ac:dyDescent="0.25">
      <c r="A155" t="s">
        <v>154</v>
      </c>
      <c r="B155">
        <v>-1.1328236025340239</v>
      </c>
      <c r="C155">
        <v>3.027895043816923</v>
      </c>
      <c r="D155">
        <v>4.8581010217361253</v>
      </c>
      <c r="E155">
        <v>-3.67659214588044</v>
      </c>
      <c r="F155">
        <v>3.5885753933825688</v>
      </c>
      <c r="K155">
        <v>0.99696668917794118</v>
      </c>
    </row>
    <row r="156" spans="1:11" x14ac:dyDescent="0.25">
      <c r="A156" t="s">
        <v>155</v>
      </c>
      <c r="B156">
        <v>-0.93201757733217971</v>
      </c>
      <c r="C156">
        <v>0.80564946802357396</v>
      </c>
      <c r="D156">
        <v>0.8565626530146816</v>
      </c>
      <c r="E156">
        <v>-0.71783357509880585</v>
      </c>
      <c r="F156">
        <v>0.34339337218501781</v>
      </c>
      <c r="K156">
        <v>1.3623140585139999E-4</v>
      </c>
    </row>
    <row r="157" spans="1:11" x14ac:dyDescent="0.25">
      <c r="A157" t="s">
        <v>156</v>
      </c>
      <c r="B157">
        <v>-1.305106177631207</v>
      </c>
      <c r="C157">
        <v>1.096241208902059</v>
      </c>
      <c r="D157">
        <v>0.62922523907160932</v>
      </c>
      <c r="E157">
        <v>2.0025495524589449</v>
      </c>
      <c r="F157">
        <v>-2.0316330743377549</v>
      </c>
      <c r="K157">
        <v>0.1749443239595754</v>
      </c>
    </row>
    <row r="158" spans="1:11" x14ac:dyDescent="0.25">
      <c r="A158" t="s">
        <v>157</v>
      </c>
      <c r="B158">
        <v>-1.468270678146298</v>
      </c>
      <c r="C158">
        <v>0.88892750763003359</v>
      </c>
      <c r="D158">
        <v>0.90857113004263734</v>
      </c>
      <c r="E158">
        <v>-0.59284557192473131</v>
      </c>
      <c r="F158">
        <v>-0.58591195089988302</v>
      </c>
      <c r="K158">
        <v>1.416050045786E-4</v>
      </c>
    </row>
    <row r="159" spans="1:11" x14ac:dyDescent="0.25">
      <c r="A159" t="s">
        <v>158</v>
      </c>
      <c r="B159">
        <v>-2.2399157543592589</v>
      </c>
      <c r="C159">
        <v>1.4066670559256069</v>
      </c>
      <c r="D159">
        <v>2.897323191386064</v>
      </c>
      <c r="E159">
        <v>-2.0697407141573971</v>
      </c>
      <c r="F159">
        <v>-0.73134438575228311</v>
      </c>
      <c r="K159">
        <v>2.1297373573E-3</v>
      </c>
    </row>
    <row r="160" spans="1:11" x14ac:dyDescent="0.25">
      <c r="A160" t="s">
        <v>159</v>
      </c>
      <c r="B160">
        <v>-0.60005114134335835</v>
      </c>
      <c r="C160">
        <v>0.4260089200751126</v>
      </c>
      <c r="D160">
        <v>0.92175523835801865</v>
      </c>
      <c r="E160">
        <v>-0.78695877073745124</v>
      </c>
      <c r="F160">
        <v>0.37902519919356842</v>
      </c>
      <c r="K160">
        <v>1.59634899795E-5</v>
      </c>
    </row>
    <row r="161" spans="1:11" x14ac:dyDescent="0.25">
      <c r="A161" t="s">
        <v>160</v>
      </c>
      <c r="B161">
        <v>-1.7044607043958879</v>
      </c>
      <c r="C161">
        <v>1.215081479677472</v>
      </c>
      <c r="D161">
        <v>2.7999785027070661</v>
      </c>
      <c r="E161">
        <v>-1.297244087898999</v>
      </c>
      <c r="F161">
        <v>-1.159695864691485</v>
      </c>
      <c r="K161">
        <v>5.8577049963918298E-2</v>
      </c>
    </row>
    <row r="162" spans="1:11" x14ac:dyDescent="0.25">
      <c r="A162" t="s">
        <v>161</v>
      </c>
      <c r="B162">
        <v>-1.800813888411996</v>
      </c>
      <c r="C162">
        <v>2.8694395366465528</v>
      </c>
      <c r="D162">
        <v>-1.70524204254713</v>
      </c>
      <c r="E162">
        <v>2.66991905427383</v>
      </c>
      <c r="F162">
        <v>-2.3139624241295889</v>
      </c>
      <c r="K162">
        <v>0.71053418806234436</v>
      </c>
    </row>
    <row r="163" spans="1:11" x14ac:dyDescent="0.25">
      <c r="A163" t="s">
        <v>162</v>
      </c>
      <c r="B163">
        <v>-1.314181530845129</v>
      </c>
      <c r="C163">
        <v>0.29801539868561261</v>
      </c>
      <c r="D163">
        <v>0.82916777247217621</v>
      </c>
      <c r="E163">
        <v>1.2782870548127669</v>
      </c>
      <c r="F163">
        <v>-0.83743489953821904</v>
      </c>
      <c r="K163">
        <v>2.4730504233000001E-5</v>
      </c>
    </row>
    <row r="164" spans="1:11" x14ac:dyDescent="0.25">
      <c r="A164" t="s">
        <v>163</v>
      </c>
      <c r="B164">
        <v>0.52330533814662339</v>
      </c>
      <c r="C164">
        <v>4.4592641436927263</v>
      </c>
      <c r="D164">
        <v>-4.7069937503075936</v>
      </c>
      <c r="E164">
        <v>-1.482110793735075</v>
      </c>
      <c r="F164">
        <v>2.995719607772771</v>
      </c>
      <c r="K164">
        <v>1.1679618410512601E-2</v>
      </c>
    </row>
    <row r="165" spans="1:11" x14ac:dyDescent="0.25">
      <c r="A165" t="s">
        <v>164</v>
      </c>
      <c r="B165">
        <v>-1.230157576539584</v>
      </c>
      <c r="C165">
        <v>3.2209295792421262</v>
      </c>
      <c r="D165">
        <v>5.093523883755581</v>
      </c>
      <c r="E165">
        <v>-3.8774023670226239</v>
      </c>
      <c r="F165">
        <v>3.7742479030274509</v>
      </c>
      <c r="K165">
        <v>0.99475080767461654</v>
      </c>
    </row>
    <row r="166" spans="1:11" x14ac:dyDescent="0.25">
      <c r="A166" t="s">
        <v>165</v>
      </c>
      <c r="B166">
        <v>-0.85086947748365627</v>
      </c>
      <c r="C166">
        <v>0.74255296748784294</v>
      </c>
      <c r="D166">
        <v>0.85699705907605872</v>
      </c>
      <c r="E166">
        <v>-0.737876913349093</v>
      </c>
      <c r="F166">
        <v>0.36728143234952731</v>
      </c>
      <c r="K166">
        <v>7.1448492868799997E-5</v>
      </c>
    </row>
    <row r="167" spans="1:11" x14ac:dyDescent="0.25">
      <c r="A167" t="s">
        <v>166</v>
      </c>
      <c r="B167">
        <v>-1.3718464661703731</v>
      </c>
      <c r="C167">
        <v>1.154909129616156</v>
      </c>
      <c r="D167">
        <v>0.65654487742231216</v>
      </c>
      <c r="E167">
        <v>2.0883794437564629</v>
      </c>
      <c r="F167">
        <v>-2.134654388387986</v>
      </c>
      <c r="K167">
        <v>0.1236564146965753</v>
      </c>
    </row>
    <row r="168" spans="1:11" x14ac:dyDescent="0.25">
      <c r="A168" t="s">
        <v>167</v>
      </c>
      <c r="B168">
        <v>-1.4786693237902371</v>
      </c>
      <c r="C168">
        <v>0.89857853003994292</v>
      </c>
      <c r="D168">
        <v>0.9357457300375519</v>
      </c>
      <c r="E168">
        <v>-0.61882469274617713</v>
      </c>
      <c r="F168">
        <v>-0.59746085434535823</v>
      </c>
      <c r="K168">
        <v>6.3631383465199997E-5</v>
      </c>
    </row>
    <row r="169" spans="1:11" x14ac:dyDescent="0.25">
      <c r="A169" t="s">
        <v>168</v>
      </c>
      <c r="B169">
        <v>-2.565065589834858</v>
      </c>
      <c r="C169">
        <v>1.6185719252303581</v>
      </c>
      <c r="D169">
        <v>3.244641604735667</v>
      </c>
      <c r="E169">
        <v>-2.3311287485830401</v>
      </c>
      <c r="F169">
        <v>-0.88040737090959698</v>
      </c>
      <c r="K169">
        <v>3.3405438549079999E-3</v>
      </c>
    </row>
    <row r="170" spans="1:11" x14ac:dyDescent="0.25">
      <c r="A170" t="s">
        <v>169</v>
      </c>
      <c r="B170">
        <v>-0.52225365610487562</v>
      </c>
      <c r="C170">
        <v>0.37818812778683109</v>
      </c>
      <c r="D170">
        <v>0.89159553993506047</v>
      </c>
      <c r="E170">
        <v>-0.79053551664904242</v>
      </c>
      <c r="F170">
        <v>0.41296880125981672</v>
      </c>
      <c r="K170">
        <v>1.21432621052E-5</v>
      </c>
    </row>
    <row r="171" spans="1:11" x14ac:dyDescent="0.25">
      <c r="A171" t="s">
        <v>170</v>
      </c>
      <c r="B171">
        <v>-1.7692852420270151</v>
      </c>
      <c r="C171">
        <v>1.2764171565631519</v>
      </c>
      <c r="D171">
        <v>2.904631908003374</v>
      </c>
      <c r="E171">
        <v>-1.335067978767539</v>
      </c>
      <c r="F171">
        <v>-1.2235526418538161</v>
      </c>
      <c r="K171">
        <v>4.4787492404797499E-2</v>
      </c>
    </row>
    <row r="172" spans="1:11" x14ac:dyDescent="0.25">
      <c r="A172" t="s">
        <v>171</v>
      </c>
      <c r="B172">
        <v>-1.918681058644661</v>
      </c>
      <c r="C172">
        <v>3.020799034709023</v>
      </c>
      <c r="D172">
        <v>-1.761794199652803</v>
      </c>
      <c r="E172">
        <v>2.804497198598209</v>
      </c>
      <c r="F172">
        <v>-2.446767602336235</v>
      </c>
      <c r="K172">
        <v>0.59400519878475677</v>
      </c>
    </row>
    <row r="173" spans="1:11" x14ac:dyDescent="0.25">
      <c r="A173" t="s">
        <v>172</v>
      </c>
      <c r="B173">
        <v>-1.313302002095166</v>
      </c>
      <c r="C173">
        <v>0.2940571558081761</v>
      </c>
      <c r="D173">
        <v>0.83833801427294929</v>
      </c>
      <c r="E173">
        <v>1.315660133700143</v>
      </c>
      <c r="F173">
        <v>-0.87231836588905975</v>
      </c>
      <c r="K173">
        <v>1.09876795111E-5</v>
      </c>
    </row>
    <row r="174" spans="1:11" x14ac:dyDescent="0.25">
      <c r="A174" t="s">
        <v>173</v>
      </c>
      <c r="B174">
        <v>18.912184941115591</v>
      </c>
      <c r="C174">
        <v>-18.509010281822849</v>
      </c>
      <c r="D174">
        <v>0.85794639214551882</v>
      </c>
      <c r="E174">
        <v>-1.191665179432138</v>
      </c>
      <c r="F174">
        <v>1.1752689403066521</v>
      </c>
      <c r="K174">
        <v>1.6320279231323499E-2</v>
      </c>
    </row>
    <row r="175" spans="1:11" x14ac:dyDescent="0.25">
      <c r="A175" t="s">
        <v>174</v>
      </c>
      <c r="B175">
        <v>20.746791336476111</v>
      </c>
      <c r="C175">
        <v>-20.132993299082141</v>
      </c>
      <c r="D175">
        <v>-0.66805037085067054</v>
      </c>
      <c r="E175">
        <v>-0.49956667808464239</v>
      </c>
      <c r="F175">
        <v>1.024302862461036</v>
      </c>
      <c r="K175">
        <v>0.15156458499999639</v>
      </c>
    </row>
    <row r="176" spans="1:11" x14ac:dyDescent="0.25">
      <c r="A176" t="s">
        <v>175</v>
      </c>
      <c r="B176">
        <v>7.4991849599810187</v>
      </c>
      <c r="C176">
        <v>-9.1898338969685192</v>
      </c>
      <c r="D176">
        <v>1.1031614861575401</v>
      </c>
      <c r="E176">
        <v>0.2164027518403604</v>
      </c>
      <c r="F176">
        <v>-0.80195417997537022</v>
      </c>
      <c r="K176">
        <v>3.7626239789799997E-5</v>
      </c>
    </row>
    <row r="177" spans="1:11" x14ac:dyDescent="0.25">
      <c r="A177" t="s">
        <v>176</v>
      </c>
      <c r="B177">
        <v>0.40432408376870299</v>
      </c>
      <c r="C177">
        <v>5.1019896156935571</v>
      </c>
      <c r="D177">
        <v>-2.985885500936432</v>
      </c>
      <c r="E177">
        <v>-1.746592302920422</v>
      </c>
      <c r="F177">
        <v>0.75698431186650572</v>
      </c>
      <c r="K177">
        <v>3.8073010953000001E-5</v>
      </c>
    </row>
    <row r="178" spans="1:11" x14ac:dyDescent="0.25">
      <c r="A178" t="s">
        <v>177</v>
      </c>
      <c r="B178">
        <v>-1.0746015357370651</v>
      </c>
      <c r="C178">
        <v>0.92380916294303084</v>
      </c>
      <c r="D178">
        <v>-2.7647749926003402</v>
      </c>
      <c r="E178">
        <v>2.3822380094082889</v>
      </c>
      <c r="F178">
        <v>1.7925597212132709</v>
      </c>
      <c r="K178">
        <v>2.5756471772925E-3</v>
      </c>
    </row>
    <row r="179" spans="1:11" x14ac:dyDescent="0.25">
      <c r="A179" t="s">
        <v>178</v>
      </c>
      <c r="B179">
        <v>0.44591152788826499</v>
      </c>
      <c r="C179">
        <v>-0.17430445524466981</v>
      </c>
      <c r="D179">
        <v>3.2738891227156119</v>
      </c>
      <c r="E179">
        <v>-2.1144604834733491</v>
      </c>
      <c r="F179">
        <v>-0.87793687007851928</v>
      </c>
      <c r="K179">
        <v>7.9275217234500007E-6</v>
      </c>
    </row>
    <row r="180" spans="1:11" x14ac:dyDescent="0.25">
      <c r="A180" t="s">
        <v>179</v>
      </c>
      <c r="B180">
        <v>-1.647159436597311</v>
      </c>
      <c r="C180">
        <v>1.0699701661494689</v>
      </c>
      <c r="D180">
        <v>-4.1115075869756863</v>
      </c>
      <c r="E180">
        <v>3.64343463355564</v>
      </c>
      <c r="F180">
        <v>2.131185271553715</v>
      </c>
      <c r="K180">
        <v>0.1192093376137723</v>
      </c>
    </row>
    <row r="181" spans="1:11" x14ac:dyDescent="0.25">
      <c r="A181" t="s">
        <v>180</v>
      </c>
      <c r="B181">
        <v>-0.54304986915210407</v>
      </c>
      <c r="C181">
        <v>0.74927552702456557</v>
      </c>
      <c r="D181">
        <v>-3.5224701299306789</v>
      </c>
      <c r="E181">
        <v>2.6187400816620872</v>
      </c>
      <c r="F181">
        <v>2.1117225194600961</v>
      </c>
      <c r="K181">
        <v>1.9303566650573201E-2</v>
      </c>
    </row>
    <row r="182" spans="1:11" x14ac:dyDescent="0.25">
      <c r="A182" t="s">
        <v>181</v>
      </c>
      <c r="B182">
        <v>0.38399781083545509</v>
      </c>
      <c r="C182">
        <v>-0.40144560325374118</v>
      </c>
      <c r="D182">
        <v>3.4920994888825811</v>
      </c>
      <c r="E182">
        <v>-2.2357875576001041</v>
      </c>
      <c r="F182">
        <v>-0.98078101827537822</v>
      </c>
      <c r="K182">
        <v>1.7352416726700002E-5</v>
      </c>
    </row>
    <row r="183" spans="1:11" x14ac:dyDescent="0.25">
      <c r="A183" t="s">
        <v>182</v>
      </c>
      <c r="B183">
        <v>-0.66947304971669863</v>
      </c>
      <c r="C183">
        <v>-2.5207516911321681</v>
      </c>
      <c r="D183">
        <v>3.394476573222347</v>
      </c>
      <c r="E183">
        <v>0.83039937125380758</v>
      </c>
      <c r="F183">
        <v>1.453199908561891</v>
      </c>
      <c r="K183">
        <v>6.7606023925319996E-4</v>
      </c>
    </row>
    <row r="184" spans="1:11" x14ac:dyDescent="0.25">
      <c r="A184" t="s">
        <v>183</v>
      </c>
      <c r="B184">
        <v>-0.69496277273346541</v>
      </c>
      <c r="C184">
        <v>-2.766018333355249</v>
      </c>
      <c r="D184">
        <v>2.1842992416137741</v>
      </c>
      <c r="E184">
        <v>0.42117799589854737</v>
      </c>
      <c r="F184">
        <v>-0.44858565854895072</v>
      </c>
      <c r="K184">
        <v>2.6666245474025501E-2</v>
      </c>
    </row>
    <row r="185" spans="1:11" x14ac:dyDescent="0.25">
      <c r="A185" t="s">
        <v>184</v>
      </c>
      <c r="B185">
        <v>-0.3256959593048952</v>
      </c>
      <c r="C185">
        <v>-1.617616413483038</v>
      </c>
      <c r="D185">
        <v>3.4238420025469019</v>
      </c>
      <c r="E185">
        <v>-3.601884332604151</v>
      </c>
      <c r="F185">
        <v>-2.2086709541321712</v>
      </c>
      <c r="K185">
        <v>0.21869162198824671</v>
      </c>
    </row>
    <row r="186" spans="1:11" x14ac:dyDescent="0.25">
      <c r="A186" t="s">
        <v>185</v>
      </c>
      <c r="B186">
        <v>0.38227087724366282</v>
      </c>
      <c r="C186">
        <v>-0.36180417096737622</v>
      </c>
      <c r="D186">
        <v>3.4179779939843891</v>
      </c>
      <c r="E186">
        <v>-2.192519144426976</v>
      </c>
      <c r="F186">
        <v>-0.9458122759713109</v>
      </c>
      <c r="K186">
        <v>1.28463376849E-5</v>
      </c>
    </row>
    <row r="187" spans="1:11" x14ac:dyDescent="0.25">
      <c r="A187" t="s">
        <v>186</v>
      </c>
      <c r="B187">
        <v>-0.78908057931000219</v>
      </c>
      <c r="C187">
        <v>-2.7815388694242018</v>
      </c>
      <c r="D187">
        <v>3.794853764716442</v>
      </c>
      <c r="E187">
        <v>0.90200703201159427</v>
      </c>
      <c r="F187">
        <v>1.6799206824700641</v>
      </c>
      <c r="K187">
        <v>9.1787062024310004E-4</v>
      </c>
    </row>
    <row r="188" spans="1:11" x14ac:dyDescent="0.25">
      <c r="A188" t="s">
        <v>187</v>
      </c>
      <c r="B188">
        <v>-0.56131436328926654</v>
      </c>
      <c r="C188">
        <v>-2.1767192784633891</v>
      </c>
      <c r="D188">
        <v>1.6162245691090691</v>
      </c>
      <c r="E188">
        <v>0.41016260899647689</v>
      </c>
      <c r="F188">
        <v>-0.54034312499835446</v>
      </c>
      <c r="K188">
        <v>8.9650484576920002E-4</v>
      </c>
    </row>
    <row r="189" spans="1:11" x14ac:dyDescent="0.25">
      <c r="A189" t="s">
        <v>188</v>
      </c>
      <c r="B189">
        <v>-0.82656768022666316</v>
      </c>
      <c r="C189">
        <v>-3.0122871812929559</v>
      </c>
      <c r="D189">
        <v>2.426093601543331</v>
      </c>
      <c r="E189">
        <v>0.46387424450620168</v>
      </c>
      <c r="F189">
        <v>-0.39771352724683068</v>
      </c>
      <c r="K189">
        <v>4.7834939234529202E-2</v>
      </c>
    </row>
    <row r="190" spans="1:11" x14ac:dyDescent="0.25">
      <c r="A190" t="s">
        <v>189</v>
      </c>
      <c r="B190">
        <v>-0.35021671956357597</v>
      </c>
      <c r="C190">
        <v>-1.632047850432462</v>
      </c>
      <c r="D190">
        <v>3.486335274539607</v>
      </c>
      <c r="E190">
        <v>-3.6412835687649689</v>
      </c>
      <c r="F190">
        <v>-2.2278169207116192</v>
      </c>
      <c r="K190">
        <v>0.181922126752776</v>
      </c>
    </row>
    <row r="191" spans="1:11" x14ac:dyDescent="0.25">
      <c r="A191" t="s">
        <v>190</v>
      </c>
      <c r="B191">
        <v>0.69997704617930734</v>
      </c>
      <c r="C191">
        <v>26.31548105742166</v>
      </c>
      <c r="D191">
        <v>-25.779465071570531</v>
      </c>
      <c r="E191">
        <v>-1.428937970531853</v>
      </c>
      <c r="F191">
        <v>-1.1750103142612449</v>
      </c>
      <c r="K191">
        <v>7.0295901412700004E-6</v>
      </c>
    </row>
    <row r="192" spans="1:11" x14ac:dyDescent="0.25">
      <c r="A192" t="s">
        <v>191</v>
      </c>
      <c r="B192">
        <v>-0.3210828713360363</v>
      </c>
      <c r="C192">
        <v>-0.4935351141309513</v>
      </c>
      <c r="D192">
        <v>-0.38119056944372548</v>
      </c>
      <c r="E192">
        <v>0.74407311756170158</v>
      </c>
      <c r="F192">
        <v>-0.66555552148008501</v>
      </c>
      <c r="K192">
        <v>2.3986148020500003E-7</v>
      </c>
    </row>
    <row r="193" spans="1:11" x14ac:dyDescent="0.25">
      <c r="A193" t="s">
        <v>192</v>
      </c>
      <c r="B193">
        <v>-0.22028835980440151</v>
      </c>
      <c r="C193">
        <v>-1.2614976787087091</v>
      </c>
      <c r="D193">
        <v>1.047717254687347</v>
      </c>
      <c r="E193">
        <v>1.263213424367126</v>
      </c>
      <c r="F193">
        <v>-0.83184514025490408</v>
      </c>
      <c r="K193">
        <v>7.1838737410300003E-5</v>
      </c>
    </row>
    <row r="194" spans="1:11" x14ac:dyDescent="0.25">
      <c r="A194" t="s">
        <v>193</v>
      </c>
      <c r="B194">
        <v>-0.32498460625003578</v>
      </c>
      <c r="C194">
        <v>-0.44977758166415921</v>
      </c>
      <c r="D194">
        <v>-0.37496577520051239</v>
      </c>
      <c r="E194">
        <v>0.74592684108802298</v>
      </c>
      <c r="F194">
        <v>-0.64157280465069721</v>
      </c>
      <c r="K194">
        <v>1.9548191927399999E-7</v>
      </c>
    </row>
    <row r="195" spans="1:11" x14ac:dyDescent="0.25">
      <c r="A195" t="s">
        <v>194</v>
      </c>
      <c r="B195">
        <v>-0.226796097028063</v>
      </c>
      <c r="C195">
        <v>-1.2579487408088981</v>
      </c>
      <c r="D195">
        <v>1.0504531391253411</v>
      </c>
      <c r="E195">
        <v>1.293679305790534</v>
      </c>
      <c r="F195">
        <v>-0.85884380615696965</v>
      </c>
      <c r="K195">
        <v>3.7896936764799998E-5</v>
      </c>
    </row>
    <row r="196" spans="1:11" x14ac:dyDescent="0.25">
      <c r="A196" t="s">
        <v>195</v>
      </c>
      <c r="B196">
        <v>-0.21846356593999841</v>
      </c>
      <c r="C196">
        <v>-0.742864723872948</v>
      </c>
      <c r="D196">
        <v>0.47595290836145288</v>
      </c>
      <c r="E196">
        <v>1.510833123067751</v>
      </c>
      <c r="F196">
        <v>-1.0544510904366931</v>
      </c>
      <c r="K196">
        <v>1.31317039186E-6</v>
      </c>
    </row>
    <row r="197" spans="1:11" x14ac:dyDescent="0.25">
      <c r="A197" t="s">
        <v>196</v>
      </c>
      <c r="B197">
        <v>-0.3651844446506512</v>
      </c>
      <c r="C197">
        <v>12.424251464652709</v>
      </c>
      <c r="D197">
        <v>-12.75036912430928</v>
      </c>
      <c r="E197">
        <v>0.24780654546329139</v>
      </c>
      <c r="F197">
        <v>-0.30321797599689571</v>
      </c>
      <c r="K197">
        <v>1.9776983837600002E-6</v>
      </c>
    </row>
    <row r="198" spans="1:11" x14ac:dyDescent="0.25">
      <c r="A198" t="s">
        <v>197</v>
      </c>
      <c r="B198">
        <v>-0.29442642451244139</v>
      </c>
      <c r="C198">
        <v>12.68943907956327</v>
      </c>
      <c r="D198">
        <v>-13.61288201093253</v>
      </c>
      <c r="E198">
        <v>0.86684169283519763</v>
      </c>
      <c r="F198">
        <v>0.336475420527238</v>
      </c>
      <c r="K198">
        <v>1.64834518487E-6</v>
      </c>
    </row>
    <row r="199" spans="1:11" x14ac:dyDescent="0.25">
      <c r="A199" t="s">
        <v>198</v>
      </c>
      <c r="B199">
        <v>-0.29362952084744931</v>
      </c>
      <c r="C199">
        <v>10.819041990365619</v>
      </c>
      <c r="D199">
        <v>-11.68466541893212</v>
      </c>
      <c r="E199">
        <v>0.7396905374671805</v>
      </c>
      <c r="F199">
        <v>0.42079913798740809</v>
      </c>
      <c r="K199">
        <v>2.2661897113400001E-5</v>
      </c>
    </row>
    <row r="200" spans="1:11" x14ac:dyDescent="0.25">
      <c r="A200" t="s">
        <v>199</v>
      </c>
      <c r="B200">
        <v>-0.29761448920918471</v>
      </c>
      <c r="C200">
        <v>19.24097182432914</v>
      </c>
      <c r="D200">
        <v>-17.273428106944468</v>
      </c>
      <c r="E200">
        <v>-1.441613044660349</v>
      </c>
      <c r="F200">
        <v>0.97473043142389093</v>
      </c>
      <c r="K200">
        <v>4.4421198278181001E-3</v>
      </c>
    </row>
    <row r="201" spans="1:11" x14ac:dyDescent="0.25">
      <c r="A201" t="s">
        <v>200</v>
      </c>
      <c r="B201">
        <v>-0.21056625555372929</v>
      </c>
      <c r="C201">
        <v>15.38604038199656</v>
      </c>
      <c r="D201">
        <v>-16.063023290595851</v>
      </c>
      <c r="E201">
        <v>0.58064299903976202</v>
      </c>
      <c r="F201">
        <v>0.44452450925352932</v>
      </c>
      <c r="K201">
        <v>1.2767378768299999E-6</v>
      </c>
    </row>
    <row r="202" spans="1:11" x14ac:dyDescent="0.25">
      <c r="A202" t="s">
        <v>201</v>
      </c>
      <c r="B202">
        <v>-0.35589037691617131</v>
      </c>
      <c r="C202">
        <v>0.26900665063420243</v>
      </c>
      <c r="D202">
        <v>-0.54624353437185724</v>
      </c>
      <c r="E202">
        <v>0.23736051282008849</v>
      </c>
      <c r="F202">
        <v>-0.75844175682866677</v>
      </c>
      <c r="K202">
        <v>1.1132363991799999E-11</v>
      </c>
    </row>
    <row r="203" spans="1:11" x14ac:dyDescent="0.25">
      <c r="A203" t="s">
        <v>202</v>
      </c>
      <c r="B203">
        <v>-0.2073374234554646</v>
      </c>
      <c r="C203">
        <v>-0.15493096688918109</v>
      </c>
      <c r="D203">
        <v>-2.129558717166868</v>
      </c>
      <c r="E203">
        <v>2.1383028376487898</v>
      </c>
      <c r="F203">
        <v>0.33078600768801142</v>
      </c>
      <c r="K203">
        <v>6.4869350273200004E-8</v>
      </c>
    </row>
    <row r="204" spans="1:11" x14ac:dyDescent="0.25">
      <c r="A204" t="s">
        <v>203</v>
      </c>
      <c r="B204">
        <v>-0.29986893342972032</v>
      </c>
      <c r="C204">
        <v>0.4384132215696982</v>
      </c>
      <c r="D204">
        <v>-0.85923499874418363</v>
      </c>
      <c r="E204">
        <v>-0.123368085436798</v>
      </c>
      <c r="F204">
        <v>-1.3763547990117251</v>
      </c>
      <c r="K204">
        <v>2.1726299018199999E-10</v>
      </c>
    </row>
    <row r="205" spans="1:11" x14ac:dyDescent="0.25">
      <c r="A205" t="s">
        <v>204</v>
      </c>
      <c r="B205">
        <v>-0.36601392850538977</v>
      </c>
      <c r="C205">
        <v>0.23808534790463409</v>
      </c>
      <c r="D205">
        <v>-0.46179185202300099</v>
      </c>
      <c r="E205">
        <v>0.27839111885906498</v>
      </c>
      <c r="F205">
        <v>-0.64790136409397481</v>
      </c>
      <c r="K205">
        <v>5.3836842988599997E-12</v>
      </c>
    </row>
    <row r="206" spans="1:11" x14ac:dyDescent="0.25">
      <c r="A206" t="s">
        <v>205</v>
      </c>
      <c r="B206">
        <v>-0.20452923656719349</v>
      </c>
      <c r="C206">
        <v>-0.16956394089530749</v>
      </c>
      <c r="D206">
        <v>-2.23856565446957</v>
      </c>
      <c r="E206">
        <v>2.248730463206472</v>
      </c>
      <c r="F206">
        <v>0.33652247781244449</v>
      </c>
      <c r="K206">
        <v>4.1990830130600001E-8</v>
      </c>
    </row>
    <row r="207" spans="1:11" x14ac:dyDescent="0.25">
      <c r="A207" t="s">
        <v>206</v>
      </c>
      <c r="B207">
        <v>-0.30816101375667782</v>
      </c>
      <c r="C207">
        <v>0.3855270593401629</v>
      </c>
      <c r="D207">
        <v>14.74710310560577</v>
      </c>
      <c r="E207">
        <v>-15.34892499247759</v>
      </c>
      <c r="F207">
        <v>-0.86401309590608633</v>
      </c>
      <c r="K207">
        <v>1.0930502665500001E-6</v>
      </c>
    </row>
    <row r="208" spans="1:11" x14ac:dyDescent="0.25">
      <c r="A208" t="s">
        <v>207</v>
      </c>
      <c r="B208">
        <v>-0.3185171914108812</v>
      </c>
      <c r="C208">
        <v>3.641493723943948</v>
      </c>
      <c r="D208">
        <v>-5.8697723094137357</v>
      </c>
      <c r="E208">
        <v>-0.2066092373379427</v>
      </c>
      <c r="F208">
        <v>-3.061758624171889</v>
      </c>
      <c r="K208">
        <v>4.6573912410508003E-3</v>
      </c>
    </row>
    <row r="209" spans="1:11" x14ac:dyDescent="0.25">
      <c r="A209" t="s">
        <v>208</v>
      </c>
      <c r="B209">
        <v>-0.33234434611362329</v>
      </c>
      <c r="C209">
        <v>-0.47650114333351101</v>
      </c>
      <c r="D209">
        <v>-0.47477862085723521</v>
      </c>
      <c r="E209">
        <v>0.82563746889410305</v>
      </c>
      <c r="F209">
        <v>-0.64816884854867596</v>
      </c>
      <c r="K209">
        <v>1.5576972827400001E-7</v>
      </c>
    </row>
    <row r="210" spans="1:11" x14ac:dyDescent="0.25">
      <c r="A210" t="s">
        <v>209</v>
      </c>
      <c r="B210">
        <v>-0.30115455794488472</v>
      </c>
      <c r="C210">
        <v>-1.1879013391088831</v>
      </c>
      <c r="D210">
        <v>0.92306506274103473</v>
      </c>
      <c r="E210">
        <v>1.460302149974223</v>
      </c>
      <c r="F210">
        <v>-1.050283281674675</v>
      </c>
      <c r="K210">
        <v>9.8233851112300002E-5</v>
      </c>
    </row>
    <row r="211" spans="1:11" x14ac:dyDescent="0.25">
      <c r="A211" t="s">
        <v>210</v>
      </c>
      <c r="B211">
        <v>-0.13034459037114249</v>
      </c>
      <c r="C211">
        <v>-1.5963612659803601</v>
      </c>
      <c r="D211">
        <v>1.370705514533108</v>
      </c>
      <c r="E211">
        <v>0.99803601867606007</v>
      </c>
      <c r="F211">
        <v>-0.48138338593977409</v>
      </c>
      <c r="K211">
        <v>6.0680025342199999E-7</v>
      </c>
    </row>
    <row r="212" spans="1:11" x14ac:dyDescent="0.25">
      <c r="A212" t="s">
        <v>211</v>
      </c>
      <c r="B212">
        <v>-0.18160417450769309</v>
      </c>
      <c r="C212">
        <v>-1.198885754051368</v>
      </c>
      <c r="D212">
        <v>2.8019523007267648</v>
      </c>
      <c r="E212">
        <v>-3.2061039141126662</v>
      </c>
      <c r="F212">
        <v>-2.173014871290885</v>
      </c>
      <c r="K212">
        <v>5.1119936947358398E-2</v>
      </c>
    </row>
    <row r="213" spans="1:11" x14ac:dyDescent="0.25">
      <c r="A213" t="s">
        <v>212</v>
      </c>
      <c r="B213">
        <v>-0.32965507883050571</v>
      </c>
      <c r="C213">
        <v>-0.43057771531613459</v>
      </c>
      <c r="D213">
        <v>-0.46575977187239109</v>
      </c>
      <c r="E213">
        <v>0.82491841008372968</v>
      </c>
      <c r="F213">
        <v>-0.62192748521430863</v>
      </c>
      <c r="K213">
        <v>1.3369054894200001E-7</v>
      </c>
    </row>
    <row r="214" spans="1:11" x14ac:dyDescent="0.25">
      <c r="A214" t="s">
        <v>213</v>
      </c>
      <c r="B214">
        <v>-0.30595000715762671</v>
      </c>
      <c r="C214">
        <v>-1.1765287948267791</v>
      </c>
      <c r="D214">
        <v>0.91943299136379553</v>
      </c>
      <c r="E214">
        <v>1.4961660351506749</v>
      </c>
      <c r="F214">
        <v>-1.084184493698223</v>
      </c>
      <c r="K214">
        <v>5.57653612062E-5</v>
      </c>
    </row>
    <row r="215" spans="1:11" x14ac:dyDescent="0.25">
      <c r="A215" t="s">
        <v>214</v>
      </c>
      <c r="B215">
        <v>-0.1302526230284401</v>
      </c>
      <c r="C215">
        <v>-1.620796447107536</v>
      </c>
      <c r="D215">
        <v>1.3964588665625099</v>
      </c>
      <c r="E215">
        <v>0.99696815751241563</v>
      </c>
      <c r="F215">
        <v>-0.46937517033625192</v>
      </c>
      <c r="K215">
        <v>1.8416371428300001E-7</v>
      </c>
    </row>
    <row r="216" spans="1:11" x14ac:dyDescent="0.25">
      <c r="A216" t="s">
        <v>215</v>
      </c>
      <c r="B216">
        <v>-0.33826373104040908</v>
      </c>
      <c r="C216">
        <v>-0.77826284388579858</v>
      </c>
      <c r="D216">
        <v>0.47679028278308933</v>
      </c>
      <c r="E216">
        <v>1.64424595046053</v>
      </c>
      <c r="F216">
        <v>-1.2150236786354811</v>
      </c>
      <c r="K216">
        <v>6.5630473125399998E-6</v>
      </c>
    </row>
    <row r="217" spans="1:11" x14ac:dyDescent="0.25">
      <c r="A217" t="s">
        <v>216</v>
      </c>
      <c r="B217">
        <v>-0.18638744730491069</v>
      </c>
      <c r="C217">
        <v>-1.146882119403777</v>
      </c>
      <c r="D217">
        <v>2.797523550534176</v>
      </c>
      <c r="E217">
        <v>-3.2383966162313298</v>
      </c>
      <c r="F217">
        <v>-2.184544407823243</v>
      </c>
      <c r="K217">
        <v>3.3703590675823902E-2</v>
      </c>
    </row>
    <row r="218" spans="1:11" x14ac:dyDescent="0.25">
      <c r="A218" t="s">
        <v>217</v>
      </c>
      <c r="B218">
        <v>-0.21718196120257161</v>
      </c>
      <c r="C218">
        <v>13.2854641292755</v>
      </c>
      <c r="D218">
        <v>-14.22649310606487</v>
      </c>
      <c r="E218">
        <v>0.85295000047877378</v>
      </c>
      <c r="F218">
        <v>0.28316173908976922</v>
      </c>
      <c r="K218">
        <v>5.78980275086E-7</v>
      </c>
    </row>
    <row r="219" spans="1:11" x14ac:dyDescent="0.25">
      <c r="A219" t="s">
        <v>218</v>
      </c>
      <c r="B219">
        <v>-0.22471626421998861</v>
      </c>
      <c r="C219">
        <v>12.16349492471814</v>
      </c>
      <c r="D219">
        <v>-13.01561225158153</v>
      </c>
      <c r="E219">
        <v>0.69676607143448788</v>
      </c>
      <c r="F219">
        <v>0.38798166522105432</v>
      </c>
      <c r="K219">
        <v>4.4715444464299996E-6</v>
      </c>
    </row>
    <row r="220" spans="1:11" x14ac:dyDescent="0.25">
      <c r="A220" t="s">
        <v>219</v>
      </c>
      <c r="B220">
        <v>-0.34798271746845127</v>
      </c>
      <c r="C220">
        <v>21.45001566182021</v>
      </c>
      <c r="D220">
        <v>-19.594839860912909</v>
      </c>
      <c r="E220">
        <v>-1.4120829483219861</v>
      </c>
      <c r="F220">
        <v>0.96270964742218934</v>
      </c>
      <c r="K220">
        <v>1.0610917388488799E-2</v>
      </c>
    </row>
    <row r="221" spans="1:11" x14ac:dyDescent="0.25">
      <c r="A221" t="s">
        <v>220</v>
      </c>
      <c r="B221">
        <v>-0.18776117001705789</v>
      </c>
      <c r="C221">
        <v>15.254638508735519</v>
      </c>
      <c r="D221">
        <v>-16.004168666710701</v>
      </c>
      <c r="E221">
        <v>0.64076170868967397</v>
      </c>
      <c r="F221">
        <v>0.42571857790088502</v>
      </c>
      <c r="K221">
        <v>1.51654012274E-6</v>
      </c>
    </row>
    <row r="222" spans="1:11" x14ac:dyDescent="0.25">
      <c r="A222" t="s">
        <v>221</v>
      </c>
      <c r="B222">
        <v>-0.26352621856175151</v>
      </c>
      <c r="C222">
        <v>0.26646033719703749</v>
      </c>
      <c r="D222">
        <v>-0.5030408861685185</v>
      </c>
      <c r="E222">
        <v>0.2095558873415504</v>
      </c>
      <c r="F222">
        <v>-0.69333133220178034</v>
      </c>
      <c r="K222">
        <v>2.48627410436E-12</v>
      </c>
    </row>
    <row r="223" spans="1:11" x14ac:dyDescent="0.25">
      <c r="A223" t="s">
        <v>222</v>
      </c>
      <c r="B223">
        <v>-0.1747957962553722</v>
      </c>
      <c r="C223">
        <v>-0.14978948427880079</v>
      </c>
      <c r="D223">
        <v>-2.14351925921645</v>
      </c>
      <c r="E223">
        <v>2.1396367599091479</v>
      </c>
      <c r="F223">
        <v>0.29951515618829222</v>
      </c>
      <c r="K223">
        <v>6.7369039361200003E-8</v>
      </c>
    </row>
    <row r="224" spans="1:11" x14ac:dyDescent="0.25">
      <c r="A224" t="s">
        <v>223</v>
      </c>
      <c r="B224">
        <v>-0.2507605824395559</v>
      </c>
      <c r="C224">
        <v>-0.41413789794492378</v>
      </c>
      <c r="D224">
        <v>-1.862732377531974</v>
      </c>
      <c r="E224">
        <v>0.58870366635695481</v>
      </c>
      <c r="F224">
        <v>1.146632661541497</v>
      </c>
      <c r="K224">
        <v>1.76485099974E-6</v>
      </c>
    </row>
    <row r="225" spans="1:11" x14ac:dyDescent="0.25">
      <c r="A225" t="s">
        <v>224</v>
      </c>
      <c r="B225">
        <v>-0.28115475483808561</v>
      </c>
      <c r="C225">
        <v>0.42188790658023267</v>
      </c>
      <c r="D225">
        <v>-0.83527021687088054</v>
      </c>
      <c r="E225">
        <v>-0.18043380703538039</v>
      </c>
      <c r="F225">
        <v>-1.3234668034761301</v>
      </c>
      <c r="K225">
        <v>2.14661103786E-10</v>
      </c>
    </row>
    <row r="226" spans="1:11" x14ac:dyDescent="0.25">
      <c r="A226" t="s">
        <v>225</v>
      </c>
      <c r="B226">
        <v>-0.2656555433508837</v>
      </c>
      <c r="C226">
        <v>0.2367008071635138</v>
      </c>
      <c r="D226">
        <v>-0.41064955729018843</v>
      </c>
      <c r="E226">
        <v>0.25378356715524569</v>
      </c>
      <c r="F226">
        <v>-0.57525453266456483</v>
      </c>
      <c r="K226">
        <v>1.3405363801599999E-12</v>
      </c>
    </row>
    <row r="227" spans="1:11" x14ac:dyDescent="0.25">
      <c r="A227" t="s">
        <v>226</v>
      </c>
      <c r="B227">
        <v>-0.17246163874985501</v>
      </c>
      <c r="C227">
        <v>-0.16494401755600421</v>
      </c>
      <c r="D227">
        <v>-2.258465446969486</v>
      </c>
      <c r="E227">
        <v>2.2558303394594148</v>
      </c>
      <c r="F227">
        <v>0.30491005230456802</v>
      </c>
      <c r="K227">
        <v>4.6223990061199998E-8</v>
      </c>
    </row>
    <row r="228" spans="1:11" x14ac:dyDescent="0.25">
      <c r="A228" t="s">
        <v>227</v>
      </c>
      <c r="B228">
        <v>-0.21607312278012031</v>
      </c>
      <c r="C228">
        <v>-0.66037619758483312</v>
      </c>
      <c r="D228">
        <v>-1.6771730843449231</v>
      </c>
      <c r="E228">
        <v>1.4141915815403989</v>
      </c>
      <c r="F228">
        <v>0.5862119769804871</v>
      </c>
      <c r="K228">
        <v>0.19526767279405</v>
      </c>
    </row>
    <row r="229" spans="1:11" x14ac:dyDescent="0.25">
      <c r="A229" t="s">
        <v>228</v>
      </c>
      <c r="B229">
        <v>-0.14518788107389591</v>
      </c>
      <c r="C229">
        <v>-0.75033321889678195</v>
      </c>
      <c r="D229">
        <v>-2.3462778624012528</v>
      </c>
      <c r="E229">
        <v>1.975914077150009</v>
      </c>
      <c r="F229">
        <v>0.56830766803402644</v>
      </c>
      <c r="K229">
        <v>1.25797284740293E-2</v>
      </c>
    </row>
    <row r="230" spans="1:11" x14ac:dyDescent="0.25">
      <c r="A230" t="s">
        <v>229</v>
      </c>
      <c r="B230">
        <v>-0.25264745221129992</v>
      </c>
      <c r="C230">
        <v>-0.45225087951234988</v>
      </c>
      <c r="D230">
        <v>-1.9339681779711131</v>
      </c>
      <c r="E230">
        <v>0.64547297527558201</v>
      </c>
      <c r="F230">
        <v>1.1574700457578739</v>
      </c>
      <c r="K230">
        <v>9.5363836387199998E-7</v>
      </c>
    </row>
    <row r="231" spans="1:11" x14ac:dyDescent="0.25">
      <c r="A231" t="s">
        <v>230</v>
      </c>
      <c r="B231">
        <v>-0.249525068963697</v>
      </c>
      <c r="C231">
        <v>0.34662841087106749</v>
      </c>
      <c r="D231">
        <v>16.241385828016458</v>
      </c>
      <c r="E231">
        <v>-16.805439789044829</v>
      </c>
      <c r="F231">
        <v>-0.73447699714485759</v>
      </c>
      <c r="K231">
        <v>2.03437731514E-7</v>
      </c>
    </row>
    <row r="232" spans="1:11" x14ac:dyDescent="0.25">
      <c r="A232" t="s">
        <v>231</v>
      </c>
      <c r="B232">
        <v>-0.16482595293780769</v>
      </c>
      <c r="C232">
        <v>-0.25609906747830258</v>
      </c>
      <c r="D232">
        <v>12.385914978500891</v>
      </c>
      <c r="E232">
        <v>-12.892054720433469</v>
      </c>
      <c r="F232">
        <v>-0.45677441113319162</v>
      </c>
      <c r="K232">
        <v>4.6756149097899998E-7</v>
      </c>
    </row>
    <row r="233" spans="1:11" x14ac:dyDescent="0.25">
      <c r="A233" t="s">
        <v>232</v>
      </c>
      <c r="B233">
        <v>1.4888571638227219</v>
      </c>
      <c r="C233">
        <v>1.2815612216717329</v>
      </c>
      <c r="D233">
        <v>-1.226319649952849</v>
      </c>
      <c r="E233">
        <v>-1.3390541216748331</v>
      </c>
      <c r="F233">
        <v>0.81322525763935249</v>
      </c>
      <c r="G233">
        <v>-1.653542261225571</v>
      </c>
      <c r="K233">
        <v>3.4169179562299997E-5</v>
      </c>
    </row>
    <row r="234" spans="1:11" x14ac:dyDescent="0.25">
      <c r="A234" t="s">
        <v>233</v>
      </c>
      <c r="B234">
        <v>2.1295232586751691</v>
      </c>
      <c r="C234">
        <v>2.0257029654388128</v>
      </c>
      <c r="D234">
        <v>1.343202393250374</v>
      </c>
      <c r="E234">
        <v>-1.6011070173768649</v>
      </c>
      <c r="F234">
        <v>-2.642346940243816</v>
      </c>
      <c r="G234">
        <v>-1.873183257526883</v>
      </c>
      <c r="K234">
        <v>0.25494149402139399</v>
      </c>
    </row>
    <row r="235" spans="1:11" x14ac:dyDescent="0.25">
      <c r="A235" t="s">
        <v>234</v>
      </c>
      <c r="B235">
        <v>1.655651700324279</v>
      </c>
      <c r="C235">
        <v>1.689982466206116</v>
      </c>
      <c r="D235">
        <v>3.1719590508239981</v>
      </c>
      <c r="E235">
        <v>-1.974070672356133</v>
      </c>
      <c r="F235">
        <v>-1.4793565064624199</v>
      </c>
      <c r="G235">
        <v>1.5405186137800171</v>
      </c>
      <c r="K235">
        <v>0.19513326784232321</v>
      </c>
    </row>
    <row r="236" spans="1:11" x14ac:dyDescent="0.25">
      <c r="A236" t="s">
        <v>235</v>
      </c>
      <c r="B236">
        <v>-1.1344672831837139</v>
      </c>
      <c r="C236">
        <v>2.164669276126117</v>
      </c>
      <c r="D236">
        <v>3.216489173873192</v>
      </c>
      <c r="E236">
        <v>-1.1566943026028209</v>
      </c>
      <c r="F236">
        <v>-3.1425392474715532</v>
      </c>
      <c r="G236">
        <v>-4.0655531222762944</v>
      </c>
      <c r="K236">
        <v>0.26821316439900922</v>
      </c>
    </row>
    <row r="237" spans="1:11" x14ac:dyDescent="0.25">
      <c r="A237" t="s">
        <v>236</v>
      </c>
      <c r="B237">
        <v>-2.157348934664773</v>
      </c>
      <c r="C237">
        <v>1.2523222216592651</v>
      </c>
      <c r="D237">
        <v>3.6279776996200881</v>
      </c>
      <c r="E237">
        <v>-1.5794026907586161</v>
      </c>
      <c r="F237">
        <v>-2.61397835874256</v>
      </c>
      <c r="G237">
        <v>-5.4682309669090436</v>
      </c>
      <c r="K237">
        <v>0.1000450754234999</v>
      </c>
    </row>
    <row r="238" spans="1:11" x14ac:dyDescent="0.25">
      <c r="A238" t="s">
        <v>237</v>
      </c>
      <c r="B238">
        <v>0.90521508836895459</v>
      </c>
      <c r="C238">
        <v>1.912883925896667</v>
      </c>
      <c r="D238">
        <v>0.93769256122473732</v>
      </c>
      <c r="E238">
        <v>2.355440279753362</v>
      </c>
      <c r="F238">
        <v>-1.822426226626626</v>
      </c>
      <c r="G238">
        <v>-2.0336250361467298</v>
      </c>
      <c r="K238">
        <v>0.25219406014368551</v>
      </c>
    </row>
    <row r="239" spans="1:11" x14ac:dyDescent="0.25">
      <c r="A239" t="s">
        <v>238</v>
      </c>
      <c r="B239">
        <v>1.957506674704691</v>
      </c>
      <c r="C239">
        <v>3.761541070965396</v>
      </c>
      <c r="D239">
        <v>2.7609524533078562</v>
      </c>
      <c r="E239">
        <v>-3.760884080662247</v>
      </c>
      <c r="F239">
        <v>-1.278315834400336</v>
      </c>
      <c r="G239">
        <v>2.8273040203171722</v>
      </c>
      <c r="K239">
        <v>0.76150808817919846</v>
      </c>
    </row>
    <row r="240" spans="1:11" x14ac:dyDescent="0.25">
      <c r="A240" t="s">
        <v>239</v>
      </c>
      <c r="B240">
        <v>0.65166039549449772</v>
      </c>
      <c r="C240">
        <v>5.6802403728037456</v>
      </c>
      <c r="D240">
        <v>1.1873294074351499</v>
      </c>
      <c r="E240">
        <v>-5.1483644666520796</v>
      </c>
      <c r="F240">
        <v>-2.4485270721194499</v>
      </c>
      <c r="G240">
        <v>2.1302915643808591</v>
      </c>
      <c r="K240">
        <v>0.61717013705295098</v>
      </c>
    </row>
    <row r="241" spans="1:11" x14ac:dyDescent="0.25">
      <c r="A241" t="s">
        <v>240</v>
      </c>
      <c r="B241">
        <v>-1.624682952875951</v>
      </c>
      <c r="C241">
        <v>0.91410369559315874</v>
      </c>
      <c r="D241">
        <v>2.535193197587688</v>
      </c>
      <c r="E241">
        <v>-1.486258884468918</v>
      </c>
      <c r="F241">
        <v>-1.404416144913569</v>
      </c>
      <c r="G241">
        <v>-3.753943749304522</v>
      </c>
      <c r="K241">
        <v>1.0595859065982E-2</v>
      </c>
    </row>
    <row r="242" spans="1:11" x14ac:dyDescent="0.25">
      <c r="A242" t="s">
        <v>241</v>
      </c>
      <c r="B242">
        <v>0.69560084129199984</v>
      </c>
      <c r="C242">
        <v>5.0633999111455834</v>
      </c>
      <c r="D242">
        <v>-1.9854650298958021</v>
      </c>
      <c r="E242">
        <v>-3.02226651291492</v>
      </c>
      <c r="F242">
        <v>0.85379612277303985</v>
      </c>
      <c r="G242">
        <v>1.527780342721039</v>
      </c>
      <c r="K242">
        <v>1.3347587711746E-3</v>
      </c>
    </row>
    <row r="243" spans="1:11" x14ac:dyDescent="0.25">
      <c r="A243" t="s">
        <v>242</v>
      </c>
      <c r="B243">
        <v>1.1716791826616531</v>
      </c>
      <c r="C243">
        <v>2.0897555139899628</v>
      </c>
      <c r="D243">
        <v>3.530203322431575</v>
      </c>
      <c r="E243">
        <v>-2.518675388326761</v>
      </c>
      <c r="F243">
        <v>-1.782431618095883</v>
      </c>
      <c r="G243">
        <v>0.87445351246940628</v>
      </c>
      <c r="K243">
        <v>0.50267152671410242</v>
      </c>
    </row>
    <row r="244" spans="1:11" x14ac:dyDescent="0.25">
      <c r="A244" t="s">
        <v>243</v>
      </c>
      <c r="B244">
        <v>-0.86971145889789248</v>
      </c>
      <c r="C244">
        <v>1.1900160600040299</v>
      </c>
      <c r="D244">
        <v>3.2807007056581008</v>
      </c>
      <c r="E244">
        <v>-2.4206141072926992</v>
      </c>
      <c r="F244">
        <v>-1.0232768090648809</v>
      </c>
      <c r="G244">
        <v>-3.237922782348674</v>
      </c>
      <c r="K244">
        <v>3.1514243763264498E-2</v>
      </c>
    </row>
    <row r="245" spans="1:11" x14ac:dyDescent="0.25">
      <c r="A245" t="s">
        <v>244</v>
      </c>
      <c r="B245">
        <v>-0.64719500061736102</v>
      </c>
      <c r="C245">
        <v>1.9309536761814281</v>
      </c>
      <c r="D245">
        <v>2.980360552456478</v>
      </c>
      <c r="E245">
        <v>-0.94053506409399779</v>
      </c>
      <c r="F245">
        <v>-2.8130122046861392</v>
      </c>
      <c r="G245">
        <v>-3.28882646396282</v>
      </c>
      <c r="K245">
        <v>8.1796282479924098E-2</v>
      </c>
    </row>
    <row r="246" spans="1:11" x14ac:dyDescent="0.25">
      <c r="A246" t="s">
        <v>245</v>
      </c>
      <c r="B246">
        <v>-1.0839439002650539</v>
      </c>
      <c r="C246">
        <v>1.1227491613904319</v>
      </c>
      <c r="D246">
        <v>3.0832734151484091</v>
      </c>
      <c r="E246">
        <v>-1.092664332158487</v>
      </c>
      <c r="F246">
        <v>-2.196561740591815</v>
      </c>
      <c r="G246">
        <v>-3.8010123262718332</v>
      </c>
      <c r="K246">
        <v>9.0601871544223004E-3</v>
      </c>
    </row>
    <row r="247" spans="1:11" x14ac:dyDescent="0.25">
      <c r="A247" t="s">
        <v>246</v>
      </c>
      <c r="B247">
        <v>0.81170314477862626</v>
      </c>
      <c r="C247">
        <v>2.1502914008274101</v>
      </c>
      <c r="D247">
        <v>0.67197070236373047</v>
      </c>
      <c r="E247">
        <v>2.8507204443726262</v>
      </c>
      <c r="F247">
        <v>-2.265138693038558</v>
      </c>
      <c r="G247">
        <v>-2.0949185545414521</v>
      </c>
      <c r="K247">
        <v>0.48663727550552088</v>
      </c>
    </row>
    <row r="248" spans="1:11" x14ac:dyDescent="0.25">
      <c r="A248" t="s">
        <v>247</v>
      </c>
      <c r="B248">
        <v>1.058440350411739</v>
      </c>
      <c r="C248">
        <v>3.2405584181098939</v>
      </c>
      <c r="D248">
        <v>2.4750668577976258</v>
      </c>
      <c r="E248">
        <v>-3.30235845230388</v>
      </c>
      <c r="F248">
        <v>-1.2375822724402219</v>
      </c>
      <c r="G248">
        <v>1.591873501980986</v>
      </c>
      <c r="K248">
        <v>0.41291969695462732</v>
      </c>
    </row>
    <row r="249" spans="1:11" x14ac:dyDescent="0.25">
      <c r="A249" t="s">
        <v>248</v>
      </c>
      <c r="B249">
        <v>0.57449617928635355</v>
      </c>
      <c r="C249">
        <v>6.1827508158226117</v>
      </c>
      <c r="D249">
        <v>0.88370529162556299</v>
      </c>
      <c r="E249">
        <v>-5.814523110402825</v>
      </c>
      <c r="F249">
        <v>-2.4989999814530601</v>
      </c>
      <c r="G249">
        <v>2.6063924597651611</v>
      </c>
      <c r="K249">
        <v>0.77288106209373775</v>
      </c>
    </row>
    <row r="250" spans="1:11" x14ac:dyDescent="0.25">
      <c r="A250" t="s">
        <v>249</v>
      </c>
      <c r="B250">
        <v>1.9966803199638949</v>
      </c>
      <c r="C250">
        <v>-2.935453139779638</v>
      </c>
      <c r="D250">
        <v>0.49768107550641338</v>
      </c>
      <c r="E250">
        <v>-0.97668528904419516</v>
      </c>
      <c r="F250">
        <v>0.81512906611053504</v>
      </c>
      <c r="G250">
        <v>-1.8467253076039241</v>
      </c>
      <c r="K250">
        <v>6.4080546630399999E-5</v>
      </c>
    </row>
    <row r="251" spans="1:11" x14ac:dyDescent="0.25">
      <c r="A251" t="s">
        <v>250</v>
      </c>
      <c r="B251">
        <v>-2.2716058526592251</v>
      </c>
      <c r="C251">
        <v>3.0874640780713971</v>
      </c>
      <c r="D251">
        <v>0.90739786898592123</v>
      </c>
      <c r="E251">
        <v>2.038317457629375</v>
      </c>
      <c r="F251">
        <v>-0.8315325936118908</v>
      </c>
      <c r="G251">
        <v>-0.89462351260298456</v>
      </c>
      <c r="K251">
        <v>3.480246092159E-4</v>
      </c>
    </row>
    <row r="252" spans="1:11" x14ac:dyDescent="0.25">
      <c r="A252" t="s">
        <v>251</v>
      </c>
      <c r="B252">
        <v>-1.8182450176540119</v>
      </c>
      <c r="C252">
        <v>2.6736210965690859</v>
      </c>
      <c r="D252">
        <v>3.2764244192150098</v>
      </c>
      <c r="E252">
        <v>2.230060161746652</v>
      </c>
      <c r="F252">
        <v>-2.226830706699745</v>
      </c>
      <c r="G252">
        <v>-1.8477099002616999</v>
      </c>
      <c r="K252">
        <v>1.09902701467453E-2</v>
      </c>
    </row>
    <row r="253" spans="1:11" x14ac:dyDescent="0.25">
      <c r="A253" t="s">
        <v>252</v>
      </c>
      <c r="B253">
        <v>-0.84302139754710281</v>
      </c>
      <c r="C253">
        <v>0.88845619707323664</v>
      </c>
      <c r="D253">
        <v>2.2007821164609251</v>
      </c>
      <c r="E253">
        <v>-1.571226126526444</v>
      </c>
      <c r="F253">
        <v>-0.75695977306340112</v>
      </c>
      <c r="G253">
        <v>-2.4766692770444441</v>
      </c>
      <c r="K253">
        <v>2.8750335446380799E-2</v>
      </c>
    </row>
    <row r="254" spans="1:11" x14ac:dyDescent="0.25">
      <c r="A254" t="s">
        <v>253</v>
      </c>
      <c r="B254">
        <v>-1.304383444112466</v>
      </c>
      <c r="C254">
        <v>-1.179242561587182</v>
      </c>
      <c r="D254">
        <v>1.9093094427090891</v>
      </c>
      <c r="E254">
        <v>2.1716162790869631</v>
      </c>
      <c r="F254">
        <v>-2.6414332710686028</v>
      </c>
      <c r="G254">
        <v>-1.760796931357286</v>
      </c>
      <c r="K254">
        <v>5.8859476370376897E-2</v>
      </c>
    </row>
    <row r="255" spans="1:11" x14ac:dyDescent="0.25">
      <c r="A255" t="s">
        <v>254</v>
      </c>
      <c r="B255">
        <v>-0.56313653030743649</v>
      </c>
      <c r="C255">
        <v>1.14878723498852</v>
      </c>
      <c r="D255">
        <v>1.7966956148712021</v>
      </c>
      <c r="E255">
        <v>-0.50254913085181641</v>
      </c>
      <c r="F255">
        <v>-1.589630417414263</v>
      </c>
      <c r="G255">
        <v>-2.252315955756349</v>
      </c>
      <c r="K255">
        <v>1.5050045578386999E-2</v>
      </c>
    </row>
    <row r="256" spans="1:11" x14ac:dyDescent="0.25">
      <c r="A256" t="s">
        <v>255</v>
      </c>
      <c r="B256">
        <v>-0.51455027374249895</v>
      </c>
      <c r="C256">
        <v>2.8932450074439311</v>
      </c>
      <c r="D256">
        <v>2.081304470981014</v>
      </c>
      <c r="E256">
        <v>-1.9548918620467799</v>
      </c>
      <c r="F256">
        <v>-2.056983559712164</v>
      </c>
      <c r="G256">
        <v>-1.650710180813753</v>
      </c>
      <c r="K256">
        <v>0.24155574839601629</v>
      </c>
    </row>
    <row r="257" spans="1:11" x14ac:dyDescent="0.25">
      <c r="A257" t="s">
        <v>256</v>
      </c>
      <c r="B257">
        <v>-1.183007670699042</v>
      </c>
      <c r="C257">
        <v>3.1260284852450111</v>
      </c>
      <c r="D257">
        <v>-2.2080728181631</v>
      </c>
      <c r="E257">
        <v>1.1441066745829489</v>
      </c>
      <c r="F257">
        <v>-1.822183145778872</v>
      </c>
      <c r="G257">
        <v>-1.394737678823605</v>
      </c>
      <c r="K257">
        <v>3.39648338048315E-2</v>
      </c>
    </row>
    <row r="258" spans="1:11" x14ac:dyDescent="0.25">
      <c r="A258" t="s">
        <v>257</v>
      </c>
      <c r="B258">
        <v>-0.87607531200035671</v>
      </c>
      <c r="C258">
        <v>1.206956899949406</v>
      </c>
      <c r="D258">
        <v>2.9701798411600722</v>
      </c>
      <c r="E258">
        <v>1.3424534637926919</v>
      </c>
      <c r="F258">
        <v>-2.2210264504237491</v>
      </c>
      <c r="G258">
        <v>-1.0626542279937681</v>
      </c>
      <c r="K258">
        <v>2.1156482249564002E-3</v>
      </c>
    </row>
    <row r="259" spans="1:11" x14ac:dyDescent="0.25">
      <c r="A259" t="s">
        <v>258</v>
      </c>
      <c r="B259">
        <v>-1.536832754898005</v>
      </c>
      <c r="C259">
        <v>2.3418118111130179</v>
      </c>
      <c r="D259">
        <v>6.7164804514002707</v>
      </c>
      <c r="E259">
        <v>-3.101419944375444</v>
      </c>
      <c r="F259">
        <v>-2.862050089736258</v>
      </c>
      <c r="G259">
        <v>2.5893478890830091</v>
      </c>
      <c r="K259">
        <v>0.3885011523872004</v>
      </c>
    </row>
    <row r="260" spans="1:11" x14ac:dyDescent="0.25">
      <c r="A260" t="s">
        <v>259</v>
      </c>
      <c r="B260">
        <v>-1.9734634500718591</v>
      </c>
      <c r="C260">
        <v>0.89642973754529309</v>
      </c>
      <c r="D260">
        <v>-2.4816328205593221</v>
      </c>
      <c r="E260">
        <v>2.9037134329144472</v>
      </c>
      <c r="F260">
        <v>1.93729878957672</v>
      </c>
      <c r="G260">
        <v>-2.594630807022507</v>
      </c>
      <c r="K260">
        <v>3.8995606386154798E-2</v>
      </c>
    </row>
    <row r="261" spans="1:11" x14ac:dyDescent="0.25">
      <c r="A261" t="s">
        <v>260</v>
      </c>
      <c r="B261">
        <v>-2.05830444849052</v>
      </c>
      <c r="C261">
        <v>1.27606101570092</v>
      </c>
      <c r="D261">
        <v>2.351033820904171</v>
      </c>
      <c r="E261">
        <v>-1.876990682410147</v>
      </c>
      <c r="F261">
        <v>0.48401865486995321</v>
      </c>
      <c r="G261">
        <v>-0.84792547506769944</v>
      </c>
      <c r="K261">
        <v>3.2754329233191902E-2</v>
      </c>
    </row>
    <row r="262" spans="1:11" x14ac:dyDescent="0.25">
      <c r="A262" t="s">
        <v>261</v>
      </c>
      <c r="B262">
        <v>-1.9457279367442899</v>
      </c>
      <c r="C262">
        <v>1.0804123012190749</v>
      </c>
      <c r="D262">
        <v>3.575261251577063</v>
      </c>
      <c r="E262">
        <v>-2.499590213630186</v>
      </c>
      <c r="F262">
        <v>0.89072927117190537</v>
      </c>
      <c r="G262">
        <v>-1.7129890925390709</v>
      </c>
      <c r="K262">
        <v>0.1184825353029758</v>
      </c>
    </row>
    <row r="263" spans="1:11" x14ac:dyDescent="0.25">
      <c r="A263" t="s">
        <v>262</v>
      </c>
      <c r="B263">
        <v>-1.572101964350912</v>
      </c>
      <c r="C263">
        <v>2.2208090005790879</v>
      </c>
      <c r="D263">
        <v>-1.4279103745033179</v>
      </c>
      <c r="E263">
        <v>4.2117000407472931</v>
      </c>
      <c r="F263">
        <v>-1.8746300695398079</v>
      </c>
      <c r="G263">
        <v>-2.058200867080894</v>
      </c>
      <c r="K263">
        <v>0.3056650509059145</v>
      </c>
    </row>
    <row r="264" spans="1:11" x14ac:dyDescent="0.25">
      <c r="A264" t="s">
        <v>263</v>
      </c>
      <c r="B264">
        <v>-0.92264853379064071</v>
      </c>
      <c r="C264">
        <v>0.99065567145389122</v>
      </c>
      <c r="D264">
        <v>2.4098314699318188</v>
      </c>
      <c r="E264">
        <v>-1.7830892014270201</v>
      </c>
      <c r="F264">
        <v>-0.83568380199040826</v>
      </c>
      <c r="G264">
        <v>-2.7068156309483271</v>
      </c>
      <c r="K264">
        <v>4.42227292179838E-2</v>
      </c>
    </row>
    <row r="265" spans="1:11" x14ac:dyDescent="0.25">
      <c r="A265" t="s">
        <v>264</v>
      </c>
      <c r="B265">
        <v>-1.28504311472318</v>
      </c>
      <c r="C265">
        <v>-1.1687883957176519</v>
      </c>
      <c r="D265">
        <v>1.9086301793774449</v>
      </c>
      <c r="E265">
        <v>2.1450279044392309</v>
      </c>
      <c r="F265">
        <v>-2.6245051116393672</v>
      </c>
      <c r="G265">
        <v>-1.785725777884412</v>
      </c>
      <c r="K265">
        <v>4.3998226773148102E-2</v>
      </c>
    </row>
    <row r="266" spans="1:11" x14ac:dyDescent="0.25">
      <c r="A266" t="s">
        <v>265</v>
      </c>
      <c r="B266">
        <v>-0.58388761407189416</v>
      </c>
      <c r="C266">
        <v>1.229557429784919</v>
      </c>
      <c r="D266">
        <v>1.895538897674421</v>
      </c>
      <c r="E266">
        <v>-0.53998486530017742</v>
      </c>
      <c r="F266">
        <v>-1.711990581012101</v>
      </c>
      <c r="G266">
        <v>-2.3654180380354419</v>
      </c>
      <c r="K266">
        <v>1.7140359917711099E-2</v>
      </c>
    </row>
    <row r="267" spans="1:11" x14ac:dyDescent="0.25">
      <c r="A267" t="s">
        <v>266</v>
      </c>
      <c r="B267">
        <v>0.81686842379411706</v>
      </c>
      <c r="C267">
        <v>1.40437309324177</v>
      </c>
      <c r="D267">
        <v>0.71040643674093917</v>
      </c>
      <c r="E267">
        <v>2.1435101510540342</v>
      </c>
      <c r="F267">
        <v>-1.458362329721125</v>
      </c>
      <c r="G267">
        <v>-1.561530172049336</v>
      </c>
      <c r="K267">
        <v>3.0131422075781199E-2</v>
      </c>
    </row>
    <row r="268" spans="1:11" x14ac:dyDescent="0.25">
      <c r="A268" t="s">
        <v>267</v>
      </c>
      <c r="B268">
        <v>-0.52550089711801917</v>
      </c>
      <c r="C268">
        <v>2.9688615073999962</v>
      </c>
      <c r="D268">
        <v>2.1345456529218532</v>
      </c>
      <c r="E268">
        <v>-2.0037270651334129</v>
      </c>
      <c r="F268">
        <v>-2.1252218283772981</v>
      </c>
      <c r="G268">
        <v>-1.695231727327142</v>
      </c>
      <c r="K268">
        <v>0.23641414744620209</v>
      </c>
    </row>
    <row r="269" spans="1:11" x14ac:dyDescent="0.25">
      <c r="A269" t="s">
        <v>268</v>
      </c>
      <c r="B269">
        <v>0.68219792658801559</v>
      </c>
      <c r="C269">
        <v>5.4205504388920778</v>
      </c>
      <c r="D269">
        <v>0.69520931682527043</v>
      </c>
      <c r="E269">
        <v>-5.2540902808404972</v>
      </c>
      <c r="F269">
        <v>-2.1814224288676329</v>
      </c>
      <c r="G269">
        <v>2.7151484083429129</v>
      </c>
      <c r="K269">
        <v>0.26488058793287189</v>
      </c>
    </row>
    <row r="270" spans="1:11" x14ac:dyDescent="0.25">
      <c r="A270" t="s">
        <v>269</v>
      </c>
      <c r="B270">
        <v>-0.91756967937996414</v>
      </c>
      <c r="C270">
        <v>1.271511815503007</v>
      </c>
      <c r="D270">
        <v>3.1452152726492351</v>
      </c>
      <c r="E270">
        <v>1.413343587445739</v>
      </c>
      <c r="F270">
        <v>-2.3446429235132298</v>
      </c>
      <c r="G270">
        <v>-1.1587584361580581</v>
      </c>
      <c r="K270">
        <v>2.1051699834768998E-3</v>
      </c>
    </row>
    <row r="271" spans="1:11" x14ac:dyDescent="0.25">
      <c r="A271" t="s">
        <v>270</v>
      </c>
      <c r="B271">
        <v>-1.6330950280561709</v>
      </c>
      <c r="C271">
        <v>2.5158000051623879</v>
      </c>
      <c r="D271">
        <v>7.1378200041384856</v>
      </c>
      <c r="E271">
        <v>-3.2836561033790921</v>
      </c>
      <c r="F271">
        <v>-3.072575797151063</v>
      </c>
      <c r="G271">
        <v>2.7751278147843359</v>
      </c>
      <c r="K271">
        <v>0.3924030271803659</v>
      </c>
    </row>
    <row r="272" spans="1:11" x14ac:dyDescent="0.25">
      <c r="A272" t="s">
        <v>271</v>
      </c>
      <c r="B272">
        <v>-1.5439800226907401</v>
      </c>
      <c r="C272">
        <v>1.0906929025855461</v>
      </c>
      <c r="D272">
        <v>2.8142899086740401</v>
      </c>
      <c r="E272">
        <v>-1.947613221445575</v>
      </c>
      <c r="F272">
        <v>1.172250366398452</v>
      </c>
      <c r="G272">
        <v>-1.5744672000182469</v>
      </c>
      <c r="K272">
        <v>6.7973290104296299E-2</v>
      </c>
    </row>
    <row r="273" spans="1:11" x14ac:dyDescent="0.25">
      <c r="A273" t="s">
        <v>272</v>
      </c>
      <c r="B273">
        <v>-2.3085960534333032</v>
      </c>
      <c r="C273">
        <v>1.43845252934231</v>
      </c>
      <c r="D273">
        <v>2.6354732323171022</v>
      </c>
      <c r="E273">
        <v>-2.082919710383222</v>
      </c>
      <c r="F273">
        <v>0.4731388614189645</v>
      </c>
      <c r="G273">
        <v>-0.96576843238138665</v>
      </c>
      <c r="K273">
        <v>3.0197047723560601E-2</v>
      </c>
    </row>
    <row r="274" spans="1:11" x14ac:dyDescent="0.25">
      <c r="A274" t="s">
        <v>273</v>
      </c>
      <c r="B274">
        <v>-1.618757416401309</v>
      </c>
      <c r="C274">
        <v>1.4582030197845499</v>
      </c>
      <c r="D274">
        <v>5.6419120778594136</v>
      </c>
      <c r="E274">
        <v>-2.5616072755166912</v>
      </c>
      <c r="F274">
        <v>-2.6043127192123752</v>
      </c>
      <c r="G274">
        <v>1.118769237513398</v>
      </c>
      <c r="K274">
        <v>0.30349608001371869</v>
      </c>
    </row>
    <row r="275" spans="1:11" x14ac:dyDescent="0.25">
      <c r="A275" t="s">
        <v>274</v>
      </c>
      <c r="B275">
        <v>-2.2806107104968198</v>
      </c>
      <c r="C275">
        <v>1.3002021675015241</v>
      </c>
      <c r="D275">
        <v>3.9179060677760531</v>
      </c>
      <c r="E275">
        <v>-2.740974263134011</v>
      </c>
      <c r="F275">
        <v>0.91545469065448359</v>
      </c>
      <c r="G275">
        <v>-1.8971068269744671</v>
      </c>
      <c r="K275">
        <v>0.15383559011563189</v>
      </c>
    </row>
    <row r="276" spans="1:11" x14ac:dyDescent="0.25">
      <c r="A276" t="s">
        <v>275</v>
      </c>
      <c r="B276">
        <v>-1.6255195757471821</v>
      </c>
      <c r="C276">
        <v>2.311620212573283</v>
      </c>
      <c r="D276">
        <v>-1.466259228665149</v>
      </c>
      <c r="E276">
        <v>4.3375304583240659</v>
      </c>
      <c r="F276">
        <v>-1.9233400183041161</v>
      </c>
      <c r="G276">
        <v>-2.1348707032685512</v>
      </c>
      <c r="K276">
        <v>0.20779136981902099</v>
      </c>
    </row>
    <row r="277" spans="1:11" x14ac:dyDescent="0.25">
      <c r="A277" t="s">
        <v>276</v>
      </c>
      <c r="B277">
        <v>20.037747478091781</v>
      </c>
      <c r="C277">
        <v>-19.239037494391368</v>
      </c>
      <c r="D277">
        <v>-0.74563648859935272</v>
      </c>
      <c r="E277">
        <v>-0.44275697200579278</v>
      </c>
      <c r="F277">
        <v>0.65227756850784691</v>
      </c>
      <c r="G277">
        <v>0.4343070648446542</v>
      </c>
      <c r="K277">
        <v>0.26701136565704597</v>
      </c>
    </row>
    <row r="278" spans="1:11" x14ac:dyDescent="0.25">
      <c r="A278" t="s">
        <v>277</v>
      </c>
      <c r="B278">
        <v>25.864793286129981</v>
      </c>
      <c r="C278">
        <v>-24.33547281540347</v>
      </c>
      <c r="D278">
        <v>-0.99520719876073871</v>
      </c>
      <c r="E278">
        <v>1.2261024072804301</v>
      </c>
      <c r="F278">
        <v>-1.9042464539792019</v>
      </c>
      <c r="G278">
        <v>1.6870927861256739</v>
      </c>
      <c r="K278">
        <v>0.16343374171609371</v>
      </c>
    </row>
    <row r="279" spans="1:11" x14ac:dyDescent="0.25">
      <c r="A279" t="s">
        <v>278</v>
      </c>
      <c r="B279">
        <v>20.63680440685842</v>
      </c>
      <c r="C279">
        <v>-19.947049818120981</v>
      </c>
      <c r="D279">
        <v>-0.67890631996160988</v>
      </c>
      <c r="E279">
        <v>-0.41430640868658319</v>
      </c>
      <c r="F279">
        <v>0.8360293530217926</v>
      </c>
      <c r="G279">
        <v>0.1793867738365858</v>
      </c>
      <c r="K279">
        <v>0.1917503944679104</v>
      </c>
    </row>
    <row r="280" spans="1:11" x14ac:dyDescent="0.25">
      <c r="A280" t="s">
        <v>279</v>
      </c>
      <c r="B280">
        <v>16.84700454945332</v>
      </c>
      <c r="C280">
        <v>-15.900747027460021</v>
      </c>
      <c r="D280">
        <v>-0.76443722656507229</v>
      </c>
      <c r="E280">
        <v>1.297298801203576</v>
      </c>
      <c r="F280">
        <v>-1.7036857601644151</v>
      </c>
      <c r="G280">
        <v>1.1996010704454281</v>
      </c>
      <c r="K280">
        <v>0.34425337465406919</v>
      </c>
    </row>
    <row r="281" spans="1:11" x14ac:dyDescent="0.25">
      <c r="A281" t="s">
        <v>280</v>
      </c>
      <c r="B281">
        <v>20.839338832007851</v>
      </c>
      <c r="C281">
        <v>-19.493298784413621</v>
      </c>
      <c r="D281">
        <v>-0.76636246313775924</v>
      </c>
      <c r="E281">
        <v>0.86543040573294994</v>
      </c>
      <c r="F281">
        <v>-1.4860851328497831</v>
      </c>
      <c r="G281">
        <v>1.594230011300682</v>
      </c>
      <c r="K281">
        <v>0.12400159292324039</v>
      </c>
    </row>
    <row r="282" spans="1:11" x14ac:dyDescent="0.25">
      <c r="A282" t="s">
        <v>281</v>
      </c>
      <c r="B282">
        <v>-1.5581219972256539</v>
      </c>
      <c r="C282">
        <v>-7.984914733646443</v>
      </c>
      <c r="D282">
        <v>5.1253951469858086</v>
      </c>
      <c r="E282">
        <v>2.042783465842601</v>
      </c>
      <c r="F282">
        <v>2.4983834554146069</v>
      </c>
      <c r="G282">
        <v>-2.4999934196170162</v>
      </c>
      <c r="K282">
        <v>0.49507328748030371</v>
      </c>
    </row>
    <row r="283" spans="1:11" x14ac:dyDescent="0.25">
      <c r="A283" t="s">
        <v>282</v>
      </c>
      <c r="B283">
        <v>-1.3909032519785021</v>
      </c>
      <c r="C283">
        <v>2.1465497631064498</v>
      </c>
      <c r="D283">
        <v>2.471743068988896</v>
      </c>
      <c r="E283">
        <v>-3.0603521708761598</v>
      </c>
      <c r="F283">
        <v>2.6243257885800322</v>
      </c>
      <c r="G283">
        <v>2.1027194739648771</v>
      </c>
      <c r="K283">
        <v>0.92948158652986834</v>
      </c>
    </row>
    <row r="284" spans="1:11" x14ac:dyDescent="0.25">
      <c r="A284" t="s">
        <v>283</v>
      </c>
      <c r="B284">
        <v>-0.76490813049210404</v>
      </c>
      <c r="C284">
        <v>2.111281252782597</v>
      </c>
      <c r="D284">
        <v>1.5056967467517881</v>
      </c>
      <c r="E284">
        <v>2.157073798179113</v>
      </c>
      <c r="F284">
        <v>-1.924612288090312</v>
      </c>
      <c r="G284">
        <v>2.771611635050065</v>
      </c>
      <c r="K284">
        <v>0.7960755495187013</v>
      </c>
    </row>
    <row r="285" spans="1:11" x14ac:dyDescent="0.25">
      <c r="A285" t="s">
        <v>284</v>
      </c>
      <c r="B285">
        <v>-0.73322068438001775</v>
      </c>
      <c r="C285">
        <v>1.5738110794135181</v>
      </c>
      <c r="D285">
        <v>3.1322030136881529</v>
      </c>
      <c r="E285">
        <v>-3.2948336817533859</v>
      </c>
      <c r="F285">
        <v>1.6992493701738289</v>
      </c>
      <c r="G285">
        <v>2.2181882511610622</v>
      </c>
      <c r="K285">
        <v>0.44835388907017598</v>
      </c>
    </row>
    <row r="286" spans="1:11" x14ac:dyDescent="0.25">
      <c r="A286" t="s">
        <v>285</v>
      </c>
      <c r="B286">
        <v>-1.391458589943767</v>
      </c>
      <c r="C286">
        <v>1.0476720642703441</v>
      </c>
      <c r="D286">
        <v>-4.531752733334713</v>
      </c>
      <c r="E286">
        <v>3.4329960895401359</v>
      </c>
      <c r="F286">
        <v>0.79607882939879149</v>
      </c>
      <c r="G286">
        <v>1.9391396443547619</v>
      </c>
      <c r="K286">
        <v>1.4120288223501601E-2</v>
      </c>
    </row>
    <row r="287" spans="1:11" x14ac:dyDescent="0.25">
      <c r="A287" t="s">
        <v>286</v>
      </c>
      <c r="B287">
        <v>-1.2415952678354829</v>
      </c>
      <c r="C287">
        <v>2.3128227093848399</v>
      </c>
      <c r="D287">
        <v>-4.6058966764619846</v>
      </c>
      <c r="E287">
        <v>3.891025323394969</v>
      </c>
      <c r="F287">
        <v>2.6893539118761849</v>
      </c>
      <c r="G287">
        <v>2.0837164872305531</v>
      </c>
      <c r="K287">
        <v>0.68576777898227115</v>
      </c>
    </row>
    <row r="288" spans="1:11" x14ac:dyDescent="0.25">
      <c r="A288" t="s">
        <v>287</v>
      </c>
      <c r="B288">
        <v>-1.190958419430141</v>
      </c>
      <c r="C288">
        <v>1.1597026836384361</v>
      </c>
      <c r="D288">
        <v>2.2256329795251029</v>
      </c>
      <c r="E288">
        <v>-2.914814806996294</v>
      </c>
      <c r="F288">
        <v>2.3511753135305038</v>
      </c>
      <c r="G288">
        <v>0.89868083630225193</v>
      </c>
      <c r="K288">
        <v>0.83440471082587475</v>
      </c>
    </row>
    <row r="289" spans="1:11" x14ac:dyDescent="0.25">
      <c r="A289" t="s">
        <v>288</v>
      </c>
      <c r="B289">
        <v>-0.63903903323138711</v>
      </c>
      <c r="C289">
        <v>0.78427791305035599</v>
      </c>
      <c r="D289">
        <v>2.5812464862393809</v>
      </c>
      <c r="E289">
        <v>-2.8468984518997931</v>
      </c>
      <c r="F289">
        <v>1.519387790181109</v>
      </c>
      <c r="G289">
        <v>1.1294706782686541</v>
      </c>
      <c r="K289">
        <v>0.1010331424755098</v>
      </c>
    </row>
    <row r="290" spans="1:11" x14ac:dyDescent="0.25">
      <c r="A290" t="s">
        <v>289</v>
      </c>
      <c r="B290">
        <v>-2.2374106342486999</v>
      </c>
      <c r="C290">
        <v>1.338559804520558</v>
      </c>
      <c r="D290">
        <v>-7.1591617925057598</v>
      </c>
      <c r="E290">
        <v>5.6713539716436099</v>
      </c>
      <c r="F290">
        <v>1.0873714192694111</v>
      </c>
      <c r="G290">
        <v>2.4494442411844868</v>
      </c>
      <c r="K290">
        <v>0.81618489217664858</v>
      </c>
    </row>
    <row r="291" spans="1:11" x14ac:dyDescent="0.25">
      <c r="A291" t="s">
        <v>290</v>
      </c>
      <c r="B291">
        <v>-3.446168606598135</v>
      </c>
      <c r="C291">
        <v>1.37352250531691</v>
      </c>
      <c r="D291">
        <v>-16.38986519013347</v>
      </c>
      <c r="E291">
        <v>8.0323881681884686</v>
      </c>
      <c r="F291">
        <v>6.2043676731075124</v>
      </c>
      <c r="G291">
        <v>4.2867321612888798</v>
      </c>
      <c r="K291">
        <v>0.84362216814941771</v>
      </c>
    </row>
    <row r="292" spans="1:11" x14ac:dyDescent="0.25">
      <c r="A292" t="s">
        <v>291</v>
      </c>
      <c r="B292">
        <v>-1.408426295215631</v>
      </c>
      <c r="C292">
        <v>1.30709786264368</v>
      </c>
      <c r="D292">
        <v>-8.3309875057339227</v>
      </c>
      <c r="E292">
        <v>5.7109314564582991</v>
      </c>
      <c r="F292">
        <v>2.9571640171637821</v>
      </c>
      <c r="G292">
        <v>1.4176796081305161</v>
      </c>
      <c r="K292">
        <v>0.28070261930077622</v>
      </c>
    </row>
    <row r="293" spans="1:11" x14ac:dyDescent="0.25">
      <c r="A293" t="s">
        <v>292</v>
      </c>
      <c r="B293">
        <v>-1.206060609499769</v>
      </c>
      <c r="C293">
        <v>0.92880420874570546</v>
      </c>
      <c r="D293">
        <v>-4.3820417974802357</v>
      </c>
      <c r="E293">
        <v>3.7760389527069149</v>
      </c>
      <c r="F293">
        <v>0.81427723044613598</v>
      </c>
      <c r="G293">
        <v>1.471637494261169</v>
      </c>
      <c r="K293">
        <v>0.70372975816672356</v>
      </c>
    </row>
    <row r="294" spans="1:11" x14ac:dyDescent="0.25">
      <c r="A294" t="s">
        <v>293</v>
      </c>
      <c r="B294">
        <v>0.33311640143345411</v>
      </c>
      <c r="C294">
        <v>0.82344465602704231</v>
      </c>
      <c r="D294">
        <v>-1.2302706811533439</v>
      </c>
      <c r="E294">
        <v>4.1207282279087813</v>
      </c>
      <c r="F294">
        <v>-2.4159242752639791</v>
      </c>
      <c r="G294">
        <v>-1.459978680420968</v>
      </c>
      <c r="K294">
        <v>9.4879023131900001E-6</v>
      </c>
    </row>
    <row r="295" spans="1:11" x14ac:dyDescent="0.25">
      <c r="A295" t="s">
        <v>294</v>
      </c>
      <c r="B295">
        <v>-1.1487812989509181</v>
      </c>
      <c r="C295">
        <v>2.1907385501412668</v>
      </c>
      <c r="D295">
        <v>-1.4048866553675461</v>
      </c>
      <c r="E295">
        <v>-5.2808386260393974</v>
      </c>
      <c r="F295">
        <v>4.221813267361572</v>
      </c>
      <c r="G295">
        <v>2.5685960040933078</v>
      </c>
      <c r="K295">
        <v>0.59529622921894798</v>
      </c>
    </row>
    <row r="296" spans="1:11" x14ac:dyDescent="0.25">
      <c r="A296" t="s">
        <v>295</v>
      </c>
      <c r="B296">
        <v>-0.73037351008144613</v>
      </c>
      <c r="C296">
        <v>-0.97483699674040514</v>
      </c>
      <c r="D296">
        <v>1.9323212516740551</v>
      </c>
      <c r="E296">
        <v>-1.9420952355224601</v>
      </c>
      <c r="F296">
        <v>0.76734677898000647</v>
      </c>
      <c r="G296">
        <v>-2.0100822810442902</v>
      </c>
      <c r="K296">
        <v>0.1158538748540241</v>
      </c>
    </row>
    <row r="297" spans="1:11" x14ac:dyDescent="0.25">
      <c r="A297" t="s">
        <v>296</v>
      </c>
      <c r="B297">
        <v>-0.53381741975188257</v>
      </c>
      <c r="C297">
        <v>-0.53869341156686701</v>
      </c>
      <c r="D297">
        <v>0.37766355839277832</v>
      </c>
      <c r="E297">
        <v>1.463624963626297</v>
      </c>
      <c r="F297">
        <v>-0.98316463898518491</v>
      </c>
      <c r="G297">
        <v>-1.3147013554062681</v>
      </c>
      <c r="K297">
        <v>1.1025654514161799E-2</v>
      </c>
    </row>
    <row r="298" spans="1:11" x14ac:dyDescent="0.25">
      <c r="A298" t="s">
        <v>297</v>
      </c>
      <c r="B298">
        <v>-0.18225152650163651</v>
      </c>
      <c r="C298">
        <v>-0.8716102846941749</v>
      </c>
      <c r="D298">
        <v>0.80566607537497292</v>
      </c>
      <c r="E298">
        <v>-0.3137162379412578</v>
      </c>
      <c r="F298">
        <v>0.33795981848583989</v>
      </c>
      <c r="G298">
        <v>0.52746982132812748</v>
      </c>
      <c r="K298">
        <v>3.1936219380099997E-5</v>
      </c>
    </row>
    <row r="299" spans="1:11" x14ac:dyDescent="0.25">
      <c r="A299" t="s">
        <v>298</v>
      </c>
      <c r="B299">
        <v>-0.30611553971250671</v>
      </c>
      <c r="C299">
        <v>-0.76828738038696742</v>
      </c>
      <c r="D299">
        <v>0.76961799658842567</v>
      </c>
      <c r="E299">
        <v>-0.6962343801738009</v>
      </c>
      <c r="F299">
        <v>0.61836556724509828</v>
      </c>
      <c r="G299">
        <v>0.69001486638542975</v>
      </c>
      <c r="K299">
        <v>3.2490748348999999E-5</v>
      </c>
    </row>
    <row r="300" spans="1:11" x14ac:dyDescent="0.25">
      <c r="A300" t="s">
        <v>299</v>
      </c>
      <c r="B300">
        <v>0.2105668060350758</v>
      </c>
      <c r="C300">
        <v>-1.1038143931133351</v>
      </c>
      <c r="D300">
        <v>0.79998095751595111</v>
      </c>
      <c r="E300">
        <v>2.3033406054354049</v>
      </c>
      <c r="F300">
        <v>-1.417968172209269</v>
      </c>
      <c r="G300">
        <v>-0.52857656857286095</v>
      </c>
      <c r="K300">
        <v>4.6607172525700001E-5</v>
      </c>
    </row>
    <row r="301" spans="1:11" x14ac:dyDescent="0.25">
      <c r="A301" t="s">
        <v>300</v>
      </c>
      <c r="B301">
        <v>-0.77068670635682235</v>
      </c>
      <c r="C301">
        <v>-1.0242315849636621</v>
      </c>
      <c r="D301">
        <v>2.0397008922208908</v>
      </c>
      <c r="E301">
        <v>-2.083843840130585</v>
      </c>
      <c r="F301">
        <v>0.81278543007098603</v>
      </c>
      <c r="G301">
        <v>-2.1330864018397988</v>
      </c>
      <c r="K301">
        <v>0.1073546372966605</v>
      </c>
    </row>
    <row r="302" spans="1:11" x14ac:dyDescent="0.25">
      <c r="A302" t="s">
        <v>301</v>
      </c>
      <c r="B302">
        <v>-0.53359564404837478</v>
      </c>
      <c r="C302">
        <v>-0.50815310999725782</v>
      </c>
      <c r="D302">
        <v>0.36647118017800939</v>
      </c>
      <c r="E302">
        <v>1.449994048376231</v>
      </c>
      <c r="F302">
        <v>-0.95198468713882511</v>
      </c>
      <c r="G302">
        <v>-1.2922730785649521</v>
      </c>
      <c r="K302">
        <v>8.3159187889748007E-3</v>
      </c>
    </row>
    <row r="303" spans="1:11" x14ac:dyDescent="0.25">
      <c r="A303" t="s">
        <v>302</v>
      </c>
      <c r="B303">
        <v>-0.90104778522163143</v>
      </c>
      <c r="C303">
        <v>-1.5438641131591599</v>
      </c>
      <c r="D303">
        <v>2.503969780751417</v>
      </c>
      <c r="E303">
        <v>0.52422994634627251</v>
      </c>
      <c r="F303">
        <v>0.5431930135700227</v>
      </c>
      <c r="G303">
        <v>1.1993975227406199</v>
      </c>
      <c r="K303">
        <v>3.5747038259249998E-4</v>
      </c>
    </row>
    <row r="304" spans="1:11" x14ac:dyDescent="0.25">
      <c r="A304" t="s">
        <v>303</v>
      </c>
      <c r="B304">
        <v>-0.17829268538066109</v>
      </c>
      <c r="C304">
        <v>-0.74722943634949957</v>
      </c>
      <c r="D304">
        <v>0.69760854919391235</v>
      </c>
      <c r="E304">
        <v>-0.34042434632881902</v>
      </c>
      <c r="F304">
        <v>0.33581141518893581</v>
      </c>
      <c r="G304">
        <v>0.56266795442284656</v>
      </c>
      <c r="K304">
        <v>1.8705037553600002E-5</v>
      </c>
    </row>
    <row r="305" spans="1:11" x14ac:dyDescent="0.25">
      <c r="A305" t="s">
        <v>304</v>
      </c>
      <c r="B305">
        <v>-0.30894394603919317</v>
      </c>
      <c r="C305">
        <v>-0.59184939189815489</v>
      </c>
      <c r="D305">
        <v>0.61668790705071475</v>
      </c>
      <c r="E305">
        <v>-0.76572157952741371</v>
      </c>
      <c r="F305">
        <v>0.63815381287620976</v>
      </c>
      <c r="G305">
        <v>0.75365081835120673</v>
      </c>
      <c r="K305">
        <v>2.2028792907799999E-5</v>
      </c>
    </row>
    <row r="306" spans="1:11" x14ac:dyDescent="0.25">
      <c r="A306" t="s">
        <v>305</v>
      </c>
      <c r="B306">
        <v>-0.83667616101502773</v>
      </c>
      <c r="C306">
        <v>-1.430372237191464</v>
      </c>
      <c r="D306">
        <v>1.541442802781857</v>
      </c>
      <c r="E306">
        <v>0.71080044440910073</v>
      </c>
      <c r="F306">
        <v>1.1813747745860641</v>
      </c>
      <c r="G306">
        <v>-0.87890582239760517</v>
      </c>
      <c r="K306">
        <v>0.1899297237265645</v>
      </c>
    </row>
    <row r="307" spans="1:11" x14ac:dyDescent="0.25">
      <c r="A307" t="s">
        <v>306</v>
      </c>
      <c r="B307">
        <v>-0.2407050269126508</v>
      </c>
      <c r="C307">
        <v>-1.342422074640107</v>
      </c>
      <c r="D307">
        <v>1.1452502299902649</v>
      </c>
      <c r="E307">
        <v>0.74169140218991736</v>
      </c>
      <c r="F307">
        <v>1.834699001277829</v>
      </c>
      <c r="G307">
        <v>-1.887508952129956</v>
      </c>
      <c r="K307">
        <v>0.20311040955114479</v>
      </c>
    </row>
    <row r="308" spans="1:11" x14ac:dyDescent="0.25">
      <c r="A308" t="s">
        <v>307</v>
      </c>
      <c r="B308">
        <v>-0.84155727388848134</v>
      </c>
      <c r="C308">
        <v>-1.323994948879949</v>
      </c>
      <c r="D308">
        <v>1.116578150372372</v>
      </c>
      <c r="E308">
        <v>0.41363275379395292</v>
      </c>
      <c r="F308">
        <v>-0.46997538912630182</v>
      </c>
      <c r="G308">
        <v>0.83723372929280637</v>
      </c>
      <c r="K308">
        <v>0.2583057538052474</v>
      </c>
    </row>
    <row r="309" spans="1:11" x14ac:dyDescent="0.25">
      <c r="A309" t="s">
        <v>308</v>
      </c>
      <c r="B309">
        <v>-0.55215329015014836</v>
      </c>
      <c r="C309">
        <v>-1.934064506946322</v>
      </c>
      <c r="D309">
        <v>1.700332916748611</v>
      </c>
      <c r="E309">
        <v>1.3381856406869601</v>
      </c>
      <c r="F309">
        <v>-1.1926695855670391</v>
      </c>
      <c r="G309">
        <v>0.50088249542298124</v>
      </c>
      <c r="K309">
        <v>9.3820990845232197E-2</v>
      </c>
    </row>
    <row r="310" spans="1:11" x14ac:dyDescent="0.25">
      <c r="A310" t="s">
        <v>309</v>
      </c>
      <c r="B310">
        <v>1.824857920753262</v>
      </c>
      <c r="C310">
        <v>45.061396172300263</v>
      </c>
      <c r="D310">
        <v>-42.426525510267723</v>
      </c>
      <c r="E310">
        <v>-4.8572910112685364</v>
      </c>
      <c r="F310">
        <v>-0.80799647461894764</v>
      </c>
      <c r="G310">
        <v>-3.4910698063406098</v>
      </c>
      <c r="K310">
        <v>2.0648622102198999E-3</v>
      </c>
    </row>
    <row r="311" spans="1:11" x14ac:dyDescent="0.25">
      <c r="A311" t="s">
        <v>310</v>
      </c>
      <c r="B311">
        <v>-0.2110734089015085</v>
      </c>
      <c r="C311">
        <v>0.38753853260182319</v>
      </c>
      <c r="D311">
        <v>3.6025909860715242</v>
      </c>
      <c r="E311">
        <v>-3.747487800260811</v>
      </c>
      <c r="F311">
        <v>-1.1372444939219839</v>
      </c>
      <c r="G311">
        <v>2.366911518201253</v>
      </c>
      <c r="K311">
        <v>1.4570221759516199E-2</v>
      </c>
    </row>
    <row r="312" spans="1:11" x14ac:dyDescent="0.25">
      <c r="A312" t="s">
        <v>311</v>
      </c>
      <c r="B312">
        <v>-0.28633246327959683</v>
      </c>
      <c r="C312">
        <v>-0.54474263780623566</v>
      </c>
      <c r="D312">
        <v>0.75410621629230379</v>
      </c>
      <c r="E312">
        <v>1.7076389217816681</v>
      </c>
      <c r="F312">
        <v>-1.569902414539621</v>
      </c>
      <c r="G312">
        <v>-2.1097594037878671</v>
      </c>
      <c r="K312">
        <v>1.1056829624379999E-3</v>
      </c>
    </row>
    <row r="313" spans="1:11" x14ac:dyDescent="0.25">
      <c r="A313" t="s">
        <v>312</v>
      </c>
      <c r="B313">
        <v>-0.33225758418915358</v>
      </c>
      <c r="C313">
        <v>-2.699986226813222</v>
      </c>
      <c r="D313">
        <v>3.771793376635113</v>
      </c>
      <c r="E313">
        <v>0.71064200382962439</v>
      </c>
      <c r="F313">
        <v>1.5386053275478799</v>
      </c>
      <c r="G313">
        <v>-0.96081398513895655</v>
      </c>
      <c r="K313">
        <v>1.46771325499843E-2</v>
      </c>
    </row>
    <row r="314" spans="1:11" x14ac:dyDescent="0.25">
      <c r="A314" t="s">
        <v>313</v>
      </c>
      <c r="B314">
        <v>-0.21689142636700889</v>
      </c>
      <c r="C314">
        <v>-0.95826282306571686</v>
      </c>
      <c r="D314">
        <v>0.82292814282746773</v>
      </c>
      <c r="E314">
        <v>0.82897993526071667</v>
      </c>
      <c r="F314">
        <v>-0.65998956875934534</v>
      </c>
      <c r="G314">
        <v>0.31400544834056332</v>
      </c>
      <c r="K314">
        <v>7.8402790584500005E-5</v>
      </c>
    </row>
    <row r="315" spans="1:11" x14ac:dyDescent="0.25">
      <c r="A315" t="s">
        <v>314</v>
      </c>
      <c r="B315">
        <v>-0.16155461844375471</v>
      </c>
      <c r="C315">
        <v>-1.422114993745349</v>
      </c>
      <c r="D315">
        <v>0.839343340855641</v>
      </c>
      <c r="E315">
        <v>0.87887034588141377</v>
      </c>
      <c r="F315">
        <v>-0.56269111269329453</v>
      </c>
      <c r="G315">
        <v>-0.58368669070294177</v>
      </c>
      <c r="K315">
        <v>6.5797491285900003E-5</v>
      </c>
    </row>
    <row r="316" spans="1:11" x14ac:dyDescent="0.25">
      <c r="A316" t="s">
        <v>315</v>
      </c>
      <c r="B316">
        <v>-0.23320944252869091</v>
      </c>
      <c r="C316">
        <v>0.48388191106773731</v>
      </c>
      <c r="D316">
        <v>4.4083794500149356</v>
      </c>
      <c r="E316">
        <v>-4.6071238628562128</v>
      </c>
      <c r="F316">
        <v>-1.499952046586863</v>
      </c>
      <c r="G316">
        <v>2.9164713148422172</v>
      </c>
      <c r="K316">
        <v>2.1984979636772001E-2</v>
      </c>
    </row>
    <row r="317" spans="1:11" x14ac:dyDescent="0.25">
      <c r="A317" t="s">
        <v>316</v>
      </c>
      <c r="B317">
        <v>-0.22406836328717131</v>
      </c>
      <c r="C317">
        <v>-0.88243603565434126</v>
      </c>
      <c r="D317">
        <v>0.76075556888022544</v>
      </c>
      <c r="E317">
        <v>0.8368289918426508</v>
      </c>
      <c r="F317">
        <v>-0.68314264792359414</v>
      </c>
      <c r="G317">
        <v>0.33329669912642118</v>
      </c>
      <c r="K317">
        <v>3.8282763267699997E-5</v>
      </c>
    </row>
    <row r="318" spans="1:11" x14ac:dyDescent="0.25">
      <c r="A318" t="s">
        <v>317</v>
      </c>
      <c r="B318">
        <v>-0.16730066205592869</v>
      </c>
      <c r="C318">
        <v>-1.416383967723051</v>
      </c>
      <c r="D318">
        <v>0.83663841754579804</v>
      </c>
      <c r="E318">
        <v>0.91260168839954559</v>
      </c>
      <c r="F318">
        <v>-0.59441828415379105</v>
      </c>
      <c r="G318">
        <v>-0.58817368965732841</v>
      </c>
      <c r="K318">
        <v>2.7657645540999998E-5</v>
      </c>
    </row>
    <row r="319" spans="1:11" x14ac:dyDescent="0.25">
      <c r="A319" t="s">
        <v>318</v>
      </c>
      <c r="B319">
        <v>-0.2088567377160675</v>
      </c>
      <c r="C319">
        <v>-0.48234285368275592</v>
      </c>
      <c r="D319">
        <v>0.3264158844901946</v>
      </c>
      <c r="E319">
        <v>0.89161436922857096</v>
      </c>
      <c r="F319">
        <v>-0.77432834359683478</v>
      </c>
      <c r="G319">
        <v>0.39233689756450552</v>
      </c>
      <c r="K319">
        <v>5.8695091963500001E-6</v>
      </c>
    </row>
    <row r="320" spans="1:11" x14ac:dyDescent="0.25">
      <c r="A320" t="s">
        <v>319</v>
      </c>
      <c r="B320">
        <v>-0.16750529019622731</v>
      </c>
      <c r="C320">
        <v>8.0399354715108995</v>
      </c>
      <c r="D320">
        <v>-9.6254817824604189</v>
      </c>
      <c r="E320">
        <v>1.006785256731993</v>
      </c>
      <c r="F320">
        <v>0.21705357627002059</v>
      </c>
      <c r="G320">
        <v>-0.77912517367553558</v>
      </c>
      <c r="K320">
        <v>1.98219146694E-5</v>
      </c>
    </row>
    <row r="321" spans="1:11" x14ac:dyDescent="0.25">
      <c r="A321" t="s">
        <v>320</v>
      </c>
      <c r="B321">
        <v>-0.26100052870047608</v>
      </c>
      <c r="C321">
        <v>0.37972633532739641</v>
      </c>
      <c r="D321">
        <v>4.8295517264333556</v>
      </c>
      <c r="E321">
        <v>-2.8030745568444551</v>
      </c>
      <c r="F321">
        <v>-1.644636760718962</v>
      </c>
      <c r="G321">
        <v>0.7481914296281782</v>
      </c>
      <c r="K321">
        <v>1.7333322614799999E-5</v>
      </c>
    </row>
    <row r="322" spans="1:11" x14ac:dyDescent="0.25">
      <c r="A322" t="s">
        <v>321</v>
      </c>
      <c r="B322">
        <v>-0.2690603085092193</v>
      </c>
      <c r="C322">
        <v>0.40798174936345011</v>
      </c>
      <c r="D322">
        <v>-0.19771361585617869</v>
      </c>
      <c r="E322">
        <v>3.0764321138836022</v>
      </c>
      <c r="F322">
        <v>-1.9732931370797471</v>
      </c>
      <c r="G322">
        <v>-0.80672859375189854</v>
      </c>
      <c r="K322">
        <v>2.6536801873599999E-6</v>
      </c>
    </row>
    <row r="323" spans="1:11" x14ac:dyDescent="0.25">
      <c r="A323" t="s">
        <v>322</v>
      </c>
      <c r="B323">
        <v>-0.2690309877338134</v>
      </c>
      <c r="C323">
        <v>0.35419892801684899</v>
      </c>
      <c r="D323">
        <v>-0.42593179330890862</v>
      </c>
      <c r="E323">
        <v>3.3061548894531869</v>
      </c>
      <c r="F323">
        <v>-2.0897407378690689</v>
      </c>
      <c r="G323">
        <v>-0.93187208831922175</v>
      </c>
      <c r="K323">
        <v>6.8489950675000001E-6</v>
      </c>
    </row>
    <row r="324" spans="1:11" x14ac:dyDescent="0.25">
      <c r="A324" t="s">
        <v>323</v>
      </c>
      <c r="B324">
        <v>-0.27027430428224319</v>
      </c>
      <c r="C324">
        <v>0.34969637716484819</v>
      </c>
      <c r="D324">
        <v>-0.3877425704504559</v>
      </c>
      <c r="E324">
        <v>3.229018552979364</v>
      </c>
      <c r="F324">
        <v>-2.0456815931634931</v>
      </c>
      <c r="G324">
        <v>-0.8936981721415227</v>
      </c>
      <c r="K324">
        <v>4.9275439348899997E-6</v>
      </c>
    </row>
    <row r="325" spans="1:11" x14ac:dyDescent="0.25">
      <c r="A325" t="s">
        <v>324</v>
      </c>
      <c r="B325">
        <v>-0.41716301693160129</v>
      </c>
      <c r="C325">
        <v>0.74987497046617568</v>
      </c>
      <c r="D325">
        <v>23.56807117557117</v>
      </c>
      <c r="E325">
        <v>-22.82473626353115</v>
      </c>
      <c r="F325">
        <v>-1.718985578306689</v>
      </c>
      <c r="G325">
        <v>-1.381697510734931</v>
      </c>
      <c r="K325">
        <v>2.530565923443E-4</v>
      </c>
    </row>
    <row r="326" spans="1:11" x14ac:dyDescent="0.25">
      <c r="A326" t="s">
        <v>325</v>
      </c>
      <c r="B326">
        <v>-0.29593865280008641</v>
      </c>
      <c r="C326">
        <v>-0.86315221182431734</v>
      </c>
      <c r="D326">
        <v>0.68849642192021632</v>
      </c>
      <c r="E326">
        <v>0.99150527489336193</v>
      </c>
      <c r="F326">
        <v>-0.85883791495852291</v>
      </c>
      <c r="G326">
        <v>0.33165960146770213</v>
      </c>
      <c r="K326">
        <v>1.0422577962679999E-4</v>
      </c>
    </row>
    <row r="327" spans="1:11" x14ac:dyDescent="0.25">
      <c r="A327" t="s">
        <v>326</v>
      </c>
      <c r="B327">
        <v>-0.2578515485781564</v>
      </c>
      <c r="C327">
        <v>-1.371907686538725</v>
      </c>
      <c r="D327">
        <v>0.80213400348349817</v>
      </c>
      <c r="E327">
        <v>1.065194306526001</v>
      </c>
      <c r="F327">
        <v>-0.74783615931305847</v>
      </c>
      <c r="G327">
        <v>-0.50843854520243503</v>
      </c>
      <c r="K327">
        <v>1.2516308406929999E-4</v>
      </c>
    </row>
    <row r="328" spans="1:11" x14ac:dyDescent="0.25">
      <c r="A328" t="s">
        <v>327</v>
      </c>
      <c r="B328">
        <v>-0.33915685126185041</v>
      </c>
      <c r="C328">
        <v>-2.145698419861807</v>
      </c>
      <c r="D328">
        <v>1.3068913999371661</v>
      </c>
      <c r="E328">
        <v>2.891677985163486</v>
      </c>
      <c r="F328">
        <v>-2.115154588879554</v>
      </c>
      <c r="G328">
        <v>-0.68077609057776067</v>
      </c>
      <c r="K328">
        <v>4.7946626645461003E-3</v>
      </c>
    </row>
    <row r="329" spans="1:11" x14ac:dyDescent="0.25">
      <c r="A329" t="s">
        <v>328</v>
      </c>
      <c r="B329">
        <v>-0.23497680528596401</v>
      </c>
      <c r="C329">
        <v>-1.6478285808056321</v>
      </c>
      <c r="D329">
        <v>1.1433590980848169</v>
      </c>
      <c r="E329">
        <v>2.7975664991990148</v>
      </c>
      <c r="F329">
        <v>-1.355224214620097</v>
      </c>
      <c r="G329">
        <v>-1.1068192139051209</v>
      </c>
      <c r="K329">
        <v>6.6545304823900003E-2</v>
      </c>
    </row>
    <row r="330" spans="1:11" x14ac:dyDescent="0.25">
      <c r="A330" t="s">
        <v>329</v>
      </c>
      <c r="B330">
        <v>-0.28346150141496379</v>
      </c>
      <c r="C330">
        <v>-1.234876307032388</v>
      </c>
      <c r="D330">
        <v>0.285185018065506</v>
      </c>
      <c r="E330">
        <v>0.71471494824053916</v>
      </c>
      <c r="F330">
        <v>1.392477084063207</v>
      </c>
      <c r="G330">
        <v>-0.96873486489329774</v>
      </c>
      <c r="K330">
        <v>3.2492435264099997E-5</v>
      </c>
    </row>
    <row r="331" spans="1:11" x14ac:dyDescent="0.25">
      <c r="A331" t="s">
        <v>330</v>
      </c>
      <c r="B331">
        <v>-0.2463220286355324</v>
      </c>
      <c r="C331">
        <v>-1.2192272710923659</v>
      </c>
      <c r="D331">
        <v>0.99602798906389167</v>
      </c>
      <c r="E331">
        <v>-0.19182606853601941</v>
      </c>
      <c r="F331">
        <v>0.60129832599255506</v>
      </c>
      <c r="G331">
        <v>-0.37571740335729198</v>
      </c>
      <c r="K331">
        <v>2.1315215303300001E-7</v>
      </c>
    </row>
    <row r="332" spans="1:11" x14ac:dyDescent="0.25">
      <c r="A332" t="s">
        <v>331</v>
      </c>
      <c r="B332">
        <v>-0.3034690044712044</v>
      </c>
      <c r="C332">
        <v>-0.76342376901160935</v>
      </c>
      <c r="D332">
        <v>0.60664501713843366</v>
      </c>
      <c r="E332">
        <v>0.99239453338549199</v>
      </c>
      <c r="F332">
        <v>-0.88321904999502787</v>
      </c>
      <c r="G332">
        <v>0.35872782506807582</v>
      </c>
      <c r="K332">
        <v>5.7670000677199997E-5</v>
      </c>
    </row>
    <row r="333" spans="1:11" x14ac:dyDescent="0.25">
      <c r="A333" t="s">
        <v>332</v>
      </c>
      <c r="B333">
        <v>-0.26349018402529101</v>
      </c>
      <c r="C333">
        <v>-1.3620073962713131</v>
      </c>
      <c r="D333">
        <v>0.79665651738805332</v>
      </c>
      <c r="E333">
        <v>1.1073516512060111</v>
      </c>
      <c r="F333">
        <v>-0.78894447688850278</v>
      </c>
      <c r="G333">
        <v>-0.51062511859683146</v>
      </c>
      <c r="K333">
        <v>5.5969603600499998E-5</v>
      </c>
    </row>
    <row r="334" spans="1:11" x14ac:dyDescent="0.25">
      <c r="A334" t="s">
        <v>333</v>
      </c>
      <c r="B334">
        <v>-0.34596832879641648</v>
      </c>
      <c r="C334">
        <v>-2.419870349420258</v>
      </c>
      <c r="D334">
        <v>1.4818730131725111</v>
      </c>
      <c r="E334">
        <v>3.2157462457681709</v>
      </c>
      <c r="F334">
        <v>-2.367513086947489</v>
      </c>
      <c r="G334">
        <v>-0.81014147233150935</v>
      </c>
      <c r="K334">
        <v>7.5774277707903997E-3</v>
      </c>
    </row>
    <row r="335" spans="1:11" x14ac:dyDescent="0.25">
      <c r="A335" t="s">
        <v>334</v>
      </c>
      <c r="B335">
        <v>-0.31761000350001378</v>
      </c>
      <c r="C335">
        <v>-0.51471297883101663</v>
      </c>
      <c r="D335">
        <v>0.32867266594061478</v>
      </c>
      <c r="E335">
        <v>1.033483225006643</v>
      </c>
      <c r="F335">
        <v>-0.93295334075361291</v>
      </c>
      <c r="G335">
        <v>0.38450580854538208</v>
      </c>
      <c r="K335">
        <v>2.5547409566499999E-5</v>
      </c>
    </row>
    <row r="336" spans="1:11" x14ac:dyDescent="0.25">
      <c r="A336" t="s">
        <v>335</v>
      </c>
      <c r="B336">
        <v>-0.2338122704486606</v>
      </c>
      <c r="C336">
        <v>-1.6957322933657319</v>
      </c>
      <c r="D336">
        <v>1.1889948437920019</v>
      </c>
      <c r="E336">
        <v>2.8996047972409702</v>
      </c>
      <c r="F336">
        <v>-1.3991456469238761</v>
      </c>
      <c r="G336">
        <v>-1.162934217176538</v>
      </c>
      <c r="K336">
        <v>4.7879745143992201E-2</v>
      </c>
    </row>
    <row r="337" spans="1:11" x14ac:dyDescent="0.25">
      <c r="A337" t="s">
        <v>336</v>
      </c>
      <c r="B337">
        <v>-0.1664942571629176</v>
      </c>
      <c r="C337">
        <v>7.8832881906457244</v>
      </c>
      <c r="D337">
        <v>-9.5227354919694491</v>
      </c>
      <c r="E337">
        <v>1.05134601030924</v>
      </c>
      <c r="F337">
        <v>0.2037248694024231</v>
      </c>
      <c r="G337">
        <v>-0.77999595752531059</v>
      </c>
      <c r="K337">
        <v>1.9445802704699999E-5</v>
      </c>
    </row>
    <row r="338" spans="1:11" x14ac:dyDescent="0.25">
      <c r="A338" t="s">
        <v>337</v>
      </c>
      <c r="B338">
        <v>-0.44999480125457181</v>
      </c>
      <c r="C338">
        <v>0.39929257030096099</v>
      </c>
      <c r="D338">
        <v>5.4801677860480869</v>
      </c>
      <c r="E338">
        <v>-3.2115133187290712</v>
      </c>
      <c r="F338">
        <v>-1.9042531361757751</v>
      </c>
      <c r="G338">
        <v>0.89519871864551426</v>
      </c>
      <c r="K338">
        <v>1.4138668378170001E-4</v>
      </c>
    </row>
    <row r="339" spans="1:11" x14ac:dyDescent="0.25">
      <c r="A339" t="s">
        <v>338</v>
      </c>
      <c r="B339">
        <v>-0.38014734334400269</v>
      </c>
      <c r="C339">
        <v>0.42555354298700132</v>
      </c>
      <c r="D339">
        <v>-0.2387162259931567</v>
      </c>
      <c r="E339">
        <v>3.381804009046566</v>
      </c>
      <c r="F339">
        <v>-2.2370892529779551</v>
      </c>
      <c r="G339">
        <v>-0.87857612002075736</v>
      </c>
      <c r="K339">
        <v>1.4137795239999999E-5</v>
      </c>
    </row>
    <row r="340" spans="1:11" x14ac:dyDescent="0.25">
      <c r="A340" t="s">
        <v>339</v>
      </c>
      <c r="B340">
        <v>-0.40169515348036988</v>
      </c>
      <c r="C340">
        <v>0.35770998636291479</v>
      </c>
      <c r="D340">
        <v>-0.46252711117994189</v>
      </c>
      <c r="E340">
        <v>3.5390760337558111</v>
      </c>
      <c r="F340">
        <v>-2.3137477869285679</v>
      </c>
      <c r="G340">
        <v>-0.96261898443617788</v>
      </c>
      <c r="K340">
        <v>3.3975657204000001E-5</v>
      </c>
    </row>
    <row r="341" spans="1:11" x14ac:dyDescent="0.25">
      <c r="A341" t="s">
        <v>340</v>
      </c>
      <c r="B341">
        <v>-0.27982403434460867</v>
      </c>
      <c r="C341">
        <v>-0.13641919205503369</v>
      </c>
      <c r="D341">
        <v>-0.71678035457682898</v>
      </c>
      <c r="E341">
        <v>0.61715225494752834</v>
      </c>
      <c r="F341">
        <v>-0.26120460352393371</v>
      </c>
      <c r="G341">
        <v>0.76106256103588643</v>
      </c>
      <c r="K341">
        <v>1.08543374414E-5</v>
      </c>
    </row>
    <row r="342" spans="1:11" x14ac:dyDescent="0.25">
      <c r="A342" t="s">
        <v>341</v>
      </c>
      <c r="B342">
        <v>-0.19678766353304819</v>
      </c>
      <c r="C342">
        <v>-0.31990222524818063</v>
      </c>
      <c r="D342">
        <v>-1.589833577817326</v>
      </c>
      <c r="E342">
        <v>3.3737577428200449</v>
      </c>
      <c r="F342">
        <v>-3.569380229196748</v>
      </c>
      <c r="G342">
        <v>-2.1791662750212581</v>
      </c>
      <c r="K342">
        <v>0.20296775667489009</v>
      </c>
    </row>
    <row r="343" spans="1:11" x14ac:dyDescent="0.25">
      <c r="A343" t="s">
        <v>342</v>
      </c>
      <c r="B343">
        <v>-0.39694625900154717</v>
      </c>
      <c r="C343">
        <v>0.35311885983352109</v>
      </c>
      <c r="D343">
        <v>-0.42383026006269597</v>
      </c>
      <c r="E343">
        <v>3.4632165047649939</v>
      </c>
      <c r="F343">
        <v>-2.2702141433727649</v>
      </c>
      <c r="G343">
        <v>-0.92570480967615154</v>
      </c>
      <c r="K343">
        <v>2.3923992655300001E-5</v>
      </c>
    </row>
    <row r="344" spans="1:11" x14ac:dyDescent="0.25">
      <c r="A344" t="s">
        <v>343</v>
      </c>
      <c r="B344">
        <v>-0.19821775508252429</v>
      </c>
      <c r="C344">
        <v>-0.34162165533001582</v>
      </c>
      <c r="D344">
        <v>-1.588376558964691</v>
      </c>
      <c r="E344">
        <v>3.4252977580511779</v>
      </c>
      <c r="F344">
        <v>-3.6114253000889369</v>
      </c>
      <c r="G344">
        <v>-2.1968798874685258</v>
      </c>
      <c r="K344">
        <v>0.1638220643998623</v>
      </c>
    </row>
    <row r="345" spans="1:11" x14ac:dyDescent="0.25">
      <c r="A345" t="s">
        <v>344</v>
      </c>
      <c r="B345">
        <v>-0.27612601673603843</v>
      </c>
      <c r="C345">
        <v>0.68690440478182335</v>
      </c>
      <c r="D345">
        <v>26.15231033672308</v>
      </c>
      <c r="E345">
        <v>-25.487269738293861</v>
      </c>
      <c r="F345">
        <v>-1.5702765297349379</v>
      </c>
      <c r="G345">
        <v>-1.169309210341591</v>
      </c>
      <c r="K345">
        <v>9.4847467375600002E-6</v>
      </c>
    </row>
    <row r="346" spans="1:11" x14ac:dyDescent="0.25">
      <c r="A346" t="s">
        <v>345</v>
      </c>
      <c r="B346">
        <v>-0.21125443950719131</v>
      </c>
      <c r="C346">
        <v>-0.22677220011556029</v>
      </c>
      <c r="D346">
        <v>-0.49726649849995669</v>
      </c>
      <c r="E346">
        <v>-0.42171378746164218</v>
      </c>
      <c r="F346">
        <v>0.77618150237886729</v>
      </c>
      <c r="G346">
        <v>-0.66429148962288642</v>
      </c>
      <c r="K346">
        <v>1.7794111866800001E-7</v>
      </c>
    </row>
    <row r="347" spans="1:11" x14ac:dyDescent="0.25">
      <c r="A347" t="s">
        <v>346</v>
      </c>
      <c r="B347">
        <v>-0.20903807983829389</v>
      </c>
      <c r="C347">
        <v>-0.22860940379720801</v>
      </c>
      <c r="D347">
        <v>-0.45367771514850169</v>
      </c>
      <c r="E347">
        <v>-0.41442624866844552</v>
      </c>
      <c r="F347">
        <v>0.77668235818587594</v>
      </c>
      <c r="G347">
        <v>-0.64067439976937257</v>
      </c>
      <c r="K347">
        <v>1.44843663403E-7</v>
      </c>
    </row>
    <row r="348" spans="1:11" x14ac:dyDescent="0.25">
      <c r="A348" t="s">
        <v>347</v>
      </c>
      <c r="B348">
        <v>-1.4470685492183379</v>
      </c>
      <c r="C348">
        <v>2.0386710106715169</v>
      </c>
      <c r="D348">
        <v>3.791524245694037</v>
      </c>
      <c r="E348">
        <v>-0.63146952814476975</v>
      </c>
      <c r="F348">
        <v>1.9602714716675269</v>
      </c>
      <c r="G348">
        <v>-2.1827102703475378</v>
      </c>
      <c r="H348">
        <v>-1.664406336021395</v>
      </c>
      <c r="K348">
        <v>5.7855994023987998E-3</v>
      </c>
    </row>
    <row r="349" spans="1:11" x14ac:dyDescent="0.25">
      <c r="A349" t="s">
        <v>348</v>
      </c>
      <c r="B349">
        <v>-1.302099364708758</v>
      </c>
      <c r="C349">
        <v>1.321370033003173</v>
      </c>
      <c r="D349">
        <v>1.673105812877369</v>
      </c>
      <c r="E349">
        <v>2.183603499883803</v>
      </c>
      <c r="F349">
        <v>0.86876845738674346</v>
      </c>
      <c r="G349">
        <v>-0.84609035318214598</v>
      </c>
      <c r="H349">
        <v>-3.0507237884645639</v>
      </c>
      <c r="K349">
        <v>0.51882396988385682</v>
      </c>
    </row>
    <row r="350" spans="1:11" x14ac:dyDescent="0.25">
      <c r="A350" t="s">
        <v>349</v>
      </c>
      <c r="B350">
        <v>-1.9851566484070839</v>
      </c>
      <c r="C350">
        <v>1.108228763113847</v>
      </c>
      <c r="D350">
        <v>-2.4769882736356572</v>
      </c>
      <c r="E350">
        <v>0.95863141689928422</v>
      </c>
      <c r="F350">
        <v>3.4350271405600039</v>
      </c>
      <c r="G350">
        <v>1.583190924017202</v>
      </c>
      <c r="H350">
        <v>-3.535899650507246</v>
      </c>
      <c r="K350">
        <v>2.93488600037606E-2</v>
      </c>
    </row>
    <row r="351" spans="1:11" x14ac:dyDescent="0.25">
      <c r="A351" t="s">
        <v>350</v>
      </c>
      <c r="B351">
        <v>-1.6188413928389009</v>
      </c>
      <c r="C351">
        <v>1.2737032781306989</v>
      </c>
      <c r="D351">
        <v>-0.92221099841495136</v>
      </c>
      <c r="E351">
        <v>1.4404629561315909</v>
      </c>
      <c r="F351">
        <v>1.5806205503656861</v>
      </c>
      <c r="G351">
        <v>1.7820160169415951</v>
      </c>
      <c r="H351">
        <v>-3.3568277979685321</v>
      </c>
      <c r="K351">
        <v>0.22522084232072309</v>
      </c>
    </row>
    <row r="352" spans="1:11" x14ac:dyDescent="0.25">
      <c r="A352" t="s">
        <v>351</v>
      </c>
      <c r="B352">
        <v>-0.57590515402794007</v>
      </c>
      <c r="C352">
        <v>0.95595086808616825</v>
      </c>
      <c r="D352">
        <v>3.3807099689686742</v>
      </c>
      <c r="E352">
        <v>1.389539114899438</v>
      </c>
      <c r="F352">
        <v>0.90644048870351968</v>
      </c>
      <c r="G352">
        <v>-2.6897908879972041</v>
      </c>
      <c r="H352">
        <v>-1.8277207479290849</v>
      </c>
      <c r="K352">
        <v>0.31548093049619752</v>
      </c>
    </row>
    <row r="353" spans="1:11" x14ac:dyDescent="0.25">
      <c r="A353" t="s">
        <v>352</v>
      </c>
      <c r="B353">
        <v>-2.0413463346098721</v>
      </c>
      <c r="C353">
        <v>2.2226004643368369</v>
      </c>
      <c r="D353">
        <v>4.5485110148764019</v>
      </c>
      <c r="E353">
        <v>-3.705363381435792</v>
      </c>
      <c r="F353">
        <v>1.1883637480020901</v>
      </c>
      <c r="G353">
        <v>-1.733938265417295</v>
      </c>
      <c r="H353">
        <v>2.2380160924157808</v>
      </c>
      <c r="K353">
        <v>9.72547132527425E-2</v>
      </c>
    </row>
    <row r="354" spans="1:11" x14ac:dyDescent="0.25">
      <c r="A354" t="s">
        <v>353</v>
      </c>
      <c r="B354">
        <v>-1.4247894320069709</v>
      </c>
      <c r="C354">
        <v>0.83420440354849357</v>
      </c>
      <c r="D354">
        <v>5.0868773504133111</v>
      </c>
      <c r="E354">
        <v>-2.8607671203062242</v>
      </c>
      <c r="F354">
        <v>0.85986650647567275</v>
      </c>
      <c r="G354">
        <v>-1.4111619346989861</v>
      </c>
      <c r="H354">
        <v>-1.2715202655518141</v>
      </c>
      <c r="K354">
        <v>2.9738975177806101E-2</v>
      </c>
    </row>
    <row r="355" spans="1:11" x14ac:dyDescent="0.25">
      <c r="A355" t="s">
        <v>354</v>
      </c>
      <c r="B355">
        <v>-1.4636638165552951</v>
      </c>
      <c r="C355">
        <v>1.240367924162723</v>
      </c>
      <c r="D355">
        <v>0.56943746562461117</v>
      </c>
      <c r="E355">
        <v>1.0370575775122779</v>
      </c>
      <c r="F355">
        <v>2.3705731887112069</v>
      </c>
      <c r="G355">
        <v>-0.80560401933906567</v>
      </c>
      <c r="H355">
        <v>-2.483819302921678</v>
      </c>
      <c r="K355">
        <v>0.87576732752300213</v>
      </c>
    </row>
    <row r="356" spans="1:11" x14ac:dyDescent="0.25">
      <c r="A356" t="s">
        <v>355</v>
      </c>
      <c r="B356">
        <v>-0.87726487204493209</v>
      </c>
      <c r="C356">
        <v>0.9986061731015432</v>
      </c>
      <c r="D356">
        <v>3.4279246744935938</v>
      </c>
      <c r="E356">
        <v>0.959889747970051</v>
      </c>
      <c r="F356">
        <v>1.230933798418373</v>
      </c>
      <c r="G356">
        <v>-2.9325941145249641</v>
      </c>
      <c r="H356">
        <v>-1.6883080517394231</v>
      </c>
      <c r="K356">
        <v>0.71871414594590854</v>
      </c>
    </row>
    <row r="357" spans="1:11" x14ac:dyDescent="0.25">
      <c r="A357" t="s">
        <v>356</v>
      </c>
      <c r="B357">
        <v>-2.1579334328948119</v>
      </c>
      <c r="C357">
        <v>2.036903623607992</v>
      </c>
      <c r="D357">
        <v>-1.0394991208626549</v>
      </c>
      <c r="E357">
        <v>3.1227211697394068</v>
      </c>
      <c r="F357">
        <v>-2.587809893826396</v>
      </c>
      <c r="G357">
        <v>0.74463539930373235</v>
      </c>
      <c r="H357">
        <v>-1.3343012070466791</v>
      </c>
      <c r="K357">
        <v>0.1089686379392189</v>
      </c>
    </row>
    <row r="358" spans="1:11" x14ac:dyDescent="0.25">
      <c r="A358" t="s">
        <v>357</v>
      </c>
      <c r="B358">
        <v>-1.484414693075065</v>
      </c>
      <c r="C358">
        <v>1.500985602958101</v>
      </c>
      <c r="D358">
        <v>1.8096803614967869</v>
      </c>
      <c r="E358">
        <v>2.3381491315343421</v>
      </c>
      <c r="F358">
        <v>0.97753148467450646</v>
      </c>
      <c r="G358">
        <v>-0.95806926571439166</v>
      </c>
      <c r="H358">
        <v>-3.322085199315179</v>
      </c>
      <c r="K358">
        <v>0.59667636451878903</v>
      </c>
    </row>
    <row r="359" spans="1:11" x14ac:dyDescent="0.25">
      <c r="A359" t="s">
        <v>358</v>
      </c>
      <c r="B359">
        <v>-2.003682445683864</v>
      </c>
      <c r="C359">
        <v>1.1800392678540761</v>
      </c>
      <c r="D359">
        <v>-2.431391312667377</v>
      </c>
      <c r="E359">
        <v>0.98054886344404435</v>
      </c>
      <c r="F359">
        <v>3.3981280170506292</v>
      </c>
      <c r="G359">
        <v>1.558098445265991</v>
      </c>
      <c r="H359">
        <v>-3.5273474040094408</v>
      </c>
      <c r="K359">
        <v>2.2367644408175999E-2</v>
      </c>
    </row>
    <row r="360" spans="1:11" x14ac:dyDescent="0.25">
      <c r="A360" t="s">
        <v>359</v>
      </c>
      <c r="B360">
        <v>-1.882465875265199</v>
      </c>
      <c r="C360">
        <v>1.4801071066238149</v>
      </c>
      <c r="D360">
        <v>-1.0552788552238059</v>
      </c>
      <c r="E360">
        <v>1.570884489442631</v>
      </c>
      <c r="F360">
        <v>1.6844802925957201</v>
      </c>
      <c r="G360">
        <v>2.033062810831781</v>
      </c>
      <c r="H360">
        <v>-3.73363461626065</v>
      </c>
      <c r="K360">
        <v>0.2364424124269455</v>
      </c>
    </row>
    <row r="361" spans="1:11" x14ac:dyDescent="0.25">
      <c r="A361" t="s">
        <v>360</v>
      </c>
      <c r="B361">
        <v>-0.61902379625556936</v>
      </c>
      <c r="C361">
        <v>1.011493611075871</v>
      </c>
      <c r="D361">
        <v>3.488097242589816</v>
      </c>
      <c r="E361">
        <v>1.4300925283058861</v>
      </c>
      <c r="F361">
        <v>0.92002006282437065</v>
      </c>
      <c r="G361">
        <v>-2.7637772729551551</v>
      </c>
      <c r="H361">
        <v>-1.899903329892541</v>
      </c>
      <c r="K361">
        <v>0.32853801032222513</v>
      </c>
    </row>
    <row r="362" spans="1:11" x14ac:dyDescent="0.25">
      <c r="A362" t="s">
        <v>361</v>
      </c>
      <c r="B362">
        <v>-2.3391302280863671</v>
      </c>
      <c r="C362">
        <v>2.5550847930968188</v>
      </c>
      <c r="D362">
        <v>5.0558019944994674</v>
      </c>
      <c r="E362">
        <v>-4.0841193023077453</v>
      </c>
      <c r="F362">
        <v>1.234839425018885</v>
      </c>
      <c r="G362">
        <v>-1.9317324003789631</v>
      </c>
      <c r="H362">
        <v>2.492303798479425</v>
      </c>
      <c r="K362">
        <v>8.8266980617752899E-2</v>
      </c>
    </row>
    <row r="363" spans="1:11" x14ac:dyDescent="0.25">
      <c r="A363" t="s">
        <v>362</v>
      </c>
      <c r="B363">
        <v>-1.617357860409395</v>
      </c>
      <c r="C363">
        <v>0.96153374971856487</v>
      </c>
      <c r="D363">
        <v>5.5436255355732031</v>
      </c>
      <c r="E363">
        <v>-3.1525781220049391</v>
      </c>
      <c r="F363">
        <v>0.91332722263883725</v>
      </c>
      <c r="G363">
        <v>-1.605752206713267</v>
      </c>
      <c r="H363">
        <v>-1.327068014422683</v>
      </c>
      <c r="K363">
        <v>2.48974515911549E-2</v>
      </c>
    </row>
    <row r="364" spans="1:11" x14ac:dyDescent="0.25">
      <c r="A364" t="s">
        <v>363</v>
      </c>
      <c r="B364">
        <v>-1.677935867221215</v>
      </c>
      <c r="C364">
        <v>1.41625636515027</v>
      </c>
      <c r="D364">
        <v>0.64102350823563892</v>
      </c>
      <c r="E364">
        <v>1.0980676772481519</v>
      </c>
      <c r="F364">
        <v>2.5822718427162932</v>
      </c>
      <c r="G364">
        <v>-0.92241106591437605</v>
      </c>
      <c r="H364">
        <v>-2.711690424912633</v>
      </c>
      <c r="K364">
        <v>0.93273414114997388</v>
      </c>
    </row>
    <row r="365" spans="1:11" x14ac:dyDescent="0.25">
      <c r="A365" t="s">
        <v>364</v>
      </c>
      <c r="B365">
        <v>-0.96903017080281861</v>
      </c>
      <c r="C365">
        <v>1.0860179320829639</v>
      </c>
      <c r="D365">
        <v>3.603738255866392</v>
      </c>
      <c r="E365">
        <v>0.98571906738449655</v>
      </c>
      <c r="F365">
        <v>1.286220476837111</v>
      </c>
      <c r="G365">
        <v>-3.0739901205946292</v>
      </c>
      <c r="H365">
        <v>-1.7925614148491971</v>
      </c>
      <c r="K365">
        <v>0.756197264055957</v>
      </c>
    </row>
    <row r="366" spans="1:11" x14ac:dyDescent="0.25">
      <c r="A366" t="s">
        <v>365</v>
      </c>
      <c r="B366">
        <v>-0.87020845926520329</v>
      </c>
      <c r="C366">
        <v>0.92794735973057674</v>
      </c>
      <c r="D366">
        <v>2.1158664032526819</v>
      </c>
      <c r="E366">
        <v>1.1019670962416901</v>
      </c>
      <c r="F366">
        <v>-2.1259300532170591</v>
      </c>
      <c r="G366">
        <v>-0.90093467472811217</v>
      </c>
      <c r="H366">
        <v>1.457838700303298</v>
      </c>
      <c r="K366">
        <v>0.35397557954965891</v>
      </c>
    </row>
    <row r="367" spans="1:11" x14ac:dyDescent="0.25">
      <c r="A367" t="s">
        <v>366</v>
      </c>
      <c r="B367">
        <v>-2.1866337269569249</v>
      </c>
      <c r="C367">
        <v>2.2984117854619841</v>
      </c>
      <c r="D367">
        <v>-5.5213332242099789</v>
      </c>
      <c r="E367">
        <v>4.4147969578487336</v>
      </c>
      <c r="F367">
        <v>1.5676701182677539</v>
      </c>
      <c r="G367">
        <v>1.7790576048985629</v>
      </c>
      <c r="H367">
        <v>1.971062601610565</v>
      </c>
      <c r="K367">
        <v>0.92366180927910158</v>
      </c>
    </row>
    <row r="368" spans="1:11" x14ac:dyDescent="0.25">
      <c r="A368" t="s">
        <v>367</v>
      </c>
      <c r="B368">
        <v>-0.2953364347630299</v>
      </c>
      <c r="C368">
        <v>-1.388813721193572</v>
      </c>
      <c r="D368">
        <v>-2.2141270165918221</v>
      </c>
      <c r="E368">
        <v>2.33315988351894</v>
      </c>
      <c r="F368">
        <v>3.225118662189987</v>
      </c>
      <c r="G368">
        <v>-2.9181899649781249</v>
      </c>
      <c r="H368">
        <v>-2.3641817243092191</v>
      </c>
      <c r="K368">
        <v>6.4300629999779799E-2</v>
      </c>
    </row>
    <row r="369" spans="1:11" x14ac:dyDescent="0.25">
      <c r="A369" t="s">
        <v>368</v>
      </c>
      <c r="B369">
        <v>-0.52743549554052294</v>
      </c>
      <c r="C369">
        <v>-0.89186578558836893</v>
      </c>
      <c r="D369">
        <v>0.84998355628643751</v>
      </c>
      <c r="E369">
        <v>2.0253123876778218</v>
      </c>
      <c r="F369">
        <v>-1.4213624549494761</v>
      </c>
      <c r="G369">
        <v>-0.6487508991657126</v>
      </c>
      <c r="H369">
        <v>-1.992404268333015</v>
      </c>
      <c r="K369">
        <v>3.2100832870207603E-2</v>
      </c>
    </row>
    <row r="370" spans="1:11" x14ac:dyDescent="0.25">
      <c r="A370" t="s">
        <v>369</v>
      </c>
      <c r="B370">
        <v>-0.93140767622855969</v>
      </c>
      <c r="C370">
        <v>-1.202698302399527</v>
      </c>
      <c r="D370">
        <v>1.2449408257617081</v>
      </c>
      <c r="E370">
        <v>1.02624444073106</v>
      </c>
      <c r="F370">
        <v>-1.162895736490362</v>
      </c>
      <c r="G370">
        <v>0.43272183158170158</v>
      </c>
      <c r="H370">
        <v>0.67853873014918065</v>
      </c>
      <c r="K370">
        <v>0.20400464726331169</v>
      </c>
    </row>
    <row r="371" spans="1:11" x14ac:dyDescent="0.25">
      <c r="A371" t="s">
        <v>370</v>
      </c>
      <c r="B371">
        <v>-0.59896323234112292</v>
      </c>
      <c r="C371">
        <v>-1.3572543953210821</v>
      </c>
      <c r="D371">
        <v>2.2828353761119691</v>
      </c>
      <c r="E371">
        <v>-1.228084811350366</v>
      </c>
      <c r="F371">
        <v>1.9453612397871569</v>
      </c>
      <c r="G371">
        <v>-2.0142065437827101</v>
      </c>
      <c r="H371">
        <v>0.80291245765880781</v>
      </c>
      <c r="K371">
        <v>0.45483383074542522</v>
      </c>
    </row>
    <row r="372" spans="1:11" x14ac:dyDescent="0.25">
      <c r="A372" t="s">
        <v>371</v>
      </c>
      <c r="B372">
        <v>-0.41123220716338388</v>
      </c>
      <c r="C372">
        <v>-0.41780856773318448</v>
      </c>
      <c r="D372">
        <v>1.669095387648885</v>
      </c>
      <c r="E372">
        <v>2.366858493952182</v>
      </c>
      <c r="F372">
        <v>-0.93414647445689636</v>
      </c>
      <c r="G372">
        <v>-1.90467452957335</v>
      </c>
      <c r="H372">
        <v>-2.1955847564244468</v>
      </c>
      <c r="K372">
        <v>0.1304210889068497</v>
      </c>
    </row>
    <row r="373" spans="1:11" x14ac:dyDescent="0.25">
      <c r="A373" t="s">
        <v>372</v>
      </c>
      <c r="B373">
        <v>-0.54160845707431293</v>
      </c>
      <c r="C373">
        <v>-0.98080100003665427</v>
      </c>
      <c r="D373">
        <v>0.93905471052176748</v>
      </c>
      <c r="E373">
        <v>2.182131758781964</v>
      </c>
      <c r="F373">
        <v>-1.548094445876365</v>
      </c>
      <c r="G373">
        <v>-0.76465806210677867</v>
      </c>
      <c r="H373">
        <v>-2.190057966281366</v>
      </c>
      <c r="K373">
        <v>3.2022201093377001E-2</v>
      </c>
    </row>
    <row r="374" spans="1:11" x14ac:dyDescent="0.25">
      <c r="A374" t="s">
        <v>373</v>
      </c>
      <c r="B374">
        <v>-1.0099431466971349</v>
      </c>
      <c r="C374">
        <v>-1.358271247057645</v>
      </c>
      <c r="D374">
        <v>1.400105364595452</v>
      </c>
      <c r="E374">
        <v>1.1016009286910149</v>
      </c>
      <c r="F374">
        <v>-1.2949722105155539</v>
      </c>
      <c r="G374">
        <v>0.49360769906571877</v>
      </c>
      <c r="H374">
        <v>0.70286967341414297</v>
      </c>
      <c r="K374">
        <v>0.20949723418173821</v>
      </c>
    </row>
    <row r="375" spans="1:11" x14ac:dyDescent="0.25">
      <c r="A375" t="s">
        <v>374</v>
      </c>
      <c r="B375">
        <v>-0.76521965285913018</v>
      </c>
      <c r="C375">
        <v>-1.5053305904204459</v>
      </c>
      <c r="D375">
        <v>0.84173382419129172</v>
      </c>
      <c r="E375">
        <v>0.61150493903829528</v>
      </c>
      <c r="F375">
        <v>1.291086225137333</v>
      </c>
      <c r="G375">
        <v>-1.121545954731296</v>
      </c>
      <c r="H375">
        <v>-1.0601096578564271</v>
      </c>
      <c r="K375">
        <v>0.21844847365283029</v>
      </c>
    </row>
    <row r="376" spans="1:11" x14ac:dyDescent="0.25">
      <c r="A376" t="s">
        <v>375</v>
      </c>
      <c r="B376">
        <v>-0.64954597186176577</v>
      </c>
      <c r="C376">
        <v>-1.527729352059825</v>
      </c>
      <c r="D376">
        <v>2.4464158535423182</v>
      </c>
      <c r="E376">
        <v>-1.2467727503342529</v>
      </c>
      <c r="F376">
        <v>1.9894373172813471</v>
      </c>
      <c r="G376">
        <v>-2.036522245919056</v>
      </c>
      <c r="H376">
        <v>0.78398315001304442</v>
      </c>
      <c r="K376">
        <v>0.40433955316321268</v>
      </c>
    </row>
    <row r="377" spans="1:11" x14ac:dyDescent="0.25">
      <c r="A377" t="s">
        <v>376</v>
      </c>
      <c r="B377">
        <v>0.49154525320523568</v>
      </c>
      <c r="C377">
        <v>12.652169770005081</v>
      </c>
      <c r="D377">
        <v>-12.784943655812789</v>
      </c>
      <c r="E377">
        <v>4.9994398226812864</v>
      </c>
      <c r="F377">
        <v>-2.7121694255215569</v>
      </c>
      <c r="G377">
        <v>-1.94852449177908</v>
      </c>
      <c r="H377">
        <v>0.81186418514267167</v>
      </c>
      <c r="K377">
        <v>8.7259265539949393E-2</v>
      </c>
    </row>
    <row r="378" spans="1:11" x14ac:dyDescent="0.25">
      <c r="A378" t="s">
        <v>377</v>
      </c>
      <c r="B378">
        <v>0.69025508527788659</v>
      </c>
      <c r="C378">
        <v>31.065833528727051</v>
      </c>
      <c r="D378">
        <v>-28.830489281778242</v>
      </c>
      <c r="E378">
        <v>-3.057540944129332</v>
      </c>
      <c r="F378">
        <v>-0.70192562258155311</v>
      </c>
      <c r="G378">
        <v>0.94114221956974797</v>
      </c>
      <c r="H378">
        <v>-1.758988699484429</v>
      </c>
      <c r="K378">
        <v>9.6396472770406194E-2</v>
      </c>
    </row>
    <row r="379" spans="1:11" x14ac:dyDescent="0.25">
      <c r="A379" t="s">
        <v>378</v>
      </c>
      <c r="B379">
        <v>1.483507489087655</v>
      </c>
      <c r="C379">
        <v>39.626234349078551</v>
      </c>
      <c r="D379">
        <v>-36.940343041324788</v>
      </c>
      <c r="E379">
        <v>-4.6830333156732209</v>
      </c>
      <c r="F379">
        <v>-1.1164866680514089</v>
      </c>
      <c r="G379">
        <v>0.59573703412193668</v>
      </c>
      <c r="H379">
        <v>-3.1450452165193061</v>
      </c>
      <c r="K379">
        <v>1.50690323886233E-2</v>
      </c>
    </row>
    <row r="380" spans="1:11" x14ac:dyDescent="0.25">
      <c r="A380" t="s">
        <v>379</v>
      </c>
      <c r="B380">
        <v>1.1543760459688059</v>
      </c>
      <c r="C380">
        <v>31.57667640350396</v>
      </c>
      <c r="D380">
        <v>-29.69573490389994</v>
      </c>
      <c r="E380">
        <v>-3.3742667746351538</v>
      </c>
      <c r="F380">
        <v>1.2498970365431621</v>
      </c>
      <c r="G380">
        <v>-1.5108036416411279</v>
      </c>
      <c r="H380">
        <v>-2.0549800637099529</v>
      </c>
      <c r="K380">
        <v>1.1513435477440199E-2</v>
      </c>
    </row>
    <row r="381" spans="1:11" x14ac:dyDescent="0.25">
      <c r="A381" t="s">
        <v>380</v>
      </c>
      <c r="B381">
        <v>-0.19627312666881619</v>
      </c>
      <c r="C381">
        <v>1.763632597879573</v>
      </c>
      <c r="D381">
        <v>1.3421794213478659</v>
      </c>
      <c r="E381">
        <v>-1.48097277024164</v>
      </c>
      <c r="F381">
        <v>-1.6122933003600659</v>
      </c>
      <c r="G381">
        <v>1.060099156146036</v>
      </c>
      <c r="H381">
        <v>-1.807959211322665</v>
      </c>
      <c r="K381">
        <v>4.3719384369839999E-4</v>
      </c>
    </row>
    <row r="382" spans="1:11" x14ac:dyDescent="0.25">
      <c r="A382" t="s">
        <v>381</v>
      </c>
      <c r="B382">
        <v>-0.25379337006433289</v>
      </c>
      <c r="C382">
        <v>-1.2091351932073</v>
      </c>
      <c r="D382">
        <v>0.9993727479983977</v>
      </c>
      <c r="E382">
        <v>2.8180983349826292</v>
      </c>
      <c r="F382">
        <v>-2.0612478245125581</v>
      </c>
      <c r="G382">
        <v>-0.87713752912501552</v>
      </c>
      <c r="H382">
        <v>-3.30523354964566</v>
      </c>
      <c r="K382">
        <v>0.1322829447055649</v>
      </c>
    </row>
    <row r="383" spans="1:11" x14ac:dyDescent="0.25">
      <c r="A383" t="s">
        <v>382</v>
      </c>
      <c r="B383">
        <v>-0.36015393358388192</v>
      </c>
      <c r="C383">
        <v>-2.5629953364310758</v>
      </c>
      <c r="D383">
        <v>1.433974066793833</v>
      </c>
      <c r="E383">
        <v>4.0535533485628727</v>
      </c>
      <c r="F383">
        <v>-1.819647889867922</v>
      </c>
      <c r="G383">
        <v>-2.9583634717612179</v>
      </c>
      <c r="H383">
        <v>-6.1170460512076534</v>
      </c>
      <c r="K383">
        <v>0.76946225597381357</v>
      </c>
    </row>
    <row r="384" spans="1:11" x14ac:dyDescent="0.25">
      <c r="A384" t="s">
        <v>383</v>
      </c>
      <c r="B384">
        <v>-0.3485099936262781</v>
      </c>
      <c r="C384">
        <v>-2.1223877766152839</v>
      </c>
      <c r="D384">
        <v>1.1699729404775061</v>
      </c>
      <c r="E384">
        <v>3.0566260452937248</v>
      </c>
      <c r="F384">
        <v>-1.9241907093666839</v>
      </c>
      <c r="G384">
        <v>-1.746466027597096</v>
      </c>
      <c r="H384">
        <v>-4.5002722082727651</v>
      </c>
      <c r="K384">
        <v>0.17383620142765499</v>
      </c>
    </row>
    <row r="385" spans="1:11" x14ac:dyDescent="0.25">
      <c r="A385" t="s">
        <v>384</v>
      </c>
      <c r="B385">
        <v>-0.2155827802668642</v>
      </c>
      <c r="C385">
        <v>0.64642838103021394</v>
      </c>
      <c r="D385">
        <v>4.765263329498902</v>
      </c>
      <c r="E385">
        <v>-1.8178718444628941</v>
      </c>
      <c r="F385">
        <v>-2.9016484845372879</v>
      </c>
      <c r="G385">
        <v>0.84687788006895259</v>
      </c>
      <c r="H385">
        <v>1.4249532019150799</v>
      </c>
      <c r="K385">
        <v>7.2733442650499999E-4</v>
      </c>
    </row>
    <row r="386" spans="1:11" x14ac:dyDescent="0.25">
      <c r="A386" t="s">
        <v>385</v>
      </c>
      <c r="B386">
        <v>-0.30240703826270532</v>
      </c>
      <c r="C386">
        <v>-0.92485938447402027</v>
      </c>
      <c r="D386">
        <v>1.247358907182025</v>
      </c>
      <c r="E386">
        <v>3.3150203899875241</v>
      </c>
      <c r="F386">
        <v>-2.5016550672056201</v>
      </c>
      <c r="G386">
        <v>-0.98274913440982825</v>
      </c>
      <c r="H386">
        <v>-3.2551188328708118</v>
      </c>
      <c r="K386">
        <v>0.46643423991917787</v>
      </c>
    </row>
    <row r="387" spans="1:11" x14ac:dyDescent="0.25">
      <c r="A387" t="s">
        <v>386</v>
      </c>
      <c r="B387">
        <v>-0.30884379477084989</v>
      </c>
      <c r="C387">
        <v>-0.78612954221469089</v>
      </c>
      <c r="D387">
        <v>2.1275413104731848</v>
      </c>
      <c r="E387">
        <v>3.2530936155538179</v>
      </c>
      <c r="F387">
        <v>-1.006542556117044</v>
      </c>
      <c r="G387">
        <v>-3.1435229582389241</v>
      </c>
      <c r="H387">
        <v>-3.5637210517804299</v>
      </c>
      <c r="K387">
        <v>0.67250802584224512</v>
      </c>
    </row>
    <row r="388" spans="1:11" x14ac:dyDescent="0.25">
      <c r="A388" t="s">
        <v>387</v>
      </c>
      <c r="B388">
        <v>-0.44706341626981078</v>
      </c>
      <c r="C388">
        <v>-1.730827700761195</v>
      </c>
      <c r="D388">
        <v>1.806037002924634</v>
      </c>
      <c r="E388">
        <v>4.5888591971096986</v>
      </c>
      <c r="F388">
        <v>-1.8186255967980409</v>
      </c>
      <c r="G388">
        <v>-3.4777382992392281</v>
      </c>
      <c r="H388">
        <v>-5.510845123921702</v>
      </c>
      <c r="K388">
        <v>0.93425399770073236</v>
      </c>
    </row>
    <row r="389" spans="1:11" x14ac:dyDescent="0.25">
      <c r="A389" t="s">
        <v>388</v>
      </c>
      <c r="B389">
        <v>-0.45956762010466029</v>
      </c>
      <c r="C389">
        <v>-1.7547124815194539</v>
      </c>
      <c r="D389">
        <v>1.799529550716328</v>
      </c>
      <c r="E389">
        <v>4.0756628565449171</v>
      </c>
      <c r="F389">
        <v>-2.5153009546808738</v>
      </c>
      <c r="G389">
        <v>-2.486823972775313</v>
      </c>
      <c r="H389">
        <v>-4.5626886846769423</v>
      </c>
      <c r="K389">
        <v>0.70283952218119539</v>
      </c>
    </row>
    <row r="390" spans="1:11" x14ac:dyDescent="0.25">
      <c r="A390" t="s">
        <v>389</v>
      </c>
      <c r="B390">
        <v>-0.56575731660484163</v>
      </c>
      <c r="C390">
        <v>-5.9801367690983893</v>
      </c>
      <c r="D390">
        <v>7.3893931669528206</v>
      </c>
      <c r="E390">
        <v>4.2234409652971854</v>
      </c>
      <c r="F390">
        <v>2.2157160726498861</v>
      </c>
      <c r="G390">
        <v>-1.791327799475132</v>
      </c>
      <c r="H390">
        <v>-2.9011474490714049</v>
      </c>
      <c r="K390">
        <v>0.99142877280429653</v>
      </c>
    </row>
    <row r="391" spans="1:11" x14ac:dyDescent="0.25">
      <c r="A391" t="s">
        <v>390</v>
      </c>
      <c r="B391">
        <v>-0.45385839496753949</v>
      </c>
      <c r="C391">
        <v>-4.2072738553350284</v>
      </c>
      <c r="D391">
        <v>5.3779634491501076</v>
      </c>
      <c r="E391">
        <v>1.731785247623727</v>
      </c>
      <c r="F391">
        <v>3.345061419082783</v>
      </c>
      <c r="G391">
        <v>-2.0140094470209808</v>
      </c>
      <c r="H391">
        <v>-1.4163890424090451</v>
      </c>
      <c r="K391">
        <v>0.98296832098831999</v>
      </c>
    </row>
    <row r="392" spans="1:11" x14ac:dyDescent="0.25">
      <c r="A392" t="s">
        <v>391</v>
      </c>
      <c r="B392">
        <v>-0.35411937455045239</v>
      </c>
      <c r="C392">
        <v>-2.566548336257032</v>
      </c>
      <c r="D392">
        <v>3.5200304194460852</v>
      </c>
      <c r="E392">
        <v>3.3493630876447398</v>
      </c>
      <c r="F392">
        <v>2.5060430121030008</v>
      </c>
      <c r="G392">
        <v>-2.0765820205605712</v>
      </c>
      <c r="H392">
        <v>-2.229852260695095</v>
      </c>
      <c r="K392">
        <v>0.93008937672037084</v>
      </c>
    </row>
    <row r="393" spans="1:11" x14ac:dyDescent="0.25">
      <c r="A393" t="s">
        <v>392</v>
      </c>
      <c r="B393">
        <v>-0.21832103798777139</v>
      </c>
      <c r="C393">
        <v>-0.83317327495335802</v>
      </c>
      <c r="D393">
        <v>0.87435407856128888</v>
      </c>
      <c r="E393">
        <v>2.097775054108951</v>
      </c>
      <c r="F393">
        <v>-1.514111659546298</v>
      </c>
      <c r="G393">
        <v>-0.68184134347409908</v>
      </c>
      <c r="H393">
        <v>-2.372677319630569</v>
      </c>
      <c r="K393">
        <v>0.13939834915146149</v>
      </c>
    </row>
    <row r="394" spans="1:11" x14ac:dyDescent="0.25">
      <c r="A394" t="s">
        <v>393</v>
      </c>
      <c r="B394">
        <v>-0.22976020555173601</v>
      </c>
      <c r="C394">
        <v>-1.148725327533193</v>
      </c>
      <c r="D394">
        <v>-0.88300856413656992</v>
      </c>
      <c r="E394">
        <v>1.664033135892939</v>
      </c>
      <c r="F394">
        <v>1.690921497397228</v>
      </c>
      <c r="G394">
        <v>-2.1598393245207128</v>
      </c>
      <c r="H394">
        <v>-1.62577893425409</v>
      </c>
      <c r="K394">
        <v>3.4546841066793899E-2</v>
      </c>
    </row>
    <row r="395" spans="1:11" x14ac:dyDescent="0.25">
      <c r="A395" t="s">
        <v>394</v>
      </c>
      <c r="B395">
        <v>-0.21555281075611221</v>
      </c>
      <c r="C395">
        <v>-0.58905515221956772</v>
      </c>
      <c r="D395">
        <v>1.148956729599564</v>
      </c>
      <c r="E395">
        <v>1.780021062912988</v>
      </c>
      <c r="F395">
        <v>-0.48255135978091918</v>
      </c>
      <c r="G395">
        <v>-1.5806518269277641</v>
      </c>
      <c r="H395">
        <v>-2.2156122836015921</v>
      </c>
      <c r="K395">
        <v>7.36011351089607E-2</v>
      </c>
    </row>
    <row r="396" spans="1:11" x14ac:dyDescent="0.25">
      <c r="A396" t="s">
        <v>395</v>
      </c>
      <c r="B396">
        <v>-0.21827705970027511</v>
      </c>
      <c r="C396">
        <v>-0.54170426796481985</v>
      </c>
      <c r="D396">
        <v>2.7988688025391482</v>
      </c>
      <c r="E396">
        <v>2.0201668750995321</v>
      </c>
      <c r="F396">
        <v>-1.8667268018982699</v>
      </c>
      <c r="G396">
        <v>-2.0035498212688112</v>
      </c>
      <c r="H396">
        <v>-1.617296425855224</v>
      </c>
      <c r="K396">
        <v>0.74244149323312658</v>
      </c>
    </row>
    <row r="397" spans="1:11" x14ac:dyDescent="0.25">
      <c r="A397" t="s">
        <v>396</v>
      </c>
      <c r="B397">
        <v>-0.25393675069471938</v>
      </c>
      <c r="C397">
        <v>-1.281886489068659</v>
      </c>
      <c r="D397">
        <v>3.2273783972490211</v>
      </c>
      <c r="E397">
        <v>-2.2405093464163039</v>
      </c>
      <c r="F397">
        <v>1.204984484822075</v>
      </c>
      <c r="G397">
        <v>-1.964655062385688</v>
      </c>
      <c r="H397">
        <v>-1.4881228595553619</v>
      </c>
      <c r="K397">
        <v>7.8997730318483006E-2</v>
      </c>
    </row>
    <row r="398" spans="1:11" x14ac:dyDescent="0.25">
      <c r="A398" t="s">
        <v>397</v>
      </c>
      <c r="B398">
        <v>-0.1507506802779249</v>
      </c>
      <c r="C398">
        <v>-0.88897964344682212</v>
      </c>
      <c r="D398">
        <v>1.198426819587487</v>
      </c>
      <c r="E398">
        <v>3.0209715752802988</v>
      </c>
      <c r="F398">
        <v>1.342764061618779</v>
      </c>
      <c r="G398">
        <v>-2.250446833372167</v>
      </c>
      <c r="H398">
        <v>-1.0874948744797019</v>
      </c>
      <c r="K398">
        <v>2.9237826181523E-3</v>
      </c>
    </row>
    <row r="399" spans="1:11" x14ac:dyDescent="0.25">
      <c r="A399" t="s">
        <v>398</v>
      </c>
      <c r="B399">
        <v>-0.21854313999542949</v>
      </c>
      <c r="C399">
        <v>-0.91230769523204946</v>
      </c>
      <c r="D399">
        <v>0.97147471897005921</v>
      </c>
      <c r="E399">
        <v>2.2927592666720482</v>
      </c>
      <c r="F399">
        <v>-1.7176338763915959</v>
      </c>
      <c r="G399">
        <v>-0.75233803455089909</v>
      </c>
      <c r="H399">
        <v>-2.5946221247782688</v>
      </c>
      <c r="K399">
        <v>0.17826894991460529</v>
      </c>
    </row>
    <row r="400" spans="1:11" x14ac:dyDescent="0.25">
      <c r="A400" t="s">
        <v>399</v>
      </c>
      <c r="B400">
        <v>-0.23797396110738531</v>
      </c>
      <c r="C400">
        <v>-1.1166263889294901</v>
      </c>
      <c r="D400">
        <v>-0.85820177996004232</v>
      </c>
      <c r="E400">
        <v>1.6394248379611489</v>
      </c>
      <c r="F400">
        <v>1.6441984908305369</v>
      </c>
      <c r="G400">
        <v>-2.1140653714104092</v>
      </c>
      <c r="H400">
        <v>-1.629332267593101</v>
      </c>
      <c r="K400">
        <v>2.6723473276235501E-2</v>
      </c>
    </row>
    <row r="401" spans="1:11" x14ac:dyDescent="0.25">
      <c r="A401" t="s">
        <v>400</v>
      </c>
      <c r="B401">
        <v>-0.2170586650632671</v>
      </c>
      <c r="C401">
        <v>-0.61688602046134167</v>
      </c>
      <c r="D401">
        <v>1.2267219617667411</v>
      </c>
      <c r="E401">
        <v>1.878977745042256</v>
      </c>
      <c r="F401">
        <v>-0.51456634302402304</v>
      </c>
      <c r="G401">
        <v>-1.706808323001539</v>
      </c>
      <c r="H401">
        <v>-2.3356643803888009</v>
      </c>
      <c r="K401">
        <v>8.0434532254208393E-2</v>
      </c>
    </row>
    <row r="402" spans="1:11" x14ac:dyDescent="0.25">
      <c r="A402" t="s">
        <v>401</v>
      </c>
      <c r="B402">
        <v>-0.22185136686817039</v>
      </c>
      <c r="C402">
        <v>-0.83080068914101968</v>
      </c>
      <c r="D402">
        <v>0.66203314634124943</v>
      </c>
      <c r="E402">
        <v>1.5570685910249891</v>
      </c>
      <c r="F402">
        <v>-0.45367810093692112</v>
      </c>
      <c r="G402">
        <v>-1.0927575131017</v>
      </c>
      <c r="H402">
        <v>-2.281664781068188</v>
      </c>
      <c r="K402">
        <v>1.04420688015446E-2</v>
      </c>
    </row>
    <row r="403" spans="1:11" x14ac:dyDescent="0.25">
      <c r="A403" t="s">
        <v>402</v>
      </c>
      <c r="B403">
        <v>-0.21846709896690511</v>
      </c>
      <c r="C403">
        <v>-0.55352382402112255</v>
      </c>
      <c r="D403">
        <v>2.875132517818678</v>
      </c>
      <c r="E403">
        <v>2.0746472446654929</v>
      </c>
      <c r="F403">
        <v>-1.916390778113066</v>
      </c>
      <c r="G403">
        <v>-2.0724133176784858</v>
      </c>
      <c r="H403">
        <v>-1.6636720351787311</v>
      </c>
      <c r="K403">
        <v>0.68096930218422058</v>
      </c>
    </row>
    <row r="404" spans="1:11" x14ac:dyDescent="0.25">
      <c r="A404" t="s">
        <v>403</v>
      </c>
      <c r="B404">
        <v>-0.26107097738230001</v>
      </c>
      <c r="C404">
        <v>-1.336800573861344</v>
      </c>
      <c r="D404">
        <v>3.4361384398752191</v>
      </c>
      <c r="E404">
        <v>-2.396545638861447</v>
      </c>
      <c r="F404">
        <v>1.254308132296643</v>
      </c>
      <c r="G404">
        <v>-2.0888637807641781</v>
      </c>
      <c r="H404">
        <v>-1.557449940695264</v>
      </c>
      <c r="K404">
        <v>7.0059290664962706E-2</v>
      </c>
    </row>
    <row r="405" spans="1:11" x14ac:dyDescent="0.25">
      <c r="A405" t="s">
        <v>404</v>
      </c>
      <c r="B405">
        <v>-0.14671187780362199</v>
      </c>
      <c r="C405">
        <v>-0.93316565669189977</v>
      </c>
      <c r="D405">
        <v>1.26578418342877</v>
      </c>
      <c r="E405">
        <v>3.20751152535939</v>
      </c>
      <c r="F405">
        <v>1.4184492292090469</v>
      </c>
      <c r="G405">
        <v>-2.3828917910545409</v>
      </c>
      <c r="H405">
        <v>-1.1888922097656081</v>
      </c>
      <c r="K405">
        <v>2.6339432079073E-3</v>
      </c>
    </row>
    <row r="406" spans="1:11" x14ac:dyDescent="0.25">
      <c r="A406" t="s">
        <v>405</v>
      </c>
      <c r="B406">
        <v>-0.30307576792150082</v>
      </c>
      <c r="C406">
        <v>18.596058710378429</v>
      </c>
      <c r="D406">
        <v>-17.087957768956009</v>
      </c>
      <c r="E406">
        <v>-0.92454693383824504</v>
      </c>
      <c r="F406">
        <v>0.81115159234765177</v>
      </c>
      <c r="G406">
        <v>-1.396503953193226</v>
      </c>
      <c r="H406">
        <v>1.5332609962968811</v>
      </c>
      <c r="K406">
        <v>0.56371868147299065</v>
      </c>
    </row>
    <row r="407" spans="1:11" x14ac:dyDescent="0.25">
      <c r="A407" t="s">
        <v>406</v>
      </c>
      <c r="B407">
        <v>-0.21655217332603299</v>
      </c>
      <c r="C407">
        <v>-0.35731127324890388</v>
      </c>
      <c r="D407">
        <v>-0.33508514038109849</v>
      </c>
      <c r="E407">
        <v>1.3265469905874661</v>
      </c>
      <c r="F407">
        <v>-0.82257735675792099</v>
      </c>
      <c r="G407">
        <v>0.32468187938560988</v>
      </c>
      <c r="H407">
        <v>-1.2630571830831969</v>
      </c>
      <c r="K407">
        <v>1.0040137937150999E-3</v>
      </c>
    </row>
    <row r="408" spans="1:11" x14ac:dyDescent="0.25">
      <c r="A408" t="s">
        <v>407</v>
      </c>
      <c r="B408">
        <v>-0.20946287149178611</v>
      </c>
      <c r="C408">
        <v>-0.69062507381534877</v>
      </c>
      <c r="D408">
        <v>-1.0414847199584001</v>
      </c>
      <c r="E408">
        <v>1.9256399371499859</v>
      </c>
      <c r="F408">
        <v>-2.0076450439883722</v>
      </c>
      <c r="G408">
        <v>0.81098607483515062</v>
      </c>
      <c r="H408">
        <v>-2.1050522367290929</v>
      </c>
      <c r="K408">
        <v>0.18887930360487901</v>
      </c>
    </row>
    <row r="409" spans="1:11" x14ac:dyDescent="0.25">
      <c r="A409" t="s">
        <v>408</v>
      </c>
      <c r="B409">
        <v>-0.19852384352855401</v>
      </c>
      <c r="C409">
        <v>-0.48543426600173478</v>
      </c>
      <c r="D409">
        <v>-0.57368714996536585</v>
      </c>
      <c r="E409">
        <v>0.37843548466518762</v>
      </c>
      <c r="F409">
        <v>1.42210573324895</v>
      </c>
      <c r="G409">
        <v>-0.95768483920194591</v>
      </c>
      <c r="H409">
        <v>-1.3603776923020561</v>
      </c>
      <c r="K409">
        <v>8.7899976908885E-3</v>
      </c>
    </row>
    <row r="410" spans="1:11" x14ac:dyDescent="0.25">
      <c r="A410" t="s">
        <v>409</v>
      </c>
      <c r="B410">
        <v>-0.2242572657404337</v>
      </c>
      <c r="C410">
        <v>-0.19437754798799339</v>
      </c>
      <c r="D410">
        <v>-0.9039782366805309</v>
      </c>
      <c r="E410">
        <v>0.82575713694622466</v>
      </c>
      <c r="F410">
        <v>-0.26641532369050552</v>
      </c>
      <c r="G410">
        <v>0.31879340531363198</v>
      </c>
      <c r="H410">
        <v>0.50349501248897988</v>
      </c>
      <c r="K410">
        <v>1.6457322378800001E-5</v>
      </c>
    </row>
    <row r="411" spans="1:11" x14ac:dyDescent="0.25">
      <c r="A411" t="s">
        <v>410</v>
      </c>
      <c r="B411">
        <v>-0.22799133517324491</v>
      </c>
      <c r="C411">
        <v>-0.30717853008313528</v>
      </c>
      <c r="D411">
        <v>-0.8233072662735248</v>
      </c>
      <c r="E411">
        <v>0.80309763008530266</v>
      </c>
      <c r="F411">
        <v>-0.59052233172289115</v>
      </c>
      <c r="G411">
        <v>0.55993737595753768</v>
      </c>
      <c r="H411">
        <v>0.64009582845463531</v>
      </c>
      <c r="K411">
        <v>1.7108703926900002E-5</v>
      </c>
    </row>
    <row r="412" spans="1:11" x14ac:dyDescent="0.25">
      <c r="A412" t="s">
        <v>411</v>
      </c>
      <c r="B412">
        <v>-0.2211427620541325</v>
      </c>
      <c r="C412">
        <v>0.2118768452655386</v>
      </c>
      <c r="D412">
        <v>-1.1126499731130299</v>
      </c>
      <c r="E412">
        <v>0.80112055308351293</v>
      </c>
      <c r="F412">
        <v>2.2419997170514931</v>
      </c>
      <c r="G412">
        <v>-1.339206492012577</v>
      </c>
      <c r="H412">
        <v>-0.54509067847368553</v>
      </c>
      <c r="K412">
        <v>2.4994946149299999E-5</v>
      </c>
    </row>
    <row r="413" spans="1:11" x14ac:dyDescent="0.25">
      <c r="A413" t="s">
        <v>412</v>
      </c>
      <c r="B413">
        <v>-0.213065450692945</v>
      </c>
      <c r="C413">
        <v>-0.73250849547157448</v>
      </c>
      <c r="D413">
        <v>-1.087069619297562</v>
      </c>
      <c r="E413">
        <v>2.0252217480813721</v>
      </c>
      <c r="F413">
        <v>-2.1384849878990049</v>
      </c>
      <c r="G413">
        <v>0.85423822223108203</v>
      </c>
      <c r="H413">
        <v>-2.2191618855721842</v>
      </c>
      <c r="K413">
        <v>0.1705724192823794</v>
      </c>
    </row>
    <row r="414" spans="1:11" x14ac:dyDescent="0.25">
      <c r="A414" t="s">
        <v>413</v>
      </c>
      <c r="B414">
        <v>-0.19909687815753349</v>
      </c>
      <c r="C414">
        <v>-0.48715856008335101</v>
      </c>
      <c r="D414">
        <v>-0.5401369599322654</v>
      </c>
      <c r="E414">
        <v>0.36610952442115241</v>
      </c>
      <c r="F414">
        <v>1.4041365482389401</v>
      </c>
      <c r="G414">
        <v>-0.920971750723664</v>
      </c>
      <c r="H414">
        <v>-1.331624340925724</v>
      </c>
      <c r="K414">
        <v>6.4131383444584996E-3</v>
      </c>
    </row>
    <row r="415" spans="1:11" x14ac:dyDescent="0.25">
      <c r="A415" t="s">
        <v>414</v>
      </c>
      <c r="B415">
        <v>-0.23186577582980741</v>
      </c>
      <c r="C415">
        <v>-0.19207113408183851</v>
      </c>
      <c r="D415">
        <v>-0.78555261658423026</v>
      </c>
      <c r="E415">
        <v>0.7199040265044373</v>
      </c>
      <c r="F415">
        <v>-0.29094848145016522</v>
      </c>
      <c r="G415">
        <v>0.3170752270458661</v>
      </c>
      <c r="H415">
        <v>0.53642590536114287</v>
      </c>
      <c r="K415">
        <v>9.0922957397000008E-6</v>
      </c>
    </row>
    <row r="416" spans="1:11" x14ac:dyDescent="0.25">
      <c r="A416" t="s">
        <v>415</v>
      </c>
      <c r="B416">
        <v>-0.2348423291788608</v>
      </c>
      <c r="C416">
        <v>-0.31106736246156502</v>
      </c>
      <c r="D416">
        <v>-0.6595622536963599</v>
      </c>
      <c r="E416">
        <v>0.65874005946564396</v>
      </c>
      <c r="F416">
        <v>-0.65420182002489702</v>
      </c>
      <c r="G416">
        <v>0.57856297084176167</v>
      </c>
      <c r="H416">
        <v>0.69885253946819115</v>
      </c>
      <c r="K416">
        <v>1.07017228803E-5</v>
      </c>
    </row>
    <row r="417" spans="1:11" x14ac:dyDescent="0.25">
      <c r="A417" t="s">
        <v>416</v>
      </c>
      <c r="B417">
        <v>-0.44589150912194192</v>
      </c>
      <c r="C417">
        <v>1.8751926248888799</v>
      </c>
      <c r="D417">
        <v>42.368298686860811</v>
      </c>
      <c r="E417">
        <v>-39.646739335366192</v>
      </c>
      <c r="F417">
        <v>-5.0649843985815242</v>
      </c>
      <c r="G417">
        <v>-0.83471589318956951</v>
      </c>
      <c r="H417">
        <v>-3.7042846560784359</v>
      </c>
      <c r="K417">
        <v>0.1042017488281224</v>
      </c>
    </row>
    <row r="418" spans="1:11" x14ac:dyDescent="0.25">
      <c r="A418" t="s">
        <v>417</v>
      </c>
      <c r="B418">
        <v>-0.34734107568568678</v>
      </c>
      <c r="C418">
        <v>-1.981272567971206</v>
      </c>
      <c r="D418">
        <v>1.032469733641231</v>
      </c>
      <c r="E418">
        <v>2.9066883562835759</v>
      </c>
      <c r="F418">
        <v>-1.7703051186180569</v>
      </c>
      <c r="G418">
        <v>-1.6397859960441981</v>
      </c>
      <c r="H418">
        <v>-4.3476683377170353</v>
      </c>
      <c r="K418">
        <v>5.8923409772226702E-2</v>
      </c>
    </row>
    <row r="419" spans="1:11" x14ac:dyDescent="0.25">
      <c r="A419" t="s">
        <v>418</v>
      </c>
      <c r="B419">
        <v>-0.33029860902362362</v>
      </c>
      <c r="C419">
        <v>0.62094914116170852</v>
      </c>
      <c r="D419">
        <v>5.2480141295316693</v>
      </c>
      <c r="E419">
        <v>-2.1937251301725902</v>
      </c>
      <c r="F419">
        <v>-2.9742326047034489</v>
      </c>
      <c r="G419">
        <v>0.78446700807497216</v>
      </c>
      <c r="H419">
        <v>1.54246711991305</v>
      </c>
      <c r="K419">
        <v>3.1617784791569E-3</v>
      </c>
    </row>
    <row r="420" spans="1:11" x14ac:dyDescent="0.25">
      <c r="A420" t="s">
        <v>419</v>
      </c>
      <c r="B420">
        <v>-0.41436122396533198</v>
      </c>
      <c r="C420">
        <v>-1.301352403405833</v>
      </c>
      <c r="D420">
        <v>1.254769352753037</v>
      </c>
      <c r="E420">
        <v>3.142178036425987</v>
      </c>
      <c r="F420">
        <v>-1.7913143839332419</v>
      </c>
      <c r="G420">
        <v>-1.8165608674206819</v>
      </c>
      <c r="H420">
        <v>-3.6422210167262632</v>
      </c>
      <c r="K420">
        <v>2.6136284473185899E-2</v>
      </c>
    </row>
    <row r="421" spans="1:11" x14ac:dyDescent="0.25">
      <c r="A421" t="s">
        <v>420</v>
      </c>
      <c r="B421">
        <v>-0.36983478260865632</v>
      </c>
      <c r="C421">
        <v>-2.1052097431589969</v>
      </c>
      <c r="D421">
        <v>2.8669617431271299</v>
      </c>
      <c r="E421">
        <v>0.81577336056617367</v>
      </c>
      <c r="F421">
        <v>1.942356936672903</v>
      </c>
      <c r="G421">
        <v>-0.7158533954524261</v>
      </c>
      <c r="H421">
        <v>-0.8681249149859277</v>
      </c>
      <c r="K421">
        <v>3.040347904911E-4</v>
      </c>
    </row>
    <row r="422" spans="1:11" x14ac:dyDescent="0.25">
      <c r="A422" t="s">
        <v>421</v>
      </c>
      <c r="B422">
        <v>-0.42461601324349241</v>
      </c>
      <c r="C422">
        <v>-1.4930636590393109</v>
      </c>
      <c r="D422">
        <v>-1.4367319369574321</v>
      </c>
      <c r="E422">
        <v>2.0389309890535592</v>
      </c>
      <c r="F422">
        <v>2.5777373734875741</v>
      </c>
      <c r="G422">
        <v>-2.9817457107622021</v>
      </c>
      <c r="H422">
        <v>-1.856648489250704</v>
      </c>
      <c r="K422">
        <v>0.65469998820211983</v>
      </c>
    </row>
    <row r="423" spans="1:11" x14ac:dyDescent="0.25">
      <c r="A423" t="s">
        <v>422</v>
      </c>
      <c r="B423">
        <v>-0.32574200541151771</v>
      </c>
      <c r="C423">
        <v>-1.477138719683867</v>
      </c>
      <c r="D423">
        <v>-1.962924780526329</v>
      </c>
      <c r="E423">
        <v>2.1305133728297929</v>
      </c>
      <c r="F423">
        <v>2.768500995790935</v>
      </c>
      <c r="G423">
        <v>-2.732646391266242</v>
      </c>
      <c r="H423">
        <v>-2.5212439400102671</v>
      </c>
      <c r="K423">
        <v>9.3500771871584801E-2</v>
      </c>
    </row>
    <row r="424" spans="1:11" x14ac:dyDescent="0.25">
      <c r="A424" t="s">
        <v>423</v>
      </c>
      <c r="B424">
        <v>-0.58072886888512054</v>
      </c>
      <c r="C424">
        <v>-1.7010038085152901</v>
      </c>
      <c r="D424">
        <v>4.6858643701682272</v>
      </c>
      <c r="E424">
        <v>-3.3458078898459052</v>
      </c>
      <c r="F424">
        <v>1.448141674792319</v>
      </c>
      <c r="G424">
        <v>-2.758512635527028</v>
      </c>
      <c r="H424">
        <v>-1.644301265285673</v>
      </c>
      <c r="K424">
        <v>0.79241537964468156</v>
      </c>
    </row>
    <row r="425" spans="1:11" x14ac:dyDescent="0.25">
      <c r="A425" t="s">
        <v>424</v>
      </c>
      <c r="B425">
        <v>-0.31571872111444682</v>
      </c>
      <c r="C425">
        <v>-1.4676321336406271</v>
      </c>
      <c r="D425">
        <v>2.173506726738748</v>
      </c>
      <c r="E425">
        <v>6.7351723589370547</v>
      </c>
      <c r="F425">
        <v>-3.182258334402043</v>
      </c>
      <c r="G425">
        <v>-2.8347903831453269</v>
      </c>
      <c r="H425">
        <v>2.510024995788934</v>
      </c>
      <c r="K425">
        <v>0.96724011899471685</v>
      </c>
    </row>
    <row r="426" spans="1:11" x14ac:dyDescent="0.25">
      <c r="A426" t="s">
        <v>425</v>
      </c>
      <c r="B426">
        <v>-0.32661909284407697</v>
      </c>
      <c r="C426">
        <v>-1.9535400786208921</v>
      </c>
      <c r="D426">
        <v>1.172044777353735</v>
      </c>
      <c r="E426">
        <v>2.364968605212685</v>
      </c>
      <c r="F426">
        <v>-1.9264490637404681</v>
      </c>
      <c r="G426">
        <v>0.46284664643181223</v>
      </c>
      <c r="H426">
        <v>-0.78854209717644341</v>
      </c>
      <c r="K426">
        <v>6.3734984861990696E-2</v>
      </c>
    </row>
    <row r="427" spans="1:11" x14ac:dyDescent="0.25">
      <c r="A427" t="s">
        <v>426</v>
      </c>
      <c r="B427">
        <v>-0.36905792115927821</v>
      </c>
      <c r="C427">
        <v>-1.8243432671418871</v>
      </c>
      <c r="D427">
        <v>0.96974039381912314</v>
      </c>
      <c r="E427">
        <v>3.5270917424235888</v>
      </c>
      <c r="F427">
        <v>-2.5080888775867232</v>
      </c>
      <c r="G427">
        <v>0.8869809184437385</v>
      </c>
      <c r="H427">
        <v>-1.6459143377110059</v>
      </c>
      <c r="K427">
        <v>0.34793509357718172</v>
      </c>
    </row>
    <row r="428" spans="1:11" x14ac:dyDescent="0.25">
      <c r="A428" t="s">
        <v>427</v>
      </c>
      <c r="B428">
        <v>-0.17840258589551941</v>
      </c>
      <c r="C428">
        <v>-1.1809046249561019</v>
      </c>
      <c r="D428">
        <v>3.0822108326662812</v>
      </c>
      <c r="E428">
        <v>-3.8262972469432852</v>
      </c>
      <c r="F428">
        <v>0.56844714876886981</v>
      </c>
      <c r="G428">
        <v>-0.56292545873898925</v>
      </c>
      <c r="H428">
        <v>-2.6710046136082579</v>
      </c>
      <c r="K428">
        <v>6.5386762966715306E-2</v>
      </c>
    </row>
    <row r="429" spans="1:11" x14ac:dyDescent="0.25">
      <c r="A429" t="s">
        <v>428</v>
      </c>
      <c r="B429">
        <v>-0.25046036390740972</v>
      </c>
      <c r="C429">
        <v>-1.520709976397616</v>
      </c>
      <c r="D429">
        <v>2.102020932463005</v>
      </c>
      <c r="E429">
        <v>-1.3649401393591409</v>
      </c>
      <c r="F429">
        <v>4.1523168535088768</v>
      </c>
      <c r="G429">
        <v>-1.9106780677456161</v>
      </c>
      <c r="H429">
        <v>-1.9704719784599609</v>
      </c>
      <c r="K429">
        <v>0.38861666717650928</v>
      </c>
    </row>
    <row r="430" spans="1:11" x14ac:dyDescent="0.25">
      <c r="A430" t="s">
        <v>429</v>
      </c>
      <c r="B430">
        <v>-0.43545174741881781</v>
      </c>
      <c r="C430">
        <v>-1.5363650465700609</v>
      </c>
      <c r="D430">
        <v>-1.4967734229191001</v>
      </c>
      <c r="E430">
        <v>2.0840488878192232</v>
      </c>
      <c r="F430">
        <v>2.6637124176740539</v>
      </c>
      <c r="G430">
        <v>-3.071232862873968</v>
      </c>
      <c r="H430">
        <v>-1.9312549263099179</v>
      </c>
      <c r="K430">
        <v>0.54298250440673823</v>
      </c>
    </row>
    <row r="431" spans="1:11" x14ac:dyDescent="0.25">
      <c r="A431" t="s">
        <v>430</v>
      </c>
      <c r="B431">
        <v>-0.64893982081852497</v>
      </c>
      <c r="C431">
        <v>-2.081104535778135</v>
      </c>
      <c r="D431">
        <v>5.7147840565179653</v>
      </c>
      <c r="E431">
        <v>-4.0717224865513844</v>
      </c>
      <c r="F431">
        <v>1.735349131222375</v>
      </c>
      <c r="G431">
        <v>-3.481409613499451</v>
      </c>
      <c r="H431">
        <v>-1.998229514994738</v>
      </c>
      <c r="K431">
        <v>0.8951374050705958</v>
      </c>
    </row>
    <row r="432" spans="1:11" x14ac:dyDescent="0.25">
      <c r="A432" t="s">
        <v>431</v>
      </c>
      <c r="B432">
        <v>-0.31913236573739823</v>
      </c>
      <c r="C432">
        <v>-1.5583513617724549</v>
      </c>
      <c r="D432">
        <v>2.3335692514935902</v>
      </c>
      <c r="E432">
        <v>7.16445780143939</v>
      </c>
      <c r="F432">
        <v>-3.3740940652783449</v>
      </c>
      <c r="G432">
        <v>-3.0458407714993498</v>
      </c>
      <c r="H432">
        <v>2.689787086175218</v>
      </c>
      <c r="K432">
        <v>0.99035256236056901</v>
      </c>
    </row>
    <row r="433" spans="1:11" x14ac:dyDescent="0.25">
      <c r="A433" t="s">
        <v>432</v>
      </c>
      <c r="B433">
        <v>-0.36251182739635518</v>
      </c>
      <c r="C433">
        <v>-1.4771265743058939</v>
      </c>
      <c r="D433">
        <v>0.97612179714258906</v>
      </c>
      <c r="E433">
        <v>2.919188381079183</v>
      </c>
      <c r="F433">
        <v>-2.0670503185883602</v>
      </c>
      <c r="G433">
        <v>1.1572844529361019</v>
      </c>
      <c r="H433">
        <v>-1.5687975156010661</v>
      </c>
      <c r="K433">
        <v>0.41318683633122649</v>
      </c>
    </row>
    <row r="434" spans="1:11" x14ac:dyDescent="0.25">
      <c r="A434" t="s">
        <v>433</v>
      </c>
      <c r="B434">
        <v>-0.33797694828522962</v>
      </c>
      <c r="C434">
        <v>-2.1492173570659681</v>
      </c>
      <c r="D434">
        <v>1.294627084060304</v>
      </c>
      <c r="E434">
        <v>2.618687796806765</v>
      </c>
      <c r="F434">
        <v>-2.1171085965455561</v>
      </c>
      <c r="G434">
        <v>0.45353219756889518</v>
      </c>
      <c r="H434">
        <v>-0.88632085607705602</v>
      </c>
      <c r="K434">
        <v>6.0942351786089498E-2</v>
      </c>
    </row>
    <row r="435" spans="1:11" x14ac:dyDescent="0.25">
      <c r="A435" t="s">
        <v>434</v>
      </c>
      <c r="B435">
        <v>-0.28908817875356752</v>
      </c>
      <c r="C435">
        <v>-1.5474770374231761</v>
      </c>
      <c r="D435">
        <v>1.3632180028209699</v>
      </c>
      <c r="E435">
        <v>5.7153887864091262</v>
      </c>
      <c r="F435">
        <v>-2.6693672376371511</v>
      </c>
      <c r="G435">
        <v>-2.5826898752123819</v>
      </c>
      <c r="H435">
        <v>1.1384375600764041</v>
      </c>
      <c r="K435">
        <v>0.54644476446835677</v>
      </c>
    </row>
    <row r="436" spans="1:11" x14ac:dyDescent="0.25">
      <c r="A436" t="s">
        <v>435</v>
      </c>
      <c r="B436">
        <v>-0.37414861789226589</v>
      </c>
      <c r="C436">
        <v>-2.1056771566676491</v>
      </c>
      <c r="D436">
        <v>1.149707048593114</v>
      </c>
      <c r="E436">
        <v>3.841432535527495</v>
      </c>
      <c r="F436">
        <v>-2.735050885622174</v>
      </c>
      <c r="G436">
        <v>0.90894540413292346</v>
      </c>
      <c r="H436">
        <v>-1.8071652371020051</v>
      </c>
      <c r="K436">
        <v>0.42578094499293179</v>
      </c>
    </row>
    <row r="437" spans="1:11" x14ac:dyDescent="0.25">
      <c r="A437" t="s">
        <v>436</v>
      </c>
      <c r="B437">
        <v>-0.18544156943753171</v>
      </c>
      <c r="C437">
        <v>-1.0712036355844829</v>
      </c>
      <c r="D437">
        <v>2.9269038344543632</v>
      </c>
      <c r="E437">
        <v>-3.6830968547009562</v>
      </c>
      <c r="F437">
        <v>0.58177802249616895</v>
      </c>
      <c r="G437">
        <v>-0.54411465205594367</v>
      </c>
      <c r="H437">
        <v>-2.6018336570264711</v>
      </c>
      <c r="K437">
        <v>3.2430518001063398E-2</v>
      </c>
    </row>
    <row r="438" spans="1:11" x14ac:dyDescent="0.25">
      <c r="A438" t="s">
        <v>437</v>
      </c>
      <c r="B438">
        <v>-0.25073041765736331</v>
      </c>
      <c r="C438">
        <v>-1.5557157298582329</v>
      </c>
      <c r="D438">
        <v>2.1728830832507868</v>
      </c>
      <c r="E438">
        <v>-1.3995799144225149</v>
      </c>
      <c r="F438">
        <v>4.2695001889084132</v>
      </c>
      <c r="G438">
        <v>-1.9622351626360961</v>
      </c>
      <c r="H438">
        <v>-2.0359037723943829</v>
      </c>
      <c r="K438">
        <v>0.22935240254124639</v>
      </c>
    </row>
    <row r="439" spans="1:11" x14ac:dyDescent="0.25">
      <c r="A439" t="s">
        <v>438</v>
      </c>
      <c r="B439">
        <v>-0.25247832686764382</v>
      </c>
      <c r="C439">
        <v>19.917059225550659</v>
      </c>
      <c r="D439">
        <v>-19.03371705661657</v>
      </c>
      <c r="E439">
        <v>-0.83097269946437469</v>
      </c>
      <c r="F439">
        <v>-0.47560635399624279</v>
      </c>
      <c r="G439">
        <v>0.66265648891576978</v>
      </c>
      <c r="H439">
        <v>0.45610898663931432</v>
      </c>
      <c r="K439">
        <v>0.55472036874187358</v>
      </c>
    </row>
    <row r="440" spans="1:11" x14ac:dyDescent="0.25">
      <c r="A440" t="s">
        <v>439</v>
      </c>
      <c r="B440">
        <v>-0.22278757086321371</v>
      </c>
      <c r="C440">
        <v>16.687701485432839</v>
      </c>
      <c r="D440">
        <v>-15.67573870063384</v>
      </c>
      <c r="E440">
        <v>-0.82693972917047265</v>
      </c>
      <c r="F440">
        <v>1.3054251928517091</v>
      </c>
      <c r="G440">
        <v>-1.7322132182582191</v>
      </c>
      <c r="H440">
        <v>1.2175954251929759</v>
      </c>
      <c r="K440">
        <v>0.54325885977524502</v>
      </c>
    </row>
    <row r="441" spans="1:11" x14ac:dyDescent="0.25">
      <c r="A441" t="s">
        <v>440</v>
      </c>
      <c r="B441">
        <v>-0.31295628867381531</v>
      </c>
      <c r="C441">
        <v>-0.40756088406897278</v>
      </c>
      <c r="D441">
        <v>-0.33185785110182092</v>
      </c>
      <c r="E441">
        <v>1.3920749583472249</v>
      </c>
      <c r="F441">
        <v>-0.86009906270688607</v>
      </c>
      <c r="G441">
        <v>0.30609546322268688</v>
      </c>
      <c r="H441">
        <v>-1.254912633324853</v>
      </c>
      <c r="K441">
        <v>4.7720732672917997E-3</v>
      </c>
    </row>
    <row r="442" spans="1:11" x14ac:dyDescent="0.25">
      <c r="A442" t="s">
        <v>441</v>
      </c>
      <c r="B442">
        <v>-0.1703693672027897</v>
      </c>
      <c r="C442">
        <v>-0.62293597506450837</v>
      </c>
      <c r="D442">
        <v>0.73346063147547758</v>
      </c>
      <c r="E442">
        <v>2.490338505247808</v>
      </c>
      <c r="F442">
        <v>-2.7776481942037781</v>
      </c>
      <c r="G442">
        <v>1.5171639640556669</v>
      </c>
      <c r="H442">
        <v>1.0494979547897689</v>
      </c>
      <c r="K442">
        <v>8.1919917305931803E-2</v>
      </c>
    </row>
    <row r="443" spans="1:11" x14ac:dyDescent="0.25">
      <c r="A443" t="s">
        <v>442</v>
      </c>
      <c r="B443">
        <v>-0.40283424080926522</v>
      </c>
      <c r="C443">
        <v>0.35067082743464062</v>
      </c>
      <c r="D443">
        <v>0.65941072001202272</v>
      </c>
      <c r="E443">
        <v>-1.0875797500590689</v>
      </c>
      <c r="F443">
        <v>4.0852603519976469</v>
      </c>
      <c r="G443">
        <v>-2.4801240396909678</v>
      </c>
      <c r="H443">
        <v>-1.3768989359082009</v>
      </c>
      <c r="K443">
        <v>1.4239309635199999E-5</v>
      </c>
    </row>
    <row r="444" spans="1:11" x14ac:dyDescent="0.25">
      <c r="A444" t="s">
        <v>443</v>
      </c>
      <c r="B444">
        <v>-0.34943267876718398</v>
      </c>
      <c r="C444">
        <v>-0.74749899254574081</v>
      </c>
      <c r="D444">
        <v>-1.0179953666219399</v>
      </c>
      <c r="E444">
        <v>1.975859481571274</v>
      </c>
      <c r="F444">
        <v>-1.9928627763415661</v>
      </c>
      <c r="G444">
        <v>0.76649361341592614</v>
      </c>
      <c r="H444">
        <v>-2.0450744340448379</v>
      </c>
      <c r="K444">
        <v>0.45541967084629342</v>
      </c>
    </row>
    <row r="445" spans="1:11" x14ac:dyDescent="0.25">
      <c r="A445" t="s">
        <v>444</v>
      </c>
      <c r="B445">
        <v>-0.30940041780514321</v>
      </c>
      <c r="C445">
        <v>-0.53851564212552394</v>
      </c>
      <c r="D445">
        <v>-0.55212187031763127</v>
      </c>
      <c r="E445">
        <v>0.35323538076216571</v>
      </c>
      <c r="F445">
        <v>1.455717176600493</v>
      </c>
      <c r="G445">
        <v>-0.96153633425407548</v>
      </c>
      <c r="H445">
        <v>-1.3039618677030871</v>
      </c>
      <c r="K445">
        <v>3.2166855393328503E-2</v>
      </c>
    </row>
    <row r="446" spans="1:11" x14ac:dyDescent="0.25">
      <c r="A446" t="s">
        <v>445</v>
      </c>
      <c r="B446">
        <v>-0.29788473096572349</v>
      </c>
      <c r="C446">
        <v>-0.195122837617832</v>
      </c>
      <c r="D446">
        <v>-0.77226542302885648</v>
      </c>
      <c r="E446">
        <v>0.67501177152445135</v>
      </c>
      <c r="F446">
        <v>-0.38074798830414669</v>
      </c>
      <c r="G446">
        <v>0.3625548699156137</v>
      </c>
      <c r="H446">
        <v>0.56287879156409004</v>
      </c>
      <c r="K446">
        <v>1.7269933139299998E-5</v>
      </c>
    </row>
    <row r="447" spans="1:11" x14ac:dyDescent="0.25">
      <c r="A447" t="s">
        <v>446</v>
      </c>
      <c r="B447">
        <v>-0.29710588548170791</v>
      </c>
      <c r="C447">
        <v>-0.33513633662778602</v>
      </c>
      <c r="D447">
        <v>-0.66158145620668662</v>
      </c>
      <c r="E447">
        <v>0.64397467173827572</v>
      </c>
      <c r="F447">
        <v>-0.811417896228949</v>
      </c>
      <c r="G447">
        <v>0.67387697890754261</v>
      </c>
      <c r="H447">
        <v>0.75355234587638731</v>
      </c>
      <c r="K447">
        <v>1.81186317264E-5</v>
      </c>
    </row>
    <row r="448" spans="1:11" x14ac:dyDescent="0.25">
      <c r="A448" t="s">
        <v>447</v>
      </c>
      <c r="B448">
        <v>-0.3192500531726829</v>
      </c>
      <c r="C448">
        <v>0.22938865963019259</v>
      </c>
      <c r="D448">
        <v>-1.0317270783699539</v>
      </c>
      <c r="E448">
        <v>0.66892644192567785</v>
      </c>
      <c r="F448">
        <v>2.5422808235487602</v>
      </c>
      <c r="G448">
        <v>-1.621051041226893</v>
      </c>
      <c r="H448">
        <v>-0.58611677386929029</v>
      </c>
      <c r="K448">
        <v>6.0328317417700003E-5</v>
      </c>
    </row>
    <row r="449" spans="1:11" x14ac:dyDescent="0.25">
      <c r="A449" t="s">
        <v>448</v>
      </c>
      <c r="B449">
        <v>-0.35529925817948588</v>
      </c>
      <c r="C449">
        <v>-0.79757900592470321</v>
      </c>
      <c r="D449">
        <v>-1.0898799176862819</v>
      </c>
      <c r="E449">
        <v>2.1094732313818811</v>
      </c>
      <c r="F449">
        <v>-2.1745025166645622</v>
      </c>
      <c r="G449">
        <v>0.82511072963327847</v>
      </c>
      <c r="H449">
        <v>-2.2027429210855249</v>
      </c>
      <c r="K449">
        <v>0.43627892152177872</v>
      </c>
    </row>
    <row r="450" spans="1:11" x14ac:dyDescent="0.25">
      <c r="A450" t="s">
        <v>449</v>
      </c>
      <c r="B450">
        <v>-0.31017209760323478</v>
      </c>
      <c r="C450">
        <v>-0.53898431240822509</v>
      </c>
      <c r="D450">
        <v>-0.52490481301597658</v>
      </c>
      <c r="E450">
        <v>0.34194452004263159</v>
      </c>
      <c r="F450">
        <v>1.4437561212518</v>
      </c>
      <c r="G450">
        <v>-0.93217662380487665</v>
      </c>
      <c r="H450">
        <v>-1.2864617835772441</v>
      </c>
      <c r="K450">
        <v>2.4963009466761801E-2</v>
      </c>
    </row>
    <row r="451" spans="1:11" x14ac:dyDescent="0.25">
      <c r="A451" t="s">
        <v>450</v>
      </c>
      <c r="B451">
        <v>-0.3086087018126038</v>
      </c>
      <c r="C451">
        <v>-0.18996599125473951</v>
      </c>
      <c r="D451">
        <v>-0.62294134662042522</v>
      </c>
      <c r="E451">
        <v>0.54193951451158529</v>
      </c>
      <c r="F451">
        <v>-0.41185908117041359</v>
      </c>
      <c r="G451">
        <v>0.3586578664914607</v>
      </c>
      <c r="H451">
        <v>0.60358574519246022</v>
      </c>
      <c r="K451">
        <v>1.1491562145E-5</v>
      </c>
    </row>
    <row r="452" spans="1:11" x14ac:dyDescent="0.25">
      <c r="A452" t="s">
        <v>451</v>
      </c>
      <c r="B452">
        <v>-0.32338871540837011</v>
      </c>
      <c r="C452">
        <v>0.2195353611763329</v>
      </c>
      <c r="D452">
        <v>-1.016266626706436</v>
      </c>
      <c r="E452">
        <v>0.66735031409988421</v>
      </c>
      <c r="F452">
        <v>2.5441565908988668</v>
      </c>
      <c r="G452">
        <v>-1.635325877559006</v>
      </c>
      <c r="H452">
        <v>-0.57121285756737494</v>
      </c>
      <c r="K452">
        <v>2.87148097677E-5</v>
      </c>
    </row>
    <row r="453" spans="1:11" x14ac:dyDescent="0.25">
      <c r="A453" t="s">
        <v>452</v>
      </c>
      <c r="B453">
        <v>-0.39738399558198079</v>
      </c>
      <c r="C453">
        <v>2.1575228848953372</v>
      </c>
      <c r="D453">
        <v>49.808529451484993</v>
      </c>
      <c r="E453">
        <v>-46.397838359411189</v>
      </c>
      <c r="F453">
        <v>-6.1049022656981684</v>
      </c>
      <c r="G453">
        <v>-1.103616384914295</v>
      </c>
      <c r="H453">
        <v>-4.2914383410847297</v>
      </c>
      <c r="K453">
        <v>4.9107743235486098E-2</v>
      </c>
    </row>
    <row r="454" spans="1:11" x14ac:dyDescent="0.25">
      <c r="A454" t="s">
        <v>453</v>
      </c>
      <c r="B454">
        <v>-0.31025289764972819</v>
      </c>
      <c r="C454">
        <v>-2.645041506014445</v>
      </c>
      <c r="D454">
        <v>3.7497859274602598</v>
      </c>
      <c r="E454">
        <v>1.1160195872013161</v>
      </c>
      <c r="F454">
        <v>2.6789841251700741</v>
      </c>
      <c r="G454">
        <v>1.6081205376294549</v>
      </c>
      <c r="H454">
        <v>-1.992817647870246</v>
      </c>
      <c r="I454">
        <v>-1.839364613331046</v>
      </c>
      <c r="K454">
        <v>0.42773429932738999</v>
      </c>
    </row>
    <row r="455" spans="1:11" x14ac:dyDescent="0.25">
      <c r="A455" t="s">
        <v>454</v>
      </c>
      <c r="B455">
        <v>-0.26709523250466949</v>
      </c>
      <c r="C455">
        <v>-1.6098584385178489</v>
      </c>
      <c r="D455">
        <v>-3.3883377316870611</v>
      </c>
      <c r="E455">
        <v>2.44889915789989</v>
      </c>
      <c r="F455">
        <v>1.2635676070222479</v>
      </c>
      <c r="G455">
        <v>4.5083678965988074</v>
      </c>
      <c r="H455">
        <v>-4.6237463375664074</v>
      </c>
      <c r="I455">
        <v>-2.4666828095300288</v>
      </c>
      <c r="K455">
        <v>0.1200003797312796</v>
      </c>
    </row>
    <row r="456" spans="1:11" x14ac:dyDescent="0.25">
      <c r="A456" t="s">
        <v>455</v>
      </c>
      <c r="B456">
        <v>-0.24813344676963059</v>
      </c>
      <c r="C456">
        <v>-0.64301349618955461</v>
      </c>
      <c r="D456">
        <v>-0.72911203510825306</v>
      </c>
      <c r="E456">
        <v>1.206592419056034</v>
      </c>
      <c r="F456">
        <v>3.05741423013894</v>
      </c>
      <c r="G456">
        <v>-2.399770964031402</v>
      </c>
      <c r="H456">
        <v>-1.0232208618729219</v>
      </c>
      <c r="I456">
        <v>-3.5799803053485082</v>
      </c>
      <c r="K456">
        <v>0.84972860740667733</v>
      </c>
    </row>
    <row r="457" spans="1:11" x14ac:dyDescent="0.25">
      <c r="A457" t="s">
        <v>456</v>
      </c>
      <c r="B457">
        <v>-0.19973690349058559</v>
      </c>
      <c r="C457">
        <v>-1.3972320252543811</v>
      </c>
      <c r="D457">
        <v>0.84498037877442533</v>
      </c>
      <c r="E457">
        <v>4.7423088081687723</v>
      </c>
      <c r="F457">
        <v>-2.6315290155342548</v>
      </c>
      <c r="G457">
        <v>0.82337164382654482</v>
      </c>
      <c r="H457">
        <v>-1.3112906640720969</v>
      </c>
      <c r="I457">
        <v>-1.191368889146895</v>
      </c>
      <c r="K457">
        <v>3.07335088539641E-2</v>
      </c>
    </row>
    <row r="458" spans="1:11" x14ac:dyDescent="0.25">
      <c r="A458" t="s">
        <v>457</v>
      </c>
      <c r="B458">
        <v>-0.20388677732211699</v>
      </c>
      <c r="C458">
        <v>-1.5715381502196</v>
      </c>
      <c r="D458">
        <v>0.95666265822106655</v>
      </c>
      <c r="E458">
        <v>5.1666833019151133</v>
      </c>
      <c r="F458">
        <v>-2.9086770523596628</v>
      </c>
      <c r="G458">
        <v>0.86761350929536407</v>
      </c>
      <c r="H458">
        <v>-1.4868474205910009</v>
      </c>
      <c r="I458">
        <v>-1.2376101397798931</v>
      </c>
      <c r="K458">
        <v>2.4630236413054701E-2</v>
      </c>
    </row>
    <row r="459" spans="1:11" x14ac:dyDescent="0.25">
      <c r="A459" t="s">
        <v>458</v>
      </c>
      <c r="B459">
        <v>-0.34728058023226732</v>
      </c>
      <c r="C459">
        <v>-0.45102966091577251</v>
      </c>
      <c r="D459">
        <v>-3.0317311904490478</v>
      </c>
      <c r="E459">
        <v>4.2131709565250031</v>
      </c>
      <c r="F459">
        <v>1.1117872621937059</v>
      </c>
      <c r="G459">
        <v>2.7033798393636741</v>
      </c>
      <c r="H459">
        <v>-1.3905662846404701</v>
      </c>
      <c r="I459">
        <v>-0.70456406784123515</v>
      </c>
      <c r="K459">
        <v>0.72306967803544064</v>
      </c>
    </row>
    <row r="460" spans="1:11" x14ac:dyDescent="0.25">
      <c r="A460" t="s">
        <v>459</v>
      </c>
      <c r="B460">
        <v>-0.28779546337066719</v>
      </c>
      <c r="C460">
        <v>-0.58176155556886089</v>
      </c>
      <c r="D460">
        <v>-2.177170305609192</v>
      </c>
      <c r="E460">
        <v>3.3060535291409718</v>
      </c>
      <c r="F460">
        <v>1.4676175818530111</v>
      </c>
      <c r="G460">
        <v>2.235600452483399</v>
      </c>
      <c r="H460">
        <v>-0.68778627951620841</v>
      </c>
      <c r="I460">
        <v>-1.2982486574328489</v>
      </c>
      <c r="K460">
        <v>0.60240763309890277</v>
      </c>
    </row>
    <row r="461" spans="1:11" x14ac:dyDescent="0.25">
      <c r="A461" t="s">
        <v>460</v>
      </c>
      <c r="B461">
        <v>-0.37706060046454049</v>
      </c>
      <c r="C461">
        <v>-0.70055464623294972</v>
      </c>
      <c r="D461">
        <v>-3.299572780226125</v>
      </c>
      <c r="E461">
        <v>4.5361586050482199</v>
      </c>
      <c r="F461">
        <v>1.09877707987258</v>
      </c>
      <c r="G461">
        <v>2.6949433853835272</v>
      </c>
      <c r="H461">
        <v>-0.94979942931811145</v>
      </c>
      <c r="I461">
        <v>-1.049491194013203</v>
      </c>
      <c r="K461">
        <v>0.96526539046505389</v>
      </c>
    </row>
    <row r="462" spans="1:11" x14ac:dyDescent="0.25">
      <c r="A462" t="s">
        <v>461</v>
      </c>
      <c r="B462">
        <v>-0.20491190142881599</v>
      </c>
      <c r="C462">
        <v>-0.36162701626899652</v>
      </c>
      <c r="D462">
        <v>-0.46063329460024788</v>
      </c>
      <c r="E462">
        <v>1.600160174125409</v>
      </c>
      <c r="F462">
        <v>2.2714071795980399</v>
      </c>
      <c r="G462">
        <v>-0.86743505966503698</v>
      </c>
      <c r="H462">
        <v>-1.8411024182976721</v>
      </c>
      <c r="I462">
        <v>-2.1539581733519539</v>
      </c>
      <c r="K462">
        <v>0.67582937002005616</v>
      </c>
    </row>
    <row r="463" spans="1:11" x14ac:dyDescent="0.25">
      <c r="A463" t="s">
        <v>462</v>
      </c>
      <c r="B463">
        <v>-0.27020048802591939</v>
      </c>
      <c r="C463">
        <v>-0.25227182403019638</v>
      </c>
      <c r="D463">
        <v>-1.355275469528366</v>
      </c>
      <c r="E463">
        <v>-2.0151590757108182</v>
      </c>
      <c r="F463">
        <v>2.1909385035659188</v>
      </c>
      <c r="G463">
        <v>2.979964173475095</v>
      </c>
      <c r="H463">
        <v>-2.7675945857023652</v>
      </c>
      <c r="I463">
        <v>-2.2747967966456328</v>
      </c>
      <c r="K463">
        <v>2.67392620205597E-2</v>
      </c>
    </row>
    <row r="464" spans="1:11" x14ac:dyDescent="0.25">
      <c r="A464" t="s">
        <v>463</v>
      </c>
      <c r="B464">
        <v>-0.22812127442205099</v>
      </c>
      <c r="C464">
        <v>-0.44005032982808728</v>
      </c>
      <c r="D464">
        <v>-0.99118982673287392</v>
      </c>
      <c r="E464">
        <v>0.95257834942715569</v>
      </c>
      <c r="F464">
        <v>2.0645328583823441</v>
      </c>
      <c r="G464">
        <v>-1.4746509379895689</v>
      </c>
      <c r="H464">
        <v>-0.77633519941327678</v>
      </c>
      <c r="I464">
        <v>-2.135437859565728</v>
      </c>
      <c r="K464">
        <v>0.1978391265072644</v>
      </c>
    </row>
    <row r="465" spans="1:11" x14ac:dyDescent="0.25">
      <c r="A465" t="s">
        <v>464</v>
      </c>
      <c r="B465">
        <v>-0.20608812183672059</v>
      </c>
      <c r="C465">
        <v>-0.36415934192658661</v>
      </c>
      <c r="D465">
        <v>-0.48165201761595139</v>
      </c>
      <c r="E465">
        <v>1.659149954922347</v>
      </c>
      <c r="F465">
        <v>2.345706332055066</v>
      </c>
      <c r="G465">
        <v>-0.89482236305720586</v>
      </c>
      <c r="H465">
        <v>-1.9319494418404699</v>
      </c>
      <c r="I465">
        <v>-2.2420375551886589</v>
      </c>
      <c r="K465">
        <v>0.63601653754895393</v>
      </c>
    </row>
    <row r="466" spans="1:11" x14ac:dyDescent="0.25">
      <c r="A466" t="s">
        <v>465</v>
      </c>
      <c r="B466">
        <v>-0.2357474246101339</v>
      </c>
      <c r="C466">
        <v>-0.45696206949352802</v>
      </c>
      <c r="D466">
        <v>-1.0974496881624889</v>
      </c>
      <c r="E466">
        <v>1.057062595641554</v>
      </c>
      <c r="F466">
        <v>2.237518399194474</v>
      </c>
      <c r="G466">
        <v>-1.6158465972369991</v>
      </c>
      <c r="H466">
        <v>-0.90906622008418714</v>
      </c>
      <c r="I466">
        <v>-2.35420734255933</v>
      </c>
      <c r="K466">
        <v>0.22870846034528461</v>
      </c>
    </row>
    <row r="467" spans="1:11" x14ac:dyDescent="0.25">
      <c r="A467" t="s">
        <v>466</v>
      </c>
      <c r="B467">
        <v>-0.33840036911480792</v>
      </c>
      <c r="C467">
        <v>0.69498299835440325</v>
      </c>
      <c r="D467">
        <v>28.37764250804992</v>
      </c>
      <c r="E467">
        <v>-26.305931257923021</v>
      </c>
      <c r="F467">
        <v>-2.9146246187872999</v>
      </c>
      <c r="G467">
        <v>-0.60919311446662416</v>
      </c>
      <c r="H467">
        <v>0.81904865708929531</v>
      </c>
      <c r="I467">
        <v>-1.7199887440742161</v>
      </c>
      <c r="K467">
        <v>0.2654609753966472</v>
      </c>
    </row>
    <row r="468" spans="1:11" x14ac:dyDescent="0.25">
      <c r="A468" t="s">
        <v>467</v>
      </c>
      <c r="B468">
        <v>-0.26525431505010438</v>
      </c>
      <c r="C468">
        <v>0.58188763797111054</v>
      </c>
      <c r="D468">
        <v>23.430486690938849</v>
      </c>
      <c r="E468">
        <v>-21.956324554878801</v>
      </c>
      <c r="F468">
        <v>-1.8248799229482939</v>
      </c>
      <c r="G468">
        <v>0.86878964448817286</v>
      </c>
      <c r="H468">
        <v>-0.4932112243145948</v>
      </c>
      <c r="I468">
        <v>-0.7713387967148988</v>
      </c>
      <c r="K468">
        <v>0.2533567979722311</v>
      </c>
    </row>
    <row r="469" spans="1:11" x14ac:dyDescent="0.25">
      <c r="A469" t="s">
        <v>468</v>
      </c>
      <c r="B469">
        <v>-0.45902373079491382</v>
      </c>
      <c r="C469">
        <v>1.4689541889737909</v>
      </c>
      <c r="D469">
        <v>37.497881406645469</v>
      </c>
      <c r="E469">
        <v>-34.872835416146998</v>
      </c>
      <c r="F469">
        <v>-4.6150004241110132</v>
      </c>
      <c r="G469">
        <v>-1.0187659699966101</v>
      </c>
      <c r="H469">
        <v>0.5183001791123838</v>
      </c>
      <c r="I469">
        <v>-3.1107000396461228</v>
      </c>
      <c r="K469">
        <v>0.19055860384297851</v>
      </c>
    </row>
    <row r="470" spans="1:11" x14ac:dyDescent="0.25">
      <c r="A470" t="s">
        <v>469</v>
      </c>
      <c r="B470">
        <v>-0.40272959328233238</v>
      </c>
      <c r="C470">
        <v>1.25934245794176</v>
      </c>
      <c r="D470">
        <v>31.838355690468251</v>
      </c>
      <c r="E470">
        <v>-29.815218370038021</v>
      </c>
      <c r="F470">
        <v>-3.6137501488198378</v>
      </c>
      <c r="G470">
        <v>1.026886355179063</v>
      </c>
      <c r="H470">
        <v>-1.3489520640906729</v>
      </c>
      <c r="I470">
        <v>-2.2783018548822822</v>
      </c>
      <c r="K470">
        <v>0.14661248724472301</v>
      </c>
    </row>
    <row r="471" spans="1:11" x14ac:dyDescent="0.25">
      <c r="A471" t="s">
        <v>470</v>
      </c>
      <c r="B471">
        <v>-0.35478541263240132</v>
      </c>
      <c r="C471">
        <v>-1.961437802447479</v>
      </c>
      <c r="D471">
        <v>-4.5412595972753049</v>
      </c>
      <c r="E471">
        <v>2.9682907573908879</v>
      </c>
      <c r="F471">
        <v>1.492485963437592</v>
      </c>
      <c r="G471">
        <v>5.9597465098419313</v>
      </c>
      <c r="H471">
        <v>-5.7829556296621742</v>
      </c>
      <c r="I471">
        <v>-2.9607066014470762</v>
      </c>
      <c r="K471">
        <v>0.78980888511177938</v>
      </c>
    </row>
    <row r="472" spans="1:11" x14ac:dyDescent="0.25">
      <c r="A472" t="s">
        <v>471</v>
      </c>
      <c r="B472">
        <v>-0.27964346541637358</v>
      </c>
      <c r="C472">
        <v>-1.674034517907778</v>
      </c>
      <c r="D472">
        <v>1.2670722198883531</v>
      </c>
      <c r="E472">
        <v>-1.067635886968276</v>
      </c>
      <c r="F472">
        <v>1.4875136816744501</v>
      </c>
      <c r="G472">
        <v>1.5642955175964639</v>
      </c>
      <c r="H472">
        <v>2.038945219585274</v>
      </c>
      <c r="I472">
        <v>-3.5345529869705552</v>
      </c>
      <c r="K472">
        <v>0.86655857869174824</v>
      </c>
    </row>
    <row r="473" spans="1:11" x14ac:dyDescent="0.25">
      <c r="A473" t="s">
        <v>472</v>
      </c>
      <c r="B473">
        <v>-0.4817739185223357</v>
      </c>
      <c r="C473">
        <v>-1.9706897766851641</v>
      </c>
      <c r="D473">
        <v>2.0644200499947809</v>
      </c>
      <c r="E473">
        <v>4.707234967181499</v>
      </c>
      <c r="F473">
        <v>-3.9092935752510578</v>
      </c>
      <c r="G473">
        <v>1.244060229565215</v>
      </c>
      <c r="H473">
        <v>-1.776864754107673</v>
      </c>
      <c r="I473">
        <v>2.2477393035365778</v>
      </c>
      <c r="K473">
        <v>0.57852574224514441</v>
      </c>
    </row>
    <row r="474" spans="1:11" x14ac:dyDescent="0.25">
      <c r="A474" t="s">
        <v>473</v>
      </c>
      <c r="B474">
        <v>-0.47881861977491169</v>
      </c>
      <c r="C474">
        <v>-1.5669327879299479</v>
      </c>
      <c r="D474">
        <v>0.79754736305857676</v>
      </c>
      <c r="E474">
        <v>5.982404616976809</v>
      </c>
      <c r="F474">
        <v>-3.4610209919401922</v>
      </c>
      <c r="G474">
        <v>0.9895306252128141</v>
      </c>
      <c r="H474">
        <v>-1.8005800565280949</v>
      </c>
      <c r="I474">
        <v>-1.3947119462253461</v>
      </c>
      <c r="K474">
        <v>0.85070183091983609</v>
      </c>
    </row>
    <row r="475" spans="1:11" x14ac:dyDescent="0.25">
      <c r="A475" t="s">
        <v>474</v>
      </c>
      <c r="B475">
        <v>-0.41363253360950991</v>
      </c>
      <c r="C475">
        <v>-1.64658575582704</v>
      </c>
      <c r="D475">
        <v>0.79510638111332044</v>
      </c>
      <c r="E475">
        <v>5.6434424038592939</v>
      </c>
      <c r="F475">
        <v>-3.1110370414801261</v>
      </c>
      <c r="G475">
        <v>0.64523559282320575</v>
      </c>
      <c r="H475">
        <v>-1.265580340003011</v>
      </c>
      <c r="I475">
        <v>-1.645986644176781</v>
      </c>
      <c r="K475">
        <v>0.84735875113702974</v>
      </c>
    </row>
    <row r="476" spans="1:11" x14ac:dyDescent="0.25">
      <c r="A476" t="s">
        <v>475</v>
      </c>
      <c r="B476">
        <v>-0.37930349583454931</v>
      </c>
      <c r="C476">
        <v>-1.983345961628999</v>
      </c>
      <c r="D476">
        <v>1.8497594074844601</v>
      </c>
      <c r="E476">
        <v>-0.98055729718203322</v>
      </c>
      <c r="F476">
        <v>3.019093893929929</v>
      </c>
      <c r="G476">
        <v>-2.5561754175663709</v>
      </c>
      <c r="H476">
        <v>0.72750270892301927</v>
      </c>
      <c r="I476">
        <v>-1.2209094869000181</v>
      </c>
      <c r="K476">
        <v>0.1850378219080894</v>
      </c>
    </row>
    <row r="477" spans="1:11" x14ac:dyDescent="0.25">
      <c r="A477" t="s">
        <v>476</v>
      </c>
      <c r="B477">
        <v>-0.2858043189804203</v>
      </c>
      <c r="C477">
        <v>-1.9803603690131639</v>
      </c>
      <c r="D477">
        <v>1.4949518308740919</v>
      </c>
      <c r="E477">
        <v>-1.2506517545089459</v>
      </c>
      <c r="F477">
        <v>1.6405100800396351</v>
      </c>
      <c r="G477">
        <v>1.670903916069661</v>
      </c>
      <c r="H477">
        <v>2.3818903552689461</v>
      </c>
      <c r="I477">
        <v>-3.991185691620772</v>
      </c>
      <c r="K477">
        <v>0.96690021995709474</v>
      </c>
    </row>
    <row r="478" spans="1:11" x14ac:dyDescent="0.25">
      <c r="A478" t="s">
        <v>477</v>
      </c>
      <c r="B478">
        <v>-0.50423776928089925</v>
      </c>
      <c r="C478">
        <v>-2.289757017921167</v>
      </c>
      <c r="D478">
        <v>2.4067440019626538</v>
      </c>
      <c r="E478">
        <v>5.2734506064755804</v>
      </c>
      <c r="F478">
        <v>-4.3380368186383844</v>
      </c>
      <c r="G478">
        <v>1.297771398499953</v>
      </c>
      <c r="H478">
        <v>-1.9975704633239439</v>
      </c>
      <c r="I478">
        <v>2.5207870672035368</v>
      </c>
      <c r="K478">
        <v>0.52528544664079668</v>
      </c>
    </row>
    <row r="479" spans="1:11" x14ac:dyDescent="0.25">
      <c r="A479" t="s">
        <v>478</v>
      </c>
      <c r="B479">
        <v>-0.51257467259060541</v>
      </c>
      <c r="C479">
        <v>-1.8483404018130101</v>
      </c>
      <c r="D479">
        <v>0.96009794132486714</v>
      </c>
      <c r="E479">
        <v>6.7196220584397226</v>
      </c>
      <c r="F479">
        <v>-3.9306981582156268</v>
      </c>
      <c r="G479">
        <v>1.076645224086362</v>
      </c>
      <c r="H479">
        <v>-2.1165059863442779</v>
      </c>
      <c r="I479">
        <v>-1.4892148595936261</v>
      </c>
      <c r="K479">
        <v>0.92867123352724268</v>
      </c>
    </row>
    <row r="480" spans="1:11" x14ac:dyDescent="0.25">
      <c r="A480" t="s">
        <v>479</v>
      </c>
      <c r="B480">
        <v>-0.4358309286460883</v>
      </c>
      <c r="C480">
        <v>-2.2407267316790609</v>
      </c>
      <c r="D480">
        <v>1.4224295926250989</v>
      </c>
      <c r="E480">
        <v>3.9976075479904152</v>
      </c>
      <c r="F480">
        <v>-3.3366234062581941</v>
      </c>
      <c r="G480">
        <v>0.93287670897277464</v>
      </c>
      <c r="H480">
        <v>-1.5868430017176789</v>
      </c>
      <c r="I480">
        <v>0.80512602415322365</v>
      </c>
      <c r="K480">
        <v>0.24638540345356849</v>
      </c>
    </row>
    <row r="481" spans="1:11" x14ac:dyDescent="0.25">
      <c r="A481" t="s">
        <v>480</v>
      </c>
      <c r="B481">
        <v>-0.43568200474520419</v>
      </c>
      <c r="C481">
        <v>-1.9254692964147031</v>
      </c>
      <c r="D481">
        <v>0.94706885983687272</v>
      </c>
      <c r="E481">
        <v>6.2874874367196201</v>
      </c>
      <c r="F481">
        <v>-3.4993543395315472</v>
      </c>
      <c r="G481">
        <v>0.66212050717150506</v>
      </c>
      <c r="H481">
        <v>-1.46345838880066</v>
      </c>
      <c r="I481">
        <v>-1.783324851501189</v>
      </c>
      <c r="K481">
        <v>0.72601770791125975</v>
      </c>
    </row>
    <row r="482" spans="1:11" x14ac:dyDescent="0.25">
      <c r="A482" t="s">
        <v>481</v>
      </c>
      <c r="B482">
        <v>-0.35506735358816988</v>
      </c>
      <c r="C482">
        <v>-0.31102325633392558</v>
      </c>
      <c r="D482">
        <v>-1.61826408907029</v>
      </c>
      <c r="E482">
        <v>-2.7301119852740601</v>
      </c>
      <c r="F482">
        <v>2.5820829363854698</v>
      </c>
      <c r="G482">
        <v>3.9020666153238008</v>
      </c>
      <c r="H482">
        <v>-3.3971217230658199</v>
      </c>
      <c r="I482">
        <v>-2.658774561154289</v>
      </c>
      <c r="K482">
        <v>0.56996931103138504</v>
      </c>
    </row>
    <row r="483" spans="1:11" x14ac:dyDescent="0.25">
      <c r="A483" t="s">
        <v>482</v>
      </c>
      <c r="B483">
        <v>-0.33070545103843357</v>
      </c>
      <c r="C483">
        <v>-0.53450812893851429</v>
      </c>
      <c r="D483">
        <v>-0.88319832124765463</v>
      </c>
      <c r="E483">
        <v>0.79564931952228268</v>
      </c>
      <c r="F483">
        <v>1.990114623521466</v>
      </c>
      <c r="G483">
        <v>-1.3947858669755151</v>
      </c>
      <c r="H483">
        <v>-0.59069866550136396</v>
      </c>
      <c r="I483">
        <v>-1.9402016521906611</v>
      </c>
      <c r="K483">
        <v>8.6171961329743599E-2</v>
      </c>
    </row>
    <row r="484" spans="1:11" x14ac:dyDescent="0.25">
      <c r="A484" t="s">
        <v>483</v>
      </c>
      <c r="B484">
        <v>-0.28686399169123622</v>
      </c>
      <c r="C484">
        <v>-0.91213094160824937</v>
      </c>
      <c r="D484">
        <v>-1.158439720527578</v>
      </c>
      <c r="E484">
        <v>1.191343592476984</v>
      </c>
      <c r="F484">
        <v>1.0169135159423921</v>
      </c>
      <c r="G484">
        <v>-1.11926200519912</v>
      </c>
      <c r="H484">
        <v>0.39278356726217051</v>
      </c>
      <c r="I484">
        <v>0.67448176685802352</v>
      </c>
      <c r="K484">
        <v>0.7506286660757433</v>
      </c>
    </row>
    <row r="485" spans="1:11" x14ac:dyDescent="0.25">
      <c r="A485" t="s">
        <v>484</v>
      </c>
      <c r="B485">
        <v>-0.37820564991414241</v>
      </c>
      <c r="C485">
        <v>-0.3260600099995602</v>
      </c>
      <c r="D485">
        <v>-1.987727853356257</v>
      </c>
      <c r="E485">
        <v>-3.483713719559383</v>
      </c>
      <c r="F485">
        <v>3.0098855180818789</v>
      </c>
      <c r="G485">
        <v>4.9038310821157696</v>
      </c>
      <c r="H485">
        <v>-4.1776959938453304</v>
      </c>
      <c r="I485">
        <v>-3.2150975702835431</v>
      </c>
      <c r="K485">
        <v>0.68064192853901861</v>
      </c>
    </row>
    <row r="486" spans="1:11" x14ac:dyDescent="0.25">
      <c r="A486" t="s">
        <v>485</v>
      </c>
      <c r="B486">
        <v>-0.3371394223778405</v>
      </c>
      <c r="C486">
        <v>-0.54822305857350218</v>
      </c>
      <c r="D486">
        <v>-0.97376589230179766</v>
      </c>
      <c r="E486">
        <v>0.88312236218622686</v>
      </c>
      <c r="F486">
        <v>2.1433436747238561</v>
      </c>
      <c r="G486">
        <v>-1.5181410830477391</v>
      </c>
      <c r="H486">
        <v>-0.70541016372328058</v>
      </c>
      <c r="I486">
        <v>-2.1364400893571092</v>
      </c>
      <c r="K486">
        <v>8.9611303522076594E-2</v>
      </c>
    </row>
    <row r="487" spans="1:11" x14ac:dyDescent="0.25">
      <c r="A487" t="s">
        <v>486</v>
      </c>
      <c r="B487">
        <v>-0.29018051774785181</v>
      </c>
      <c r="C487">
        <v>-0.98775579125705493</v>
      </c>
      <c r="D487">
        <v>-1.3117608546468491</v>
      </c>
      <c r="E487">
        <v>1.3429726275456839</v>
      </c>
      <c r="F487">
        <v>1.0878720776016131</v>
      </c>
      <c r="G487">
        <v>-1.2455286124193621</v>
      </c>
      <c r="H487">
        <v>0.45126854917551468</v>
      </c>
      <c r="I487">
        <v>0.69742061884220874</v>
      </c>
      <c r="K487">
        <v>0.80244896685013978</v>
      </c>
    </row>
    <row r="488" spans="1:11" x14ac:dyDescent="0.25">
      <c r="A488" t="s">
        <v>487</v>
      </c>
      <c r="B488">
        <v>-0.25703450026517022</v>
      </c>
      <c r="C488">
        <v>-0.74837499433096122</v>
      </c>
      <c r="D488">
        <v>-1.415302180733955</v>
      </c>
      <c r="E488">
        <v>0.74312421776213999</v>
      </c>
      <c r="F488">
        <v>0.58286574765536947</v>
      </c>
      <c r="G488">
        <v>1.3370104847940161</v>
      </c>
      <c r="H488">
        <v>-1.1355944097306001</v>
      </c>
      <c r="I488">
        <v>-1.0987968494390721</v>
      </c>
      <c r="K488">
        <v>0.6507664077012254</v>
      </c>
    </row>
    <row r="489" spans="1:11" x14ac:dyDescent="0.25">
      <c r="A489" t="s">
        <v>488</v>
      </c>
      <c r="B489">
        <v>-0.20911270960950989</v>
      </c>
      <c r="C489">
        <v>-0.28258279413426829</v>
      </c>
      <c r="D489">
        <v>-1.345465602248255</v>
      </c>
      <c r="E489">
        <v>3.153407260350797</v>
      </c>
      <c r="F489">
        <v>-3.657930910241932</v>
      </c>
      <c r="G489">
        <v>0.59523435512101319</v>
      </c>
      <c r="H489">
        <v>-0.50246717061138169</v>
      </c>
      <c r="I489">
        <v>-2.4756040355358828</v>
      </c>
      <c r="K489">
        <v>8.4475199759795394E-2</v>
      </c>
    </row>
    <row r="490" spans="1:11" x14ac:dyDescent="0.25">
      <c r="A490" t="s">
        <v>489</v>
      </c>
      <c r="B490">
        <v>-0.37890711567131169</v>
      </c>
      <c r="C490">
        <v>0.49045968340339657</v>
      </c>
      <c r="D490">
        <v>11.520356399871771</v>
      </c>
      <c r="E490">
        <v>-11.64955881430218</v>
      </c>
      <c r="F490">
        <v>5.1747487213268686</v>
      </c>
      <c r="G490">
        <v>-2.8324265015607288</v>
      </c>
      <c r="H490">
        <v>-2.0159314263828119</v>
      </c>
      <c r="I490">
        <v>0.86408873474251002</v>
      </c>
      <c r="K490">
        <v>0.64713986733198436</v>
      </c>
    </row>
    <row r="491" spans="1:11" x14ac:dyDescent="0.25">
      <c r="A491" t="s">
        <v>490</v>
      </c>
      <c r="B491">
        <v>-0.29534566765517628</v>
      </c>
      <c r="C491">
        <v>0.67432610041815533</v>
      </c>
      <c r="D491">
        <v>30.792866127474689</v>
      </c>
      <c r="E491">
        <v>-28.419193590293251</v>
      </c>
      <c r="F491">
        <v>-3.2161049378632032</v>
      </c>
      <c r="G491">
        <v>-0.74873682559688481</v>
      </c>
      <c r="H491">
        <v>0.98333030352218986</v>
      </c>
      <c r="I491">
        <v>-1.796909422082078</v>
      </c>
      <c r="K491">
        <v>0.24237473420901631</v>
      </c>
    </row>
    <row r="492" spans="1:11" x14ac:dyDescent="0.25">
      <c r="A492" t="s">
        <v>491</v>
      </c>
      <c r="B492">
        <v>-0.4833125898614925</v>
      </c>
      <c r="C492">
        <v>1.7776379731101659</v>
      </c>
      <c r="D492">
        <v>45.154906383448278</v>
      </c>
      <c r="E492">
        <v>-41.632802387231287</v>
      </c>
      <c r="F492">
        <v>-5.9469315122478541</v>
      </c>
      <c r="G492">
        <v>-1.39479861405296</v>
      </c>
      <c r="H492">
        <v>0.63652442030010015</v>
      </c>
      <c r="I492">
        <v>-3.8418664499344541</v>
      </c>
      <c r="K492">
        <v>0.30752816082119122</v>
      </c>
    </row>
    <row r="493" spans="1:11" x14ac:dyDescent="0.25">
      <c r="A493" t="s">
        <v>492</v>
      </c>
      <c r="B493">
        <v>-0.4642572349462204</v>
      </c>
      <c r="C493">
        <v>1.4467091622487609</v>
      </c>
      <c r="D493">
        <v>36.702064866718857</v>
      </c>
      <c r="E493">
        <v>-34.090858081181523</v>
      </c>
      <c r="F493">
        <v>-4.471322064470681</v>
      </c>
      <c r="G493">
        <v>1.2766920070871199</v>
      </c>
      <c r="H493">
        <v>-1.756781894304847</v>
      </c>
      <c r="I493">
        <v>-2.6684549517006899</v>
      </c>
      <c r="K493">
        <v>0.31225710740529272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Summary</vt:lpstr>
      <vt:lpstr>PandemicGrowth</vt:lpstr>
      <vt:lpstr>RecoveryRate</vt:lpstr>
      <vt:lpstr>ShortInterestRate</vt:lpstr>
      <vt:lpstr>LongInterestRate</vt:lpstr>
      <vt:lpstr>EmploymentRate</vt:lpstr>
      <vt:lpstr>HealthExpenditure</vt:lpstr>
      <vt:lpstr>ProductionPrices</vt:lpstr>
      <vt:lpstr>Inflation</vt:lpstr>
      <vt:lpstr>FDI</vt:lpstr>
      <vt:lpstr>Exports</vt:lpstr>
      <vt:lpstr>LifeExpectancy</vt:lpstr>
      <vt:lpstr>GovernmentSpending</vt:lpstr>
      <vt:lpstr>PrivateSpending</vt:lpstr>
      <vt:lpstr>Imports</vt:lpstr>
      <vt:lpstr>GDP</vt:lpstr>
      <vt:lpstr>Boxplots</vt:lpstr>
      <vt:lpstr>Bayes</vt:lpstr>
      <vt:lpstr>hist</vt:lpstr>
      <vt:lpstr>by variable</vt:lpstr>
      <vt:lpstr>Solutions_J (3)</vt:lpstr>
      <vt:lpstr>Solutions_J (2)</vt:lpstr>
      <vt:lpstr>Solutions_J</vt:lpstr>
      <vt:lpstr>Hansen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Guadarrama Vilchis</dc:creator>
  <cp:lastModifiedBy>Victor Guadarrama Vilchis</cp:lastModifiedBy>
  <dcterms:created xsi:type="dcterms:W3CDTF">2024-07-05T08:54:14Z</dcterms:created>
  <dcterms:modified xsi:type="dcterms:W3CDTF">2024-08-13T20:01:09Z</dcterms:modified>
</cp:coreProperties>
</file>